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ciones" sheetId="2" state="visible" r:id="rId4"/>
    <sheet name="Parametros" sheetId="3" state="visible" r:id="rId5"/>
    <sheet name="Productos" sheetId="4" state="visible" r:id="rId6"/>
    <sheet name="Clientes" sheetId="5" state="visible" r:id="rId7"/>
    <sheet name="Ventas" sheetId="6" state="visible" r:id="rId8"/>
    <sheet name="Gastos" sheetId="7" state="visible" r:id="rId9"/>
    <sheet name="PL_Mensual" sheetId="8" state="visible" r:id="rId10"/>
    <sheet name="KPIs" sheetId="9" state="visible" r:id="rId11"/>
  </sheets>
  <definedNames>
    <definedName function="false" hidden="true" localSheetId="4" name="_xlnm._FilterDatabase" vbProcedure="false">Clientes!$A$1:$L$39</definedName>
    <definedName function="false" hidden="false" localSheetId="0" name="_xlnm.Print_Area" vbProcedure="false">Dashboard!$A$1:$M$194</definedName>
    <definedName function="false" hidden="true" localSheetId="6" name="_xlnm._FilterDatabase" vbProcedure="false">Gastos!$A$1:$D$217</definedName>
    <definedName function="false" hidden="true" localSheetId="5" name="_xlnm._FilterDatabase" vbProcedure="false">Ventas!$A$1:$Y$1620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<sst xmlns="http://schemas.openxmlformats.org/spreadsheetml/2006/main" count="13941" uniqueCount="1164">
  <si>
    <t xml:space="preserve">TORNILLERÍA BERCINOX, S.L.  ·  CUADRO DE MANDO DE VENTAS</t>
  </si>
  <si>
    <t xml:space="preserve">Datos ficticios. Todos los importes son netos, sin IVA. El cuadro se recalcula solo al cambiar cualquier dato de Ventas, Gastos o Parametros (F9 fuerza el recálculo).</t>
  </si>
  <si>
    <t xml:space="preserve">FILTROS</t>
  </si>
  <si>
    <t xml:space="preserve">Periodo</t>
  </si>
  <si>
    <t xml:space="preserve">Todo el histórico</t>
  </si>
  <si>
    <t xml:space="preserve">Criterios aplicados (calculados, no editar)</t>
  </si>
  <si>
    <t xml:space="preserve">País</t>
  </si>
  <si>
    <t xml:space="preserve">Todos</t>
  </si>
  <si>
    <t xml:space="preserve">Desde</t>
  </si>
  <si>
    <t xml:space="preserve">Canal</t>
  </si>
  <si>
    <t xml:space="preserve">Hasta</t>
  </si>
  <si>
    <t xml:space="preserve">Actualizado</t>
  </si>
  <si>
    <t xml:space="preserve">País / Canal</t>
  </si>
  <si>
    <t xml:space="preserve">INDICADORES CLAVE DEL PERIODO SELECCIONADO</t>
  </si>
  <si>
    <t xml:space="preserve">INGRESOS NETOS</t>
  </si>
  <si>
    <t xml:space="preserve">MARGEN CONTRIBUCIÓN</t>
  </si>
  <si>
    <t xml:space="preserve">MARGEN %</t>
  </si>
  <si>
    <t xml:space="preserve">Nº PEDIDOS</t>
  </si>
  <si>
    <t xml:space="preserve">TICKET MEDIO</t>
  </si>
  <si>
    <t xml:space="preserve">CAJAS VENDIDAS</t>
  </si>
  <si>
    <t xml:space="preserve">OBJETIVO PERIODO</t>
  </si>
  <si>
    <t xml:space="preserve">CUMPLIMIENTO</t>
  </si>
  <si>
    <t xml:space="preserve">GASTOS EXPLOTACIÓN</t>
  </si>
  <si>
    <t xml:space="preserve">EBITDA</t>
  </si>
  <si>
    <t xml:space="preserve">EBITDA %</t>
  </si>
  <si>
    <t xml:space="preserve">COBRO VENCIDO</t>
  </si>
  <si>
    <t xml:space="preserve">Objetivo, gastos y EBITDA solo se calculan con País = Todos y Canal = Todos: los gastos de explotación no están repartidos por país ni por canal. La serie mensual de los gráficos muestra siempre los 18 meses completos y responde a los filtros de País y Canal, no al de Periodo.</t>
  </si>
  <si>
    <t xml:space="preserve">EVOLUCIÓN Y MIX</t>
  </si>
  <si>
    <t xml:space="preserve">DESGLOSE POR PAÍS, PRODUCTO Y CLIENTE</t>
  </si>
  <si>
    <t xml:space="preserve">RENTABILIDAD Y COBROS</t>
  </si>
  <si>
    <t xml:space="preserve">T1 · EVOLUCIÓN MENSUAL (filtrada por País y Canal)</t>
  </si>
  <si>
    <t xml:space="preserve">Mes</t>
  </si>
  <si>
    <t xml:space="preserve">Ingresos netos</t>
  </si>
  <si>
    <t xml:space="preserve">Objetivo</t>
  </si>
  <si>
    <t xml:space="preserve">Margen contribución</t>
  </si>
  <si>
    <t xml:space="preserve">Margen %</t>
  </si>
  <si>
    <t xml:space="preserve">Nº pedidos</t>
  </si>
  <si>
    <t xml:space="preserve">Ticket medio</t>
  </si>
  <si>
    <t xml:space="preserve">TOTAL</t>
  </si>
  <si>
    <t xml:space="preserve">T2 · VENTAS POR PAÍS</t>
  </si>
  <si>
    <t xml:space="preserve">% s/ total</t>
  </si>
  <si>
    <t xml:space="preserve">España</t>
  </si>
  <si>
    <t xml:space="preserve">Alemania</t>
  </si>
  <si>
    <t xml:space="preserve">Francia</t>
  </si>
  <si>
    <t xml:space="preserve">T3 · VENTAS POR CANAL</t>
  </si>
  <si>
    <t xml:space="preserve">Distribuidor</t>
  </si>
  <si>
    <t xml:space="preserve">OEM / Industria</t>
  </si>
  <si>
    <t xml:space="preserve">Ferretería</t>
  </si>
  <si>
    <t xml:space="preserve">Ecommerce</t>
  </si>
  <si>
    <t xml:space="preserve">T4 · VENTAS POR FAMILIA DE PRODUCTO</t>
  </si>
  <si>
    <t xml:space="preserve">Familia</t>
  </si>
  <si>
    <t xml:space="preserve">Autotaladrante</t>
  </si>
  <si>
    <t xml:space="preserve">Especial</t>
  </si>
  <si>
    <t xml:space="preserve">Inoxidable</t>
  </si>
  <si>
    <t xml:space="preserve">Madera</t>
  </si>
  <si>
    <t xml:space="preserve">Métrica</t>
  </si>
  <si>
    <t xml:space="preserve">T5 · VENTAS POR COMERCIAL</t>
  </si>
  <si>
    <t xml:space="preserve">Comercial</t>
  </si>
  <si>
    <t xml:space="preserve">Alberto Ruiz</t>
  </si>
  <si>
    <t xml:space="preserve">Camille Girard</t>
  </si>
  <si>
    <t xml:space="preserve">Canal online</t>
  </si>
  <si>
    <t xml:space="preserve">Klaus Berger</t>
  </si>
  <si>
    <t xml:space="preserve">Nuria Salas</t>
  </si>
  <si>
    <t xml:space="preserve">T6 · SITUACIÓN DE COBRO</t>
  </si>
  <si>
    <t xml:space="preserve">Estado</t>
  </si>
  <si>
    <t xml:space="preserve">Importe</t>
  </si>
  <si>
    <t xml:space="preserve">Nº líneas</t>
  </si>
  <si>
    <t xml:space="preserve">Cobrado</t>
  </si>
  <si>
    <t xml:space="preserve">Pendiente</t>
  </si>
  <si>
    <t xml:space="preserve">Vencido</t>
  </si>
  <si>
    <t xml:space="preserve">T7 · TOP 10 CLIENTES DEL PERIODO</t>
  </si>
  <si>
    <t xml:space="preserve">#</t>
  </si>
  <si>
    <t xml:space="preserve">Cliente</t>
  </si>
  <si>
    <t xml:space="preserve">Zona de cálculo auxiliar — no modificar</t>
  </si>
  <si>
    <t xml:space="preserve">TORNILLERÍA BERCINOX, S.L. — Cuadro de control de ventas, costes y márgenes</t>
  </si>
  <si>
    <t xml:space="preserve">DATOS 100 % FICTICIOS, generados para pruebas. Ninguna cifra procede de una empresa real.</t>
  </si>
  <si>
    <t xml:space="preserve">Ficha del modelo</t>
  </si>
  <si>
    <t xml:space="preserve">Actividad</t>
  </si>
  <si>
    <t xml:space="preserve">Fabricación y distribución de tornillería industrial (métrica, inox, madera, autotaladrante)</t>
  </si>
  <si>
    <t xml:space="preserve">Mercados</t>
  </si>
  <si>
    <t xml:space="preserve">España, Alemania y Francia</t>
  </si>
  <si>
    <t xml:space="preserve">enero 2025 – junio 2026 (18 meses)</t>
  </si>
  <si>
    <t xml:space="preserve">Moneda</t>
  </si>
  <si>
    <t xml:space="preserve">Euros. Todos los importes son NETOS, sin IVA</t>
  </si>
  <si>
    <t xml:space="preserve">IVA / fiscalidad</t>
  </si>
  <si>
    <t xml:space="preserve">Ventas nacionales con IVA repercutido; ventas a Alemania y Francia como entrega intracomunitaria exenta (no se modela aquí)</t>
  </si>
  <si>
    <t xml:space="preserve">Unidad de venta</t>
  </si>
  <si>
    <t xml:space="preserve">Caja. Las unidades por caja están en la hoja Productos</t>
  </si>
  <si>
    <t xml:space="preserve">Hojas del libro</t>
  </si>
  <si>
    <t xml:space="preserve">Parametros</t>
  </si>
  <si>
    <t xml:space="preserve">Supuestos del modelo: comisiones, días de cobro, portes por país, coste del acero y objetivos mensuales</t>
  </si>
  <si>
    <t xml:space="preserve">Productos</t>
  </si>
  <si>
    <t xml:space="preserve">Maestro de artículos con coste base, precio de lista y resultados acumulados</t>
  </si>
  <si>
    <t xml:space="preserve">Clientes</t>
  </si>
  <si>
    <t xml:space="preserve">Maestro de clientes con ventas, margen, pedidos y saldo pendiente de cobro</t>
  </si>
  <si>
    <t xml:space="preserve">Ventas</t>
  </si>
  <si>
    <t xml:space="preserve">Detalle línea a línea de cada pedido. Es la base de datos del libro</t>
  </si>
  <si>
    <t xml:space="preserve">Gastos</t>
  </si>
  <si>
    <t xml:space="preserve">Gastos de explotación mensuales por categoría (fijos y variables)</t>
  </si>
  <si>
    <t xml:space="preserve">PL_Mensual</t>
  </si>
  <si>
    <t xml:space="preserve">Cuenta de resultados mensual: ingresos, coste de ventas, margen bruto, gastos y EBITDA</t>
  </si>
  <si>
    <t xml:space="preserve">KPIs</t>
  </si>
  <si>
    <t xml:space="preserve">Resúmenes por país, familia, canal, comercial, top clientes y situación de cobro</t>
  </si>
  <si>
    <t xml:space="preserve">Código de colores</t>
  </si>
  <si>
    <t xml:space="preserve">Azul</t>
  </si>
  <si>
    <t xml:space="preserve">Dato introducido a mano. Se puede modificar</t>
  </si>
  <si>
    <t xml:space="preserve">Negro</t>
  </si>
  <si>
    <t xml:space="preserve">Fórmula calculada dentro de la misma hoja. No tocar</t>
  </si>
  <si>
    <t xml:space="preserve">Verde</t>
  </si>
  <si>
    <t xml:space="preserve">Fórmula que enlaza con otra hoja del libro. No tocar</t>
  </si>
  <si>
    <t xml:space="preserve">Relleno amarillo</t>
  </si>
  <si>
    <t xml:space="preserve">Supuesto clave del modelo: cámbialo aquí y se propaga a todo el libro</t>
  </si>
  <si>
    <t xml:space="preserve">Cómo se usa</t>
  </si>
  <si>
    <t xml:space="preserve">1</t>
  </si>
  <si>
    <t xml:space="preserve">Para añadir ventas: inserta filas al final de la hoja Ventas y copia las fórmulas de la fila anterior (columnas C, I, J, M, O-V, W, Y).</t>
  </si>
  <si>
    <t xml:space="preserve">2</t>
  </si>
  <si>
    <t xml:space="preserve">Las columnas que se rellenan a mano en Ventas son: A pedido, B fecha, D cliente, E país, F canal, G comercial, H código, K tipo, L cajas, N descuento y X estado de cobro.</t>
  </si>
  <si>
    <t xml:space="preserve">3</t>
  </si>
  <si>
    <t xml:space="preserve">Ejemplo de fila válida: P-3000 | 15/07/2026 | Suministros Torres SA | España | Distribuidor | Alberto Ruiz | TOR-002 | Venta | 120 | 0,150 | Pendiente</t>
  </si>
  <si>
    <t xml:space="preserve">4</t>
  </si>
  <si>
    <t xml:space="preserve">Un abono se registra como tipo "Abono" con cajas en negativo. Resta ingresos y margen automáticamente.</t>
  </si>
  <si>
    <t xml:space="preserve">5</t>
  </si>
  <si>
    <t xml:space="preserve">Los rangos de las fórmulas resumen llegan hasta la fila 1620 de Ventas. Si añades más filas, amplía los rangos en PL_Mensual, KPIs, Clientes y Productos.</t>
  </si>
  <si>
    <t xml:space="preserve">6</t>
  </si>
  <si>
    <t xml:space="preserve">Recalcula el libro (F9) después de cambiar cualquier supuesto de Parametros.</t>
  </si>
  <si>
    <t xml:space="preserve">PARÁMETROS Y SUPUESTOS DEL MODELO</t>
  </si>
  <si>
    <t xml:space="preserve">Celdas en azul con relleno amarillo = supuestos editables. Todo el libro se recalcula a partir de aquí.</t>
  </si>
  <si>
    <t xml:space="preserve">Datos generales</t>
  </si>
  <si>
    <t xml:space="preserve">Empresa</t>
  </si>
  <si>
    <t xml:space="preserve">Tornillería Bercinox, S.L. (ficticia)</t>
  </si>
  <si>
    <t xml:space="preserve">Fabricación y venta de tornillería industrial</t>
  </si>
  <si>
    <t xml:space="preserve">EUR — importes netos sin IVA</t>
  </si>
  <si>
    <t xml:space="preserve">Periodo del modelo</t>
  </si>
  <si>
    <t xml:space="preserve">ene-2025 a jun-2026</t>
  </si>
  <si>
    <t xml:space="preserve">Fecha de referencia</t>
  </si>
  <si>
    <t xml:space="preserve">Comisión comercial y condiciones de cobro por canal</t>
  </si>
  <si>
    <t xml:space="preserve">Comisión s/ venta</t>
  </si>
  <si>
    <t xml:space="preserve">Días de cobro</t>
  </si>
  <si>
    <t xml:space="preserve">Coste logístico por país</t>
  </si>
  <si>
    <t xml:space="preserve">Portes €/caja</t>
  </si>
  <si>
    <t xml:space="preserve">Observaciones</t>
  </si>
  <si>
    <t xml:space="preserve">Transporte propio + agencia nacional</t>
  </si>
  <si>
    <t xml:space="preserve">Grupaje internacional, entrega 4-6 días</t>
  </si>
  <si>
    <t xml:space="preserve">Grupaje internacional, entrega 3-5 días</t>
  </si>
  <si>
    <t xml:space="preserve">Índice de coste del acero y objetivo de ventas por mes</t>
  </si>
  <si>
    <t xml:space="preserve">Factor coste acero</t>
  </si>
  <si>
    <t xml:space="preserve">Objetivo ventas netas</t>
  </si>
  <si>
    <t xml:space="preserve">Notas de los supuestos</t>
  </si>
  <si>
    <t xml:space="preserve">• Factor coste acero: multiplica el coste base de cada artículo (hoja Productos) para reflejar la evolución del precio de la materia prima. 1,000 = coste base.</t>
  </si>
  <si>
    <t xml:space="preserve">• Portes: coste medio de transporte por caja expedida, imputado a cada línea de venta según el país de destino.</t>
  </si>
  <si>
    <t xml:space="preserve">• Comisión: se calcula sobre el ingreso neto de la línea, después de descuento.</t>
  </si>
  <si>
    <t xml:space="preserve">• Días de cobro: vencimiento teórico = fecha de pedido + días del canal. El estado real de cobro se informa a mano en la hoja Ventas.</t>
  </si>
  <si>
    <t xml:space="preserve">• Objetivo de ventas: cifra de presupuesto anual repartida por meses. Supuesto interno, no procede de ninguna fuente externa.</t>
  </si>
  <si>
    <t xml:space="preserve">• Todos los valores de esta hoja son inventados; no hay fuente externa que citar.</t>
  </si>
  <si>
    <t xml:space="preserve">Código</t>
  </si>
  <si>
    <t xml:space="preserve">Descripción</t>
  </si>
  <si>
    <t xml:space="preserve">Uds/caja</t>
  </si>
  <si>
    <t xml:space="preserve">Coste base €/caja</t>
  </si>
  <si>
    <t xml:space="preserve">Precio lista €/caja</t>
  </si>
  <si>
    <t xml:space="preserve">Margen teórico %</t>
  </si>
  <si>
    <t xml:space="preserve">Cajas vendidas</t>
  </si>
  <si>
    <t xml:space="preserve">Margen bruto €</t>
  </si>
  <si>
    <t xml:space="preserve">% s/ ventas</t>
  </si>
  <si>
    <t xml:space="preserve">TOR-001</t>
  </si>
  <si>
    <t xml:space="preserve">Tornillo DIN 933 M6x30 rosca completa zincado</t>
  </si>
  <si>
    <t xml:space="preserve">TOR-002</t>
  </si>
  <si>
    <t xml:space="preserve">Tornillo DIN 933 M8x40 rosca completa zincado</t>
  </si>
  <si>
    <t xml:space="preserve">TOR-003</t>
  </si>
  <si>
    <t xml:space="preserve">Tornillo DIN 912 M6x25 Allen zincado</t>
  </si>
  <si>
    <t xml:space="preserve">TOR-004</t>
  </si>
  <si>
    <t xml:space="preserve">Tornillo DIN 912 M10x60 Allen inox A2</t>
  </si>
  <si>
    <t xml:space="preserve">TOR-005</t>
  </si>
  <si>
    <t xml:space="preserve">Tornillo DIN 7991 M8x30 avellanado inox A2</t>
  </si>
  <si>
    <t xml:space="preserve">TOR-006</t>
  </si>
  <si>
    <t xml:space="preserve">Tornillo DIN 933 M12x70 clase 8.8</t>
  </si>
  <si>
    <t xml:space="preserve">TOR-007</t>
  </si>
  <si>
    <t xml:space="preserve">Tirafondo madera 5x60 cabeza plana Torx</t>
  </si>
  <si>
    <t xml:space="preserve">TOR-008</t>
  </si>
  <si>
    <t xml:space="preserve">Tirafondo madera 6x100 cabeza plana Torx</t>
  </si>
  <si>
    <t xml:space="preserve">TOR-009</t>
  </si>
  <si>
    <t xml:space="preserve">Autotaladrante DIN 7504 4,8x38 zincado</t>
  </si>
  <si>
    <t xml:space="preserve">TOR-010</t>
  </si>
  <si>
    <t xml:space="preserve">Autotaladrante 5,5x55 punta broca</t>
  </si>
  <si>
    <t xml:space="preserve">TOR-011</t>
  </si>
  <si>
    <t xml:space="preserve">Tornillo estructural M16x90 clase 10.9</t>
  </si>
  <si>
    <t xml:space="preserve">TOR-012</t>
  </si>
  <si>
    <t xml:space="preserve">Varilla roscada M10 x 1 m zincada</t>
  </si>
  <si>
    <t xml:space="preserve">Comercial asignado</t>
  </si>
  <si>
    <t xml:space="preserve">Cliente desde</t>
  </si>
  <si>
    <t xml:space="preserve">Última compra</t>
  </si>
  <si>
    <t xml:space="preserve">Pendiente de cobro</t>
  </si>
  <si>
    <t xml:space="preserve">Ferretería Industrial Bierzo SL</t>
  </si>
  <si>
    <t xml:space="preserve">Suministros Torres SA</t>
  </si>
  <si>
    <t xml:space="preserve">Distribuciones Metálicas Levante SL</t>
  </si>
  <si>
    <t xml:space="preserve">Construcciones Álvarez e Hijos SL</t>
  </si>
  <si>
    <t xml:space="preserve">Aceros del Norte SA</t>
  </si>
  <si>
    <t xml:space="preserve">Bricolaje Ponferrada SL</t>
  </si>
  <si>
    <t xml:space="preserve">Montajes Industriales Vigo SL</t>
  </si>
  <si>
    <t xml:space="preserve">Talleres Gómez Maquinaria SL</t>
  </si>
  <si>
    <t xml:space="preserve">Suministros Ebro SL</t>
  </si>
  <si>
    <t xml:space="preserve">Grupo Ferretero Andalucía SA</t>
  </si>
  <si>
    <t xml:space="preserve">Naval Cádiz Servicios SA</t>
  </si>
  <si>
    <t xml:space="preserve">Carpintería Roble Sur SL</t>
  </si>
  <si>
    <t xml:space="preserve">Estructuras Duero SA</t>
  </si>
  <si>
    <t xml:space="preserve">Herrajes Toledo SL</t>
  </si>
  <si>
    <t xml:space="preserve">Almacenes Ibéricos de Tornillería SL</t>
  </si>
  <si>
    <t xml:space="preserve">Instalaciones Meseta SL</t>
  </si>
  <si>
    <t xml:space="preserve">Ferretería Casa Manolo SL</t>
  </si>
  <si>
    <t xml:space="preserve">Metalúrgica Cantábrica SA</t>
  </si>
  <si>
    <t xml:space="preserve">Suministros Canarios del Tornillo SL</t>
  </si>
  <si>
    <t xml:space="preserve">Tornillo Directo (tienda online)</t>
  </si>
  <si>
    <t xml:space="preserve">Mundo Fijación Online SL</t>
  </si>
  <si>
    <t xml:space="preserve">Schrauben Nord GmbH</t>
  </si>
  <si>
    <t xml:space="preserve">Bauteile Müller GmbH</t>
  </si>
  <si>
    <t xml:space="preserve">Industrietechnik Weber AG</t>
  </si>
  <si>
    <t xml:space="preserve">Metallbau Schmidt GmbH</t>
  </si>
  <si>
    <t xml:space="preserve">Hanseatic Fasteners GmbH</t>
  </si>
  <si>
    <t xml:space="preserve">Werkzeug Krause Handel GmbH</t>
  </si>
  <si>
    <t xml:space="preserve">Bayern Befestigung GmbH</t>
  </si>
  <si>
    <t xml:space="preserve">Stahlhandel Ruhr GmbH</t>
  </si>
  <si>
    <t xml:space="preserve">Fischer Montagebau GmbH</t>
  </si>
  <si>
    <t xml:space="preserve">Visserie Lyonnaise SARL</t>
  </si>
  <si>
    <t xml:space="preserve">Fixations Atlantique SAS</t>
  </si>
  <si>
    <t xml:space="preserve">Métallerie Dupont SARL</t>
  </si>
  <si>
    <t xml:space="preserve">Groupe Boulonnerie Paris SAS</t>
  </si>
  <si>
    <t xml:space="preserve">Quincaillerie Provence SAS</t>
  </si>
  <si>
    <t xml:space="preserve">Construction Bernard SAS</t>
  </si>
  <si>
    <t xml:space="preserve">Industrie Nord Fixations SAS</t>
  </si>
  <si>
    <t xml:space="preserve">Ets Moreau Quincaillerie SARL</t>
  </si>
  <si>
    <t xml:space="preserve">Nº pedido</t>
  </si>
  <si>
    <t xml:space="preserve">Fecha</t>
  </si>
  <si>
    <t xml:space="preserve">Producto</t>
  </si>
  <si>
    <t xml:space="preserve">Tipo</t>
  </si>
  <si>
    <t xml:space="preserve">Cajas</t>
  </si>
  <si>
    <t xml:space="preserve">Precio lista</t>
  </si>
  <si>
    <t xml:space="preserve">Dto. %</t>
  </si>
  <si>
    <t xml:space="preserve">Precio neto</t>
  </si>
  <si>
    <t xml:space="preserve">Coste unit. fabricación</t>
  </si>
  <si>
    <t xml:space="preserve">Coste de ventas</t>
  </si>
  <si>
    <t xml:space="preserve">Portes</t>
  </si>
  <si>
    <t xml:space="preserve">Comisión</t>
  </si>
  <si>
    <t xml:space="preserve">Margen bruto</t>
  </si>
  <si>
    <t xml:space="preserve">Vto. cobro</t>
  </si>
  <si>
    <t xml:space="preserve">Estado cobro</t>
  </si>
  <si>
    <t xml:space="preserve">Pedido único</t>
  </si>
  <si>
    <t xml:space="preserve">P-1001</t>
  </si>
  <si>
    <t xml:space="preserve">Venta</t>
  </si>
  <si>
    <t xml:space="preserve">P-1002</t>
  </si>
  <si>
    <t xml:space="preserve">P-1003</t>
  </si>
  <si>
    <t xml:space="preserve">P-1004</t>
  </si>
  <si>
    <t xml:space="preserve">P-1005</t>
  </si>
  <si>
    <t xml:space="preserve">P-1006</t>
  </si>
  <si>
    <t xml:space="preserve">P-1007</t>
  </si>
  <si>
    <t xml:space="preserve">P-1008</t>
  </si>
  <si>
    <t xml:space="preserve">P-1009</t>
  </si>
  <si>
    <t xml:space="preserve">P-1010</t>
  </si>
  <si>
    <t xml:space="preserve">P-1011</t>
  </si>
  <si>
    <t xml:space="preserve">P-1012</t>
  </si>
  <si>
    <t xml:space="preserve">P-1013</t>
  </si>
  <si>
    <t xml:space="preserve">P-1014</t>
  </si>
  <si>
    <t xml:space="preserve">P-1015</t>
  </si>
  <si>
    <t xml:space="preserve">P-1016</t>
  </si>
  <si>
    <t xml:space="preserve">P-1017</t>
  </si>
  <si>
    <t xml:space="preserve">P-1018</t>
  </si>
  <si>
    <t xml:space="preserve">P-1019</t>
  </si>
  <si>
    <t xml:space="preserve">P-1020</t>
  </si>
  <si>
    <t xml:space="preserve">P-1021</t>
  </si>
  <si>
    <t xml:space="preserve">P-1022</t>
  </si>
  <si>
    <t xml:space="preserve">P-1023</t>
  </si>
  <si>
    <t xml:space="preserve">P-1024</t>
  </si>
  <si>
    <t xml:space="preserve">P-1025</t>
  </si>
  <si>
    <t xml:space="preserve">P-1026</t>
  </si>
  <si>
    <t xml:space="preserve">P-1027</t>
  </si>
  <si>
    <t xml:space="preserve">P-1028</t>
  </si>
  <si>
    <t xml:space="preserve">P-1029</t>
  </si>
  <si>
    <t xml:space="preserve">Abono</t>
  </si>
  <si>
    <t xml:space="preserve">P-1030</t>
  </si>
  <si>
    <t xml:space="preserve">P-1031</t>
  </si>
  <si>
    <t xml:space="preserve">P-1032</t>
  </si>
  <si>
    <t xml:space="preserve">P-1033</t>
  </si>
  <si>
    <t xml:space="preserve">P-1034</t>
  </si>
  <si>
    <t xml:space="preserve">P-1035</t>
  </si>
  <si>
    <t xml:space="preserve">P-1036</t>
  </si>
  <si>
    <t xml:space="preserve">P-1037</t>
  </si>
  <si>
    <t xml:space="preserve">P-1038</t>
  </si>
  <si>
    <t xml:space="preserve">P-1039</t>
  </si>
  <si>
    <t xml:space="preserve">P-1040</t>
  </si>
  <si>
    <t xml:space="preserve">P-1041</t>
  </si>
  <si>
    <t xml:space="preserve">P-1042</t>
  </si>
  <si>
    <t xml:space="preserve">P-1043</t>
  </si>
  <si>
    <t xml:space="preserve">P-1044</t>
  </si>
  <si>
    <t xml:space="preserve">P-1045</t>
  </si>
  <si>
    <t xml:space="preserve">P-1046</t>
  </si>
  <si>
    <t xml:space="preserve">P-1047</t>
  </si>
  <si>
    <t xml:space="preserve">P-1048</t>
  </si>
  <si>
    <t xml:space="preserve">P-1049</t>
  </si>
  <si>
    <t xml:space="preserve">P-1050</t>
  </si>
  <si>
    <t xml:space="preserve">P-1051</t>
  </si>
  <si>
    <t xml:space="preserve">P-1052</t>
  </si>
  <si>
    <t xml:space="preserve">P-1053</t>
  </si>
  <si>
    <t xml:space="preserve">P-1054</t>
  </si>
  <si>
    <t xml:space="preserve">P-1055</t>
  </si>
  <si>
    <t xml:space="preserve">P-1056</t>
  </si>
  <si>
    <t xml:space="preserve">P-1057</t>
  </si>
  <si>
    <t xml:space="preserve">P-1058</t>
  </si>
  <si>
    <t xml:space="preserve">P-1059</t>
  </si>
  <si>
    <t xml:space="preserve">P-1060</t>
  </si>
  <si>
    <t xml:space="preserve">P-1061</t>
  </si>
  <si>
    <t xml:space="preserve">P-1062</t>
  </si>
  <si>
    <t xml:space="preserve">P-1063</t>
  </si>
  <si>
    <t xml:space="preserve">P-1064</t>
  </si>
  <si>
    <t xml:space="preserve">P-1065</t>
  </si>
  <si>
    <t xml:space="preserve">P-1066</t>
  </si>
  <si>
    <t xml:space="preserve">P-1067</t>
  </si>
  <si>
    <t xml:space="preserve">P-1068</t>
  </si>
  <si>
    <t xml:space="preserve">P-1069</t>
  </si>
  <si>
    <t xml:space="preserve">P-1070</t>
  </si>
  <si>
    <t xml:space="preserve">P-1071</t>
  </si>
  <si>
    <t xml:space="preserve">P-1072</t>
  </si>
  <si>
    <t xml:space="preserve">P-1073</t>
  </si>
  <si>
    <t xml:space="preserve">P-1074</t>
  </si>
  <si>
    <t xml:space="preserve">P-1075</t>
  </si>
  <si>
    <t xml:space="preserve">P-1076</t>
  </si>
  <si>
    <t xml:space="preserve">P-1077</t>
  </si>
  <si>
    <t xml:space="preserve">P-1078</t>
  </si>
  <si>
    <t xml:space="preserve">P-1079</t>
  </si>
  <si>
    <t xml:space="preserve">P-1080</t>
  </si>
  <si>
    <t xml:space="preserve">P-1081</t>
  </si>
  <si>
    <t xml:space="preserve">P-1082</t>
  </si>
  <si>
    <t xml:space="preserve">P-1083</t>
  </si>
  <si>
    <t xml:space="preserve">P-1084</t>
  </si>
  <si>
    <t xml:space="preserve">P-1085</t>
  </si>
  <si>
    <t xml:space="preserve">P-1086</t>
  </si>
  <si>
    <t xml:space="preserve">P-1087</t>
  </si>
  <si>
    <t xml:space="preserve">P-1088</t>
  </si>
  <si>
    <t xml:space="preserve">P-1089</t>
  </si>
  <si>
    <t xml:space="preserve">P-1090</t>
  </si>
  <si>
    <t xml:space="preserve">P-1091</t>
  </si>
  <si>
    <t xml:space="preserve">P-1092</t>
  </si>
  <si>
    <t xml:space="preserve">P-1093</t>
  </si>
  <si>
    <t xml:space="preserve">P-1094</t>
  </si>
  <si>
    <t xml:space="preserve">P-1095</t>
  </si>
  <si>
    <t xml:space="preserve">P-1096</t>
  </si>
  <si>
    <t xml:space="preserve">P-1097</t>
  </si>
  <si>
    <t xml:space="preserve">P-1098</t>
  </si>
  <si>
    <t xml:space="preserve">P-1099</t>
  </si>
  <si>
    <t xml:space="preserve">P-1100</t>
  </si>
  <si>
    <t xml:space="preserve">P-1101</t>
  </si>
  <si>
    <t xml:space="preserve">P-1102</t>
  </si>
  <si>
    <t xml:space="preserve">P-1103</t>
  </si>
  <si>
    <t xml:space="preserve">P-1104</t>
  </si>
  <si>
    <t xml:space="preserve">P-1105</t>
  </si>
  <si>
    <t xml:space="preserve">P-1106</t>
  </si>
  <si>
    <t xml:space="preserve">P-1107</t>
  </si>
  <si>
    <t xml:space="preserve">P-1108</t>
  </si>
  <si>
    <t xml:space="preserve">P-1109</t>
  </si>
  <si>
    <t xml:space="preserve">P-1110</t>
  </si>
  <si>
    <t xml:space="preserve">P-1111</t>
  </si>
  <si>
    <t xml:space="preserve">P-1112</t>
  </si>
  <si>
    <t xml:space="preserve">P-1113</t>
  </si>
  <si>
    <t xml:space="preserve">P-1114</t>
  </si>
  <si>
    <t xml:space="preserve">P-1115</t>
  </si>
  <si>
    <t xml:space="preserve">P-1116</t>
  </si>
  <si>
    <t xml:space="preserve">P-1117</t>
  </si>
  <si>
    <t xml:space="preserve">P-1118</t>
  </si>
  <si>
    <t xml:space="preserve">P-1119</t>
  </si>
  <si>
    <t xml:space="preserve">P-1120</t>
  </si>
  <si>
    <t xml:space="preserve">P-1121</t>
  </si>
  <si>
    <t xml:space="preserve">P-1122</t>
  </si>
  <si>
    <t xml:space="preserve">P-1123</t>
  </si>
  <si>
    <t xml:space="preserve">P-1124</t>
  </si>
  <si>
    <t xml:space="preserve">P-1125</t>
  </si>
  <si>
    <t xml:space="preserve">P-1126</t>
  </si>
  <si>
    <t xml:space="preserve">P-1127</t>
  </si>
  <si>
    <t xml:space="preserve">P-1128</t>
  </si>
  <si>
    <t xml:space="preserve">P-1129</t>
  </si>
  <si>
    <t xml:space="preserve">P-1130</t>
  </si>
  <si>
    <t xml:space="preserve">P-1131</t>
  </si>
  <si>
    <t xml:space="preserve">P-1132</t>
  </si>
  <si>
    <t xml:space="preserve">P-1133</t>
  </si>
  <si>
    <t xml:space="preserve">P-1134</t>
  </si>
  <si>
    <t xml:space="preserve">P-1135</t>
  </si>
  <si>
    <t xml:space="preserve">P-1136</t>
  </si>
  <si>
    <t xml:space="preserve">P-1137</t>
  </si>
  <si>
    <t xml:space="preserve">P-1138</t>
  </si>
  <si>
    <t xml:space="preserve">P-1139</t>
  </si>
  <si>
    <t xml:space="preserve">P-1140</t>
  </si>
  <si>
    <t xml:space="preserve">P-1141</t>
  </si>
  <si>
    <t xml:space="preserve">P-1142</t>
  </si>
  <si>
    <t xml:space="preserve">P-1143</t>
  </si>
  <si>
    <t xml:space="preserve">P-1144</t>
  </si>
  <si>
    <t xml:space="preserve">P-1145</t>
  </si>
  <si>
    <t xml:space="preserve">P-1146</t>
  </si>
  <si>
    <t xml:space="preserve">P-1147</t>
  </si>
  <si>
    <t xml:space="preserve">P-1148</t>
  </si>
  <si>
    <t xml:space="preserve">P-1149</t>
  </si>
  <si>
    <t xml:space="preserve">P-1150</t>
  </si>
  <si>
    <t xml:space="preserve">P-1151</t>
  </si>
  <si>
    <t xml:space="preserve">P-1152</t>
  </si>
  <si>
    <t xml:space="preserve">P-1153</t>
  </si>
  <si>
    <t xml:space="preserve">P-1154</t>
  </si>
  <si>
    <t xml:space="preserve">P-1155</t>
  </si>
  <si>
    <t xml:space="preserve">P-1156</t>
  </si>
  <si>
    <t xml:space="preserve">P-1157</t>
  </si>
  <si>
    <t xml:space="preserve">P-1158</t>
  </si>
  <si>
    <t xml:space="preserve">P-1159</t>
  </si>
  <si>
    <t xml:space="preserve">P-1160</t>
  </si>
  <si>
    <t xml:space="preserve">P-1161</t>
  </si>
  <si>
    <t xml:space="preserve">P-1162</t>
  </si>
  <si>
    <t xml:space="preserve">P-1163</t>
  </si>
  <si>
    <t xml:space="preserve">P-1164</t>
  </si>
  <si>
    <t xml:space="preserve">P-1165</t>
  </si>
  <si>
    <t xml:space="preserve">P-1166</t>
  </si>
  <si>
    <t xml:space="preserve">P-1167</t>
  </si>
  <si>
    <t xml:space="preserve">P-1168</t>
  </si>
  <si>
    <t xml:space="preserve">P-1169</t>
  </si>
  <si>
    <t xml:space="preserve">P-1170</t>
  </si>
  <si>
    <t xml:space="preserve">P-1171</t>
  </si>
  <si>
    <t xml:space="preserve">P-1172</t>
  </si>
  <si>
    <t xml:space="preserve">P-1173</t>
  </si>
  <si>
    <t xml:space="preserve">P-1174</t>
  </si>
  <si>
    <t xml:space="preserve">P-1175</t>
  </si>
  <si>
    <t xml:space="preserve">P-1176</t>
  </si>
  <si>
    <t xml:space="preserve">P-1177</t>
  </si>
  <si>
    <t xml:space="preserve">P-1178</t>
  </si>
  <si>
    <t xml:space="preserve">P-1179</t>
  </si>
  <si>
    <t xml:space="preserve">P-1180</t>
  </si>
  <si>
    <t xml:space="preserve">P-1181</t>
  </si>
  <si>
    <t xml:space="preserve">P-1182</t>
  </si>
  <si>
    <t xml:space="preserve">P-1183</t>
  </si>
  <si>
    <t xml:space="preserve">P-1184</t>
  </si>
  <si>
    <t xml:space="preserve">P-1185</t>
  </si>
  <si>
    <t xml:space="preserve">P-1186</t>
  </si>
  <si>
    <t xml:space="preserve">P-1187</t>
  </si>
  <si>
    <t xml:space="preserve">P-1188</t>
  </si>
  <si>
    <t xml:space="preserve">P-1189</t>
  </si>
  <si>
    <t xml:space="preserve">P-1190</t>
  </si>
  <si>
    <t xml:space="preserve">P-1191</t>
  </si>
  <si>
    <t xml:space="preserve">P-1192</t>
  </si>
  <si>
    <t xml:space="preserve">P-1193</t>
  </si>
  <si>
    <t xml:space="preserve">P-1194</t>
  </si>
  <si>
    <t xml:space="preserve">P-1195</t>
  </si>
  <si>
    <t xml:space="preserve">P-1196</t>
  </si>
  <si>
    <t xml:space="preserve">P-1197</t>
  </si>
  <si>
    <t xml:space="preserve">P-1198</t>
  </si>
  <si>
    <t xml:space="preserve">P-1199</t>
  </si>
  <si>
    <t xml:space="preserve">P-1200</t>
  </si>
  <si>
    <t xml:space="preserve">P-1201</t>
  </si>
  <si>
    <t xml:space="preserve">P-1202</t>
  </si>
  <si>
    <t xml:space="preserve">P-1203</t>
  </si>
  <si>
    <t xml:space="preserve">P-1204</t>
  </si>
  <si>
    <t xml:space="preserve">P-1205</t>
  </si>
  <si>
    <t xml:space="preserve">P-1206</t>
  </si>
  <si>
    <t xml:space="preserve">P-1207</t>
  </si>
  <si>
    <t xml:space="preserve">P-1208</t>
  </si>
  <si>
    <t xml:space="preserve">P-1209</t>
  </si>
  <si>
    <t xml:space="preserve">P-1210</t>
  </si>
  <si>
    <t xml:space="preserve">P-1211</t>
  </si>
  <si>
    <t xml:space="preserve">P-1212</t>
  </si>
  <si>
    <t xml:space="preserve">P-1213</t>
  </si>
  <si>
    <t xml:space="preserve">P-1214</t>
  </si>
  <si>
    <t xml:space="preserve">P-1215</t>
  </si>
  <si>
    <t xml:space="preserve">P-1216</t>
  </si>
  <si>
    <t xml:space="preserve">P-1217</t>
  </si>
  <si>
    <t xml:space="preserve">P-1218</t>
  </si>
  <si>
    <t xml:space="preserve">P-1219</t>
  </si>
  <si>
    <t xml:space="preserve">P-1220</t>
  </si>
  <si>
    <t xml:space="preserve">P-1221</t>
  </si>
  <si>
    <t xml:space="preserve">P-1222</t>
  </si>
  <si>
    <t xml:space="preserve">P-1223</t>
  </si>
  <si>
    <t xml:space="preserve">P-1224</t>
  </si>
  <si>
    <t xml:space="preserve">P-1225</t>
  </si>
  <si>
    <t xml:space="preserve">P-1226</t>
  </si>
  <si>
    <t xml:space="preserve">P-1227</t>
  </si>
  <si>
    <t xml:space="preserve">P-1228</t>
  </si>
  <si>
    <t xml:space="preserve">P-1229</t>
  </si>
  <si>
    <t xml:space="preserve">P-1230</t>
  </si>
  <si>
    <t xml:space="preserve">P-1231</t>
  </si>
  <si>
    <t xml:space="preserve">P-1232</t>
  </si>
  <si>
    <t xml:space="preserve">P-1233</t>
  </si>
  <si>
    <t xml:space="preserve">P-1234</t>
  </si>
  <si>
    <t xml:space="preserve">P-1235</t>
  </si>
  <si>
    <t xml:space="preserve">P-1236</t>
  </si>
  <si>
    <t xml:space="preserve">P-1237</t>
  </si>
  <si>
    <t xml:space="preserve">P-1238</t>
  </si>
  <si>
    <t xml:space="preserve">P-1239</t>
  </si>
  <si>
    <t xml:space="preserve">P-1240</t>
  </si>
  <si>
    <t xml:space="preserve">P-1241</t>
  </si>
  <si>
    <t xml:space="preserve">P-1242</t>
  </si>
  <si>
    <t xml:space="preserve">P-1243</t>
  </si>
  <si>
    <t xml:space="preserve">P-1244</t>
  </si>
  <si>
    <t xml:space="preserve">P-1245</t>
  </si>
  <si>
    <t xml:space="preserve">P-1246</t>
  </si>
  <si>
    <t xml:space="preserve">P-1247</t>
  </si>
  <si>
    <t xml:space="preserve">P-1248</t>
  </si>
  <si>
    <t xml:space="preserve">P-1249</t>
  </si>
  <si>
    <t xml:space="preserve">P-1250</t>
  </si>
  <si>
    <t xml:space="preserve">P-1251</t>
  </si>
  <si>
    <t xml:space="preserve">P-1252</t>
  </si>
  <si>
    <t xml:space="preserve">P-1253</t>
  </si>
  <si>
    <t xml:space="preserve">P-1254</t>
  </si>
  <si>
    <t xml:space="preserve">P-1255</t>
  </si>
  <si>
    <t xml:space="preserve">P-1256</t>
  </si>
  <si>
    <t xml:space="preserve">P-1257</t>
  </si>
  <si>
    <t xml:space="preserve">P-1258</t>
  </si>
  <si>
    <t xml:space="preserve">P-1259</t>
  </si>
  <si>
    <t xml:space="preserve">P-1260</t>
  </si>
  <si>
    <t xml:space="preserve">P-1261</t>
  </si>
  <si>
    <t xml:space="preserve">P-1262</t>
  </si>
  <si>
    <t xml:space="preserve">P-1263</t>
  </si>
  <si>
    <t xml:space="preserve">P-1264</t>
  </si>
  <si>
    <t xml:space="preserve">P-1265</t>
  </si>
  <si>
    <t xml:space="preserve">P-1266</t>
  </si>
  <si>
    <t xml:space="preserve">P-1267</t>
  </si>
  <si>
    <t xml:space="preserve">P-1268</t>
  </si>
  <si>
    <t xml:space="preserve">P-1269</t>
  </si>
  <si>
    <t xml:space="preserve">P-1270</t>
  </si>
  <si>
    <t xml:space="preserve">P-1271</t>
  </si>
  <si>
    <t xml:space="preserve">P-1272</t>
  </si>
  <si>
    <t xml:space="preserve">P-1273</t>
  </si>
  <si>
    <t xml:space="preserve">P-1274</t>
  </si>
  <si>
    <t xml:space="preserve">P-1275</t>
  </si>
  <si>
    <t xml:space="preserve">P-1276</t>
  </si>
  <si>
    <t xml:space="preserve">P-1277</t>
  </si>
  <si>
    <t xml:space="preserve">P-1278</t>
  </si>
  <si>
    <t xml:space="preserve">P-1279</t>
  </si>
  <si>
    <t xml:space="preserve">P-1280</t>
  </si>
  <si>
    <t xml:space="preserve">P-1281</t>
  </si>
  <si>
    <t xml:space="preserve">P-1282</t>
  </si>
  <si>
    <t xml:space="preserve">P-1283</t>
  </si>
  <si>
    <t xml:space="preserve">P-1284</t>
  </si>
  <si>
    <t xml:space="preserve">P-1285</t>
  </si>
  <si>
    <t xml:space="preserve">P-1286</t>
  </si>
  <si>
    <t xml:space="preserve">P-1287</t>
  </si>
  <si>
    <t xml:space="preserve">P-1288</t>
  </si>
  <si>
    <t xml:space="preserve">P-1289</t>
  </si>
  <si>
    <t xml:space="preserve">P-1290</t>
  </si>
  <si>
    <t xml:space="preserve">P-1291</t>
  </si>
  <si>
    <t xml:space="preserve">P-1292</t>
  </si>
  <si>
    <t xml:space="preserve">P-1293</t>
  </si>
  <si>
    <t xml:space="preserve">P-1294</t>
  </si>
  <si>
    <t xml:space="preserve">P-1295</t>
  </si>
  <si>
    <t xml:space="preserve">P-1296</t>
  </si>
  <si>
    <t xml:space="preserve">P-1297</t>
  </si>
  <si>
    <t xml:space="preserve">P-1298</t>
  </si>
  <si>
    <t xml:space="preserve">P-1299</t>
  </si>
  <si>
    <t xml:space="preserve">P-1300</t>
  </si>
  <si>
    <t xml:space="preserve">P-1301</t>
  </si>
  <si>
    <t xml:space="preserve">P-1302</t>
  </si>
  <si>
    <t xml:space="preserve">P-1303</t>
  </si>
  <si>
    <t xml:space="preserve">P-1304</t>
  </si>
  <si>
    <t xml:space="preserve">P-1305</t>
  </si>
  <si>
    <t xml:space="preserve">P-1306</t>
  </si>
  <si>
    <t xml:space="preserve">P-1307</t>
  </si>
  <si>
    <t xml:space="preserve">P-1308</t>
  </si>
  <si>
    <t xml:space="preserve">P-1309</t>
  </si>
  <si>
    <t xml:space="preserve">P-1310</t>
  </si>
  <si>
    <t xml:space="preserve">P-1311</t>
  </si>
  <si>
    <t xml:space="preserve">P-1312</t>
  </si>
  <si>
    <t xml:space="preserve">P-1313</t>
  </si>
  <si>
    <t xml:space="preserve">P-1314</t>
  </si>
  <si>
    <t xml:space="preserve">P-1315</t>
  </si>
  <si>
    <t xml:space="preserve">P-1316</t>
  </si>
  <si>
    <t xml:space="preserve">P-1317</t>
  </si>
  <si>
    <t xml:space="preserve">P-1318</t>
  </si>
  <si>
    <t xml:space="preserve">P-1319</t>
  </si>
  <si>
    <t xml:space="preserve">P-1320</t>
  </si>
  <si>
    <t xml:space="preserve">P-1321</t>
  </si>
  <si>
    <t xml:space="preserve">P-1322</t>
  </si>
  <si>
    <t xml:space="preserve">P-1323</t>
  </si>
  <si>
    <t xml:space="preserve">P-1324</t>
  </si>
  <si>
    <t xml:space="preserve">P-1325</t>
  </si>
  <si>
    <t xml:space="preserve">P-1326</t>
  </si>
  <si>
    <t xml:space="preserve">P-1327</t>
  </si>
  <si>
    <t xml:space="preserve">P-1328</t>
  </si>
  <si>
    <t xml:space="preserve">P-1329</t>
  </si>
  <si>
    <t xml:space="preserve">P-1330</t>
  </si>
  <si>
    <t xml:space="preserve">P-1331</t>
  </si>
  <si>
    <t xml:space="preserve">P-1332</t>
  </si>
  <si>
    <t xml:space="preserve">P-1333</t>
  </si>
  <si>
    <t xml:space="preserve">P-1334</t>
  </si>
  <si>
    <t xml:space="preserve">P-1335</t>
  </si>
  <si>
    <t xml:space="preserve">P-1336</t>
  </si>
  <si>
    <t xml:space="preserve">P-1337</t>
  </si>
  <si>
    <t xml:space="preserve">P-1338</t>
  </si>
  <si>
    <t xml:space="preserve">P-1339</t>
  </si>
  <si>
    <t xml:space="preserve">P-1340</t>
  </si>
  <si>
    <t xml:space="preserve">P-1341</t>
  </si>
  <si>
    <t xml:space="preserve">P-1342</t>
  </si>
  <si>
    <t xml:space="preserve">P-1343</t>
  </si>
  <si>
    <t xml:space="preserve">P-1344</t>
  </si>
  <si>
    <t xml:space="preserve">P-1345</t>
  </si>
  <si>
    <t xml:space="preserve">P-1346</t>
  </si>
  <si>
    <t xml:space="preserve">P-1347</t>
  </si>
  <si>
    <t xml:space="preserve">P-1348</t>
  </si>
  <si>
    <t xml:space="preserve">P-1349</t>
  </si>
  <si>
    <t xml:space="preserve">P-1350</t>
  </si>
  <si>
    <t xml:space="preserve">P-1351</t>
  </si>
  <si>
    <t xml:space="preserve">P-1352</t>
  </si>
  <si>
    <t xml:space="preserve">P-1353</t>
  </si>
  <si>
    <t xml:space="preserve">P-1354</t>
  </si>
  <si>
    <t xml:space="preserve">P-1355</t>
  </si>
  <si>
    <t xml:space="preserve">P-1356</t>
  </si>
  <si>
    <t xml:space="preserve">P-1357</t>
  </si>
  <si>
    <t xml:space="preserve">P-1358</t>
  </si>
  <si>
    <t xml:space="preserve">P-1359</t>
  </si>
  <si>
    <t xml:space="preserve">P-1360</t>
  </si>
  <si>
    <t xml:space="preserve">P-1361</t>
  </si>
  <si>
    <t xml:space="preserve">P-1362</t>
  </si>
  <si>
    <t xml:space="preserve">P-1363</t>
  </si>
  <si>
    <t xml:space="preserve">P-1364</t>
  </si>
  <si>
    <t xml:space="preserve">P-1365</t>
  </si>
  <si>
    <t xml:space="preserve">P-1366</t>
  </si>
  <si>
    <t xml:space="preserve">P-1367</t>
  </si>
  <si>
    <t xml:space="preserve">P-1368</t>
  </si>
  <si>
    <t xml:space="preserve">P-1369</t>
  </si>
  <si>
    <t xml:space="preserve">P-1370</t>
  </si>
  <si>
    <t xml:space="preserve">P-1371</t>
  </si>
  <si>
    <t xml:space="preserve">P-1372</t>
  </si>
  <si>
    <t xml:space="preserve">P-1373</t>
  </si>
  <si>
    <t xml:space="preserve">P-1374</t>
  </si>
  <si>
    <t xml:space="preserve">P-1375</t>
  </si>
  <si>
    <t xml:space="preserve">P-1376</t>
  </si>
  <si>
    <t xml:space="preserve">P-1377</t>
  </si>
  <si>
    <t xml:space="preserve">P-1378</t>
  </si>
  <si>
    <t xml:space="preserve">P-1379</t>
  </si>
  <si>
    <t xml:space="preserve">P-1380</t>
  </si>
  <si>
    <t xml:space="preserve">P-1381</t>
  </si>
  <si>
    <t xml:space="preserve">P-1382</t>
  </si>
  <si>
    <t xml:space="preserve">P-1383</t>
  </si>
  <si>
    <t xml:space="preserve">P-1384</t>
  </si>
  <si>
    <t xml:space="preserve">P-1385</t>
  </si>
  <si>
    <t xml:space="preserve">P-1386</t>
  </si>
  <si>
    <t xml:space="preserve">P-1387</t>
  </si>
  <si>
    <t xml:space="preserve">P-1388</t>
  </si>
  <si>
    <t xml:space="preserve">P-1389</t>
  </si>
  <si>
    <t xml:space="preserve">P-1390</t>
  </si>
  <si>
    <t xml:space="preserve">P-1391</t>
  </si>
  <si>
    <t xml:space="preserve">P-1392</t>
  </si>
  <si>
    <t xml:space="preserve">P-1393</t>
  </si>
  <si>
    <t xml:space="preserve">P-1394</t>
  </si>
  <si>
    <t xml:space="preserve">P-1395</t>
  </si>
  <si>
    <t xml:space="preserve">P-1396</t>
  </si>
  <si>
    <t xml:space="preserve">P-1397</t>
  </si>
  <si>
    <t xml:space="preserve">P-1398</t>
  </si>
  <si>
    <t xml:space="preserve">P-1399</t>
  </si>
  <si>
    <t xml:space="preserve">P-1400</t>
  </si>
  <si>
    <t xml:space="preserve">P-1401</t>
  </si>
  <si>
    <t xml:space="preserve">P-1402</t>
  </si>
  <si>
    <t xml:space="preserve">P-1403</t>
  </si>
  <si>
    <t xml:space="preserve">P-1404</t>
  </si>
  <si>
    <t xml:space="preserve">P-1405</t>
  </si>
  <si>
    <t xml:space="preserve">P-1406</t>
  </si>
  <si>
    <t xml:space="preserve">P-1407</t>
  </si>
  <si>
    <t xml:space="preserve">P-1408</t>
  </si>
  <si>
    <t xml:space="preserve">P-1409</t>
  </si>
  <si>
    <t xml:space="preserve">P-1410</t>
  </si>
  <si>
    <t xml:space="preserve">P-1411</t>
  </si>
  <si>
    <t xml:space="preserve">P-1412</t>
  </si>
  <si>
    <t xml:space="preserve">P-1413</t>
  </si>
  <si>
    <t xml:space="preserve">P-1414</t>
  </si>
  <si>
    <t xml:space="preserve">P-1415</t>
  </si>
  <si>
    <t xml:space="preserve">P-1416</t>
  </si>
  <si>
    <t xml:space="preserve">P-1417</t>
  </si>
  <si>
    <t xml:space="preserve">P-1418</t>
  </si>
  <si>
    <t xml:space="preserve">P-1419</t>
  </si>
  <si>
    <t xml:space="preserve">P-1420</t>
  </si>
  <si>
    <t xml:space="preserve">P-1421</t>
  </si>
  <si>
    <t xml:space="preserve">P-1422</t>
  </si>
  <si>
    <t xml:space="preserve">P-1423</t>
  </si>
  <si>
    <t xml:space="preserve">P-1424</t>
  </si>
  <si>
    <t xml:space="preserve">P-1425</t>
  </si>
  <si>
    <t xml:space="preserve">P-1426</t>
  </si>
  <si>
    <t xml:space="preserve">P-1427</t>
  </si>
  <si>
    <t xml:space="preserve">P-1428</t>
  </si>
  <si>
    <t xml:space="preserve">P-1429</t>
  </si>
  <si>
    <t xml:space="preserve">P-1430</t>
  </si>
  <si>
    <t xml:space="preserve">P-1431</t>
  </si>
  <si>
    <t xml:space="preserve">P-1432</t>
  </si>
  <si>
    <t xml:space="preserve">P-1433</t>
  </si>
  <si>
    <t xml:space="preserve">P-1434</t>
  </si>
  <si>
    <t xml:space="preserve">P-1435</t>
  </si>
  <si>
    <t xml:space="preserve">P-1436</t>
  </si>
  <si>
    <t xml:space="preserve">P-1437</t>
  </si>
  <si>
    <t xml:space="preserve">P-1438</t>
  </si>
  <si>
    <t xml:space="preserve">P-1439</t>
  </si>
  <si>
    <t xml:space="preserve">P-1440</t>
  </si>
  <si>
    <t xml:space="preserve">P-1441</t>
  </si>
  <si>
    <t xml:space="preserve">P-1442</t>
  </si>
  <si>
    <t xml:space="preserve">P-1443</t>
  </si>
  <si>
    <t xml:space="preserve">P-1444</t>
  </si>
  <si>
    <t xml:space="preserve">P-1445</t>
  </si>
  <si>
    <t xml:space="preserve">P-1446</t>
  </si>
  <si>
    <t xml:space="preserve">P-1447</t>
  </si>
  <si>
    <t xml:space="preserve">P-1448</t>
  </si>
  <si>
    <t xml:space="preserve">P-1449</t>
  </si>
  <si>
    <t xml:space="preserve">P-1450</t>
  </si>
  <si>
    <t xml:space="preserve">P-1451</t>
  </si>
  <si>
    <t xml:space="preserve">P-1452</t>
  </si>
  <si>
    <t xml:space="preserve">P-1453</t>
  </si>
  <si>
    <t xml:space="preserve">P-1454</t>
  </si>
  <si>
    <t xml:space="preserve">P-1455</t>
  </si>
  <si>
    <t xml:space="preserve">P-1456</t>
  </si>
  <si>
    <t xml:space="preserve">P-1457</t>
  </si>
  <si>
    <t xml:space="preserve">P-1458</t>
  </si>
  <si>
    <t xml:space="preserve">P-1459</t>
  </si>
  <si>
    <t xml:space="preserve">P-1460</t>
  </si>
  <si>
    <t xml:space="preserve">P-1461</t>
  </si>
  <si>
    <t xml:space="preserve">P-1462</t>
  </si>
  <si>
    <t xml:space="preserve">P-1463</t>
  </si>
  <si>
    <t xml:space="preserve">P-1464</t>
  </si>
  <si>
    <t xml:space="preserve">P-1465</t>
  </si>
  <si>
    <t xml:space="preserve">P-1466</t>
  </si>
  <si>
    <t xml:space="preserve">P-1467</t>
  </si>
  <si>
    <t xml:space="preserve">P-1468</t>
  </si>
  <si>
    <t xml:space="preserve">P-1469</t>
  </si>
  <si>
    <t xml:space="preserve">P-1470</t>
  </si>
  <si>
    <t xml:space="preserve">P-1471</t>
  </si>
  <si>
    <t xml:space="preserve">P-1472</t>
  </si>
  <si>
    <t xml:space="preserve">P-1473</t>
  </si>
  <si>
    <t xml:space="preserve">P-1474</t>
  </si>
  <si>
    <t xml:space="preserve">P-1475</t>
  </si>
  <si>
    <t xml:space="preserve">P-1476</t>
  </si>
  <si>
    <t xml:space="preserve">P-1477</t>
  </si>
  <si>
    <t xml:space="preserve">P-1478</t>
  </si>
  <si>
    <t xml:space="preserve">P-1479</t>
  </si>
  <si>
    <t xml:space="preserve">P-1480</t>
  </si>
  <si>
    <t xml:space="preserve">P-1481</t>
  </si>
  <si>
    <t xml:space="preserve">P-1482</t>
  </si>
  <si>
    <t xml:space="preserve">P-1483</t>
  </si>
  <si>
    <t xml:space="preserve">P-1484</t>
  </si>
  <si>
    <t xml:space="preserve">P-1485</t>
  </si>
  <si>
    <t xml:space="preserve">P-1486</t>
  </si>
  <si>
    <t xml:space="preserve">P-1487</t>
  </si>
  <si>
    <t xml:space="preserve">P-1488</t>
  </si>
  <si>
    <t xml:space="preserve">P-1489</t>
  </si>
  <si>
    <t xml:space="preserve">P-1490</t>
  </si>
  <si>
    <t xml:space="preserve">P-1491</t>
  </si>
  <si>
    <t xml:space="preserve">P-1492</t>
  </si>
  <si>
    <t xml:space="preserve">P-1493</t>
  </si>
  <si>
    <t xml:space="preserve">P-1494</t>
  </si>
  <si>
    <t xml:space="preserve">P-1495</t>
  </si>
  <si>
    <t xml:space="preserve">P-1496</t>
  </si>
  <si>
    <t xml:space="preserve">P-1497</t>
  </si>
  <si>
    <t xml:space="preserve">P-1498</t>
  </si>
  <si>
    <t xml:space="preserve">P-1499</t>
  </si>
  <si>
    <t xml:space="preserve">P-1500</t>
  </si>
  <si>
    <t xml:space="preserve">P-1501</t>
  </si>
  <si>
    <t xml:space="preserve">P-1502</t>
  </si>
  <si>
    <t xml:space="preserve">P-1503</t>
  </si>
  <si>
    <t xml:space="preserve">P-1504</t>
  </si>
  <si>
    <t xml:space="preserve">P-1505</t>
  </si>
  <si>
    <t xml:space="preserve">P-1506</t>
  </si>
  <si>
    <t xml:space="preserve">P-1507</t>
  </si>
  <si>
    <t xml:space="preserve">P-1508</t>
  </si>
  <si>
    <t xml:space="preserve">P-1509</t>
  </si>
  <si>
    <t xml:space="preserve">P-1510</t>
  </si>
  <si>
    <t xml:space="preserve">P-1511</t>
  </si>
  <si>
    <t xml:space="preserve">P-1512</t>
  </si>
  <si>
    <t xml:space="preserve">P-1513</t>
  </si>
  <si>
    <t xml:space="preserve">P-1514</t>
  </si>
  <si>
    <t xml:space="preserve">P-1515</t>
  </si>
  <si>
    <t xml:space="preserve">P-1516</t>
  </si>
  <si>
    <t xml:space="preserve">P-1517</t>
  </si>
  <si>
    <t xml:space="preserve">P-1518</t>
  </si>
  <si>
    <t xml:space="preserve">P-1519</t>
  </si>
  <si>
    <t xml:space="preserve">P-1520</t>
  </si>
  <si>
    <t xml:space="preserve">P-1521</t>
  </si>
  <si>
    <t xml:space="preserve">P-1522</t>
  </si>
  <si>
    <t xml:space="preserve">P-1523</t>
  </si>
  <si>
    <t xml:space="preserve">P-1524</t>
  </si>
  <si>
    <t xml:space="preserve">P-1525</t>
  </si>
  <si>
    <t xml:space="preserve">P-1526</t>
  </si>
  <si>
    <t xml:space="preserve">P-1527</t>
  </si>
  <si>
    <t xml:space="preserve">P-1528</t>
  </si>
  <si>
    <t xml:space="preserve">P-1529</t>
  </si>
  <si>
    <t xml:space="preserve">P-1530</t>
  </si>
  <si>
    <t xml:space="preserve">P-1531</t>
  </si>
  <si>
    <t xml:space="preserve">P-1532</t>
  </si>
  <si>
    <t xml:space="preserve">P-1533</t>
  </si>
  <si>
    <t xml:space="preserve">P-1534</t>
  </si>
  <si>
    <t xml:space="preserve">P-1535</t>
  </si>
  <si>
    <t xml:space="preserve">P-1536</t>
  </si>
  <si>
    <t xml:space="preserve">P-1537</t>
  </si>
  <si>
    <t xml:space="preserve">P-1538</t>
  </si>
  <si>
    <t xml:space="preserve">P-1539</t>
  </si>
  <si>
    <t xml:space="preserve">P-1540</t>
  </si>
  <si>
    <t xml:space="preserve">P-1541</t>
  </si>
  <si>
    <t xml:space="preserve">P-1542</t>
  </si>
  <si>
    <t xml:space="preserve">P-1543</t>
  </si>
  <si>
    <t xml:space="preserve">P-1544</t>
  </si>
  <si>
    <t xml:space="preserve">P-1545</t>
  </si>
  <si>
    <t xml:space="preserve">P-1546</t>
  </si>
  <si>
    <t xml:space="preserve">P-1547</t>
  </si>
  <si>
    <t xml:space="preserve">P-1548</t>
  </si>
  <si>
    <t xml:space="preserve">P-1549</t>
  </si>
  <si>
    <t xml:space="preserve">P-1550</t>
  </si>
  <si>
    <t xml:space="preserve">P-1551</t>
  </si>
  <si>
    <t xml:space="preserve">P-1552</t>
  </si>
  <si>
    <t xml:space="preserve">P-1553</t>
  </si>
  <si>
    <t xml:space="preserve">P-1554</t>
  </si>
  <si>
    <t xml:space="preserve">P-1555</t>
  </si>
  <si>
    <t xml:space="preserve">P-1556</t>
  </si>
  <si>
    <t xml:space="preserve">P-1557</t>
  </si>
  <si>
    <t xml:space="preserve">P-1558</t>
  </si>
  <si>
    <t xml:space="preserve">P-1559</t>
  </si>
  <si>
    <t xml:space="preserve">P-1560</t>
  </si>
  <si>
    <t xml:space="preserve">P-1561</t>
  </si>
  <si>
    <t xml:space="preserve">P-1562</t>
  </si>
  <si>
    <t xml:space="preserve">P-1563</t>
  </si>
  <si>
    <t xml:space="preserve">P-1564</t>
  </si>
  <si>
    <t xml:space="preserve">P-1565</t>
  </si>
  <si>
    <t xml:space="preserve">P-1566</t>
  </si>
  <si>
    <t xml:space="preserve">P-1567</t>
  </si>
  <si>
    <t xml:space="preserve">P-1568</t>
  </si>
  <si>
    <t xml:space="preserve">P-1569</t>
  </si>
  <si>
    <t xml:space="preserve">P-1570</t>
  </si>
  <si>
    <t xml:space="preserve">P-1571</t>
  </si>
  <si>
    <t xml:space="preserve">P-1572</t>
  </si>
  <si>
    <t xml:space="preserve">P-1573</t>
  </si>
  <si>
    <t xml:space="preserve">P-1574</t>
  </si>
  <si>
    <t xml:space="preserve">P-1575</t>
  </si>
  <si>
    <t xml:space="preserve">P-1576</t>
  </si>
  <si>
    <t xml:space="preserve">P-1577</t>
  </si>
  <si>
    <t xml:space="preserve">P-1578</t>
  </si>
  <si>
    <t xml:space="preserve">P-1579</t>
  </si>
  <si>
    <t xml:space="preserve">P-1580</t>
  </si>
  <si>
    <t xml:space="preserve">P-1581</t>
  </si>
  <si>
    <t xml:space="preserve">P-1582</t>
  </si>
  <si>
    <t xml:space="preserve">P-1583</t>
  </si>
  <si>
    <t xml:space="preserve">P-1584</t>
  </si>
  <si>
    <t xml:space="preserve">P-1585</t>
  </si>
  <si>
    <t xml:space="preserve">P-1586</t>
  </si>
  <si>
    <t xml:space="preserve">P-1587</t>
  </si>
  <si>
    <t xml:space="preserve">P-1588</t>
  </si>
  <si>
    <t xml:space="preserve">P-1589</t>
  </si>
  <si>
    <t xml:space="preserve">P-1590</t>
  </si>
  <si>
    <t xml:space="preserve">P-1591</t>
  </si>
  <si>
    <t xml:space="preserve">P-1592</t>
  </si>
  <si>
    <t xml:space="preserve">P-1593</t>
  </si>
  <si>
    <t xml:space="preserve">P-1594</t>
  </si>
  <si>
    <t xml:space="preserve">P-1595</t>
  </si>
  <si>
    <t xml:space="preserve">P-1596</t>
  </si>
  <si>
    <t xml:space="preserve">P-1597</t>
  </si>
  <si>
    <t xml:space="preserve">P-1598</t>
  </si>
  <si>
    <t xml:space="preserve">P-1599</t>
  </si>
  <si>
    <t xml:space="preserve">P-1600</t>
  </si>
  <si>
    <t xml:space="preserve">P-1601</t>
  </si>
  <si>
    <t xml:space="preserve">P-1602</t>
  </si>
  <si>
    <t xml:space="preserve">P-1603</t>
  </si>
  <si>
    <t xml:space="preserve">P-1604</t>
  </si>
  <si>
    <t xml:space="preserve">P-1605</t>
  </si>
  <si>
    <t xml:space="preserve">P-1606</t>
  </si>
  <si>
    <t xml:space="preserve">P-1607</t>
  </si>
  <si>
    <t xml:space="preserve">P-1608</t>
  </si>
  <si>
    <t xml:space="preserve">P-1609</t>
  </si>
  <si>
    <t xml:space="preserve">P-1610</t>
  </si>
  <si>
    <t xml:space="preserve">P-1611</t>
  </si>
  <si>
    <t xml:space="preserve">P-1612</t>
  </si>
  <si>
    <t xml:space="preserve">P-1613</t>
  </si>
  <si>
    <t xml:space="preserve">P-1614</t>
  </si>
  <si>
    <t xml:space="preserve">P-1615</t>
  </si>
  <si>
    <t xml:space="preserve">P-1616</t>
  </si>
  <si>
    <t xml:space="preserve">P-1617</t>
  </si>
  <si>
    <t xml:space="preserve">P-1618</t>
  </si>
  <si>
    <t xml:space="preserve">P-1619</t>
  </si>
  <si>
    <t xml:space="preserve">P-1620</t>
  </si>
  <si>
    <t xml:space="preserve">P-1621</t>
  </si>
  <si>
    <t xml:space="preserve">P-1622</t>
  </si>
  <si>
    <t xml:space="preserve">P-1623</t>
  </si>
  <si>
    <t xml:space="preserve">P-1624</t>
  </si>
  <si>
    <t xml:space="preserve">P-1625</t>
  </si>
  <si>
    <t xml:space="preserve">P-1626</t>
  </si>
  <si>
    <t xml:space="preserve">P-1627</t>
  </si>
  <si>
    <t xml:space="preserve">P-1628</t>
  </si>
  <si>
    <t xml:space="preserve">P-1629</t>
  </si>
  <si>
    <t xml:space="preserve">P-1630</t>
  </si>
  <si>
    <t xml:space="preserve">P-1631</t>
  </si>
  <si>
    <t xml:space="preserve">P-1632</t>
  </si>
  <si>
    <t xml:space="preserve">P-1633</t>
  </si>
  <si>
    <t xml:space="preserve">P-1634</t>
  </si>
  <si>
    <t xml:space="preserve">P-1635</t>
  </si>
  <si>
    <t xml:space="preserve">P-1636</t>
  </si>
  <si>
    <t xml:space="preserve">P-1637</t>
  </si>
  <si>
    <t xml:space="preserve">P-1638</t>
  </si>
  <si>
    <t xml:space="preserve">P-1639</t>
  </si>
  <si>
    <t xml:space="preserve">P-1640</t>
  </si>
  <si>
    <t xml:space="preserve">P-1641</t>
  </si>
  <si>
    <t xml:space="preserve">P-1642</t>
  </si>
  <si>
    <t xml:space="preserve">P-1643</t>
  </si>
  <si>
    <t xml:space="preserve">P-1644</t>
  </si>
  <si>
    <t xml:space="preserve">P-1645</t>
  </si>
  <si>
    <t xml:space="preserve">P-1646</t>
  </si>
  <si>
    <t xml:space="preserve">P-1647</t>
  </si>
  <si>
    <t xml:space="preserve">P-1648</t>
  </si>
  <si>
    <t xml:space="preserve">P-1649</t>
  </si>
  <si>
    <t xml:space="preserve">P-1650</t>
  </si>
  <si>
    <t xml:space="preserve">P-1651</t>
  </si>
  <si>
    <t xml:space="preserve">P-1652</t>
  </si>
  <si>
    <t xml:space="preserve">P-1653</t>
  </si>
  <si>
    <t xml:space="preserve">P-1654</t>
  </si>
  <si>
    <t xml:space="preserve">P-1655</t>
  </si>
  <si>
    <t xml:space="preserve">P-1656</t>
  </si>
  <si>
    <t xml:space="preserve">P-1657</t>
  </si>
  <si>
    <t xml:space="preserve">P-1658</t>
  </si>
  <si>
    <t xml:space="preserve">P-1659</t>
  </si>
  <si>
    <t xml:space="preserve">P-1660</t>
  </si>
  <si>
    <t xml:space="preserve">P-1661</t>
  </si>
  <si>
    <t xml:space="preserve">P-1662</t>
  </si>
  <si>
    <t xml:space="preserve">P-1663</t>
  </si>
  <si>
    <t xml:space="preserve">P-1664</t>
  </si>
  <si>
    <t xml:space="preserve">P-1665</t>
  </si>
  <si>
    <t xml:space="preserve">P-1666</t>
  </si>
  <si>
    <t xml:space="preserve">P-1667</t>
  </si>
  <si>
    <t xml:space="preserve">P-1668</t>
  </si>
  <si>
    <t xml:space="preserve">P-1669</t>
  </si>
  <si>
    <t xml:space="preserve">P-1670</t>
  </si>
  <si>
    <t xml:space="preserve">P-1671</t>
  </si>
  <si>
    <t xml:space="preserve">P-1672</t>
  </si>
  <si>
    <t xml:space="preserve">P-1673</t>
  </si>
  <si>
    <t xml:space="preserve">P-1674</t>
  </si>
  <si>
    <t xml:space="preserve">P-1675</t>
  </si>
  <si>
    <t xml:space="preserve">P-1676</t>
  </si>
  <si>
    <t xml:space="preserve">P-1677</t>
  </si>
  <si>
    <t xml:space="preserve">P-1678</t>
  </si>
  <si>
    <t xml:space="preserve">P-1679</t>
  </si>
  <si>
    <t xml:space="preserve">P-1680</t>
  </si>
  <si>
    <t xml:space="preserve">P-1681</t>
  </si>
  <si>
    <t xml:space="preserve">P-1682</t>
  </si>
  <si>
    <t xml:space="preserve">P-1683</t>
  </si>
  <si>
    <t xml:space="preserve">P-1684</t>
  </si>
  <si>
    <t xml:space="preserve">P-1685</t>
  </si>
  <si>
    <t xml:space="preserve">P-1686</t>
  </si>
  <si>
    <t xml:space="preserve">P-1687</t>
  </si>
  <si>
    <t xml:space="preserve">P-1688</t>
  </si>
  <si>
    <t xml:space="preserve">P-1689</t>
  </si>
  <si>
    <t xml:space="preserve">P-1690</t>
  </si>
  <si>
    <t xml:space="preserve">P-1691</t>
  </si>
  <si>
    <t xml:space="preserve">P-1692</t>
  </si>
  <si>
    <t xml:space="preserve">P-1693</t>
  </si>
  <si>
    <t xml:space="preserve">P-1694</t>
  </si>
  <si>
    <t xml:space="preserve">P-1695</t>
  </si>
  <si>
    <t xml:space="preserve">P-1696</t>
  </si>
  <si>
    <t xml:space="preserve">P-1697</t>
  </si>
  <si>
    <t xml:space="preserve">P-1698</t>
  </si>
  <si>
    <t xml:space="preserve">P-1699</t>
  </si>
  <si>
    <t xml:space="preserve">P-1700</t>
  </si>
  <si>
    <t xml:space="preserve">P-1701</t>
  </si>
  <si>
    <t xml:space="preserve">P-1702</t>
  </si>
  <si>
    <t xml:space="preserve">P-1703</t>
  </si>
  <si>
    <t xml:space="preserve">P-1704</t>
  </si>
  <si>
    <t xml:space="preserve">P-1705</t>
  </si>
  <si>
    <t xml:space="preserve">P-1706</t>
  </si>
  <si>
    <t xml:space="preserve">P-1707</t>
  </si>
  <si>
    <t xml:space="preserve">P-1708</t>
  </si>
  <si>
    <t xml:space="preserve">P-1709</t>
  </si>
  <si>
    <t xml:space="preserve">P-1710</t>
  </si>
  <si>
    <t xml:space="preserve">P-1711</t>
  </si>
  <si>
    <t xml:space="preserve">P-1712</t>
  </si>
  <si>
    <t xml:space="preserve">P-1713</t>
  </si>
  <si>
    <t xml:space="preserve">P-1714</t>
  </si>
  <si>
    <t xml:space="preserve">P-1715</t>
  </si>
  <si>
    <t xml:space="preserve">P-1716</t>
  </si>
  <si>
    <t xml:space="preserve">P-1717</t>
  </si>
  <si>
    <t xml:space="preserve">P-1718</t>
  </si>
  <si>
    <t xml:space="preserve">P-1719</t>
  </si>
  <si>
    <t xml:space="preserve">P-1720</t>
  </si>
  <si>
    <t xml:space="preserve">P-1721</t>
  </si>
  <si>
    <t xml:space="preserve">P-1722</t>
  </si>
  <si>
    <t xml:space="preserve">P-1723</t>
  </si>
  <si>
    <t xml:space="preserve">P-1724</t>
  </si>
  <si>
    <t xml:space="preserve">P-1725</t>
  </si>
  <si>
    <t xml:space="preserve">P-1726</t>
  </si>
  <si>
    <t xml:space="preserve">P-1727</t>
  </si>
  <si>
    <t xml:space="preserve">P-1728</t>
  </si>
  <si>
    <t xml:space="preserve">P-1729</t>
  </si>
  <si>
    <t xml:space="preserve">P-1730</t>
  </si>
  <si>
    <t xml:space="preserve">P-1731</t>
  </si>
  <si>
    <t xml:space="preserve">P-1732</t>
  </si>
  <si>
    <t xml:space="preserve">P-1733</t>
  </si>
  <si>
    <t xml:space="preserve">P-1734</t>
  </si>
  <si>
    <t xml:space="preserve">P-1735</t>
  </si>
  <si>
    <t xml:space="preserve">P-1736</t>
  </si>
  <si>
    <t xml:space="preserve">P-1737</t>
  </si>
  <si>
    <t xml:space="preserve">P-1738</t>
  </si>
  <si>
    <t xml:space="preserve">P-1739</t>
  </si>
  <si>
    <t xml:space="preserve">P-1740</t>
  </si>
  <si>
    <t xml:space="preserve">P-1741</t>
  </si>
  <si>
    <t xml:space="preserve">P-1742</t>
  </si>
  <si>
    <t xml:space="preserve">P-1743</t>
  </si>
  <si>
    <t xml:space="preserve">P-1744</t>
  </si>
  <si>
    <t xml:space="preserve">P-1745</t>
  </si>
  <si>
    <t xml:space="preserve">P-1746</t>
  </si>
  <si>
    <t xml:space="preserve">P-1747</t>
  </si>
  <si>
    <t xml:space="preserve">P-1748</t>
  </si>
  <si>
    <t xml:space="preserve">P-1749</t>
  </si>
  <si>
    <t xml:space="preserve">P-1750</t>
  </si>
  <si>
    <t xml:space="preserve">P-1751</t>
  </si>
  <si>
    <t xml:space="preserve">P-1752</t>
  </si>
  <si>
    <t xml:space="preserve">P-1753</t>
  </si>
  <si>
    <t xml:space="preserve">P-1754</t>
  </si>
  <si>
    <t xml:space="preserve">P-1755</t>
  </si>
  <si>
    <t xml:space="preserve">P-1756</t>
  </si>
  <si>
    <t xml:space="preserve">P-1757</t>
  </si>
  <si>
    <t xml:space="preserve">P-1758</t>
  </si>
  <si>
    <t xml:space="preserve">P-1759</t>
  </si>
  <si>
    <t xml:space="preserve">P-1760</t>
  </si>
  <si>
    <t xml:space="preserve">P-1761</t>
  </si>
  <si>
    <t xml:space="preserve">P-1762</t>
  </si>
  <si>
    <t xml:space="preserve">P-1763</t>
  </si>
  <si>
    <t xml:space="preserve">P-1764</t>
  </si>
  <si>
    <t xml:space="preserve">P-1765</t>
  </si>
  <si>
    <t xml:space="preserve">P-1766</t>
  </si>
  <si>
    <t xml:space="preserve">P-1767</t>
  </si>
  <si>
    <t xml:space="preserve">P-1768</t>
  </si>
  <si>
    <t xml:space="preserve">P-1769</t>
  </si>
  <si>
    <t xml:space="preserve">P-1770</t>
  </si>
  <si>
    <t xml:space="preserve">P-1771</t>
  </si>
  <si>
    <t xml:space="preserve">P-1772</t>
  </si>
  <si>
    <t xml:space="preserve">P-1773</t>
  </si>
  <si>
    <t xml:space="preserve">P-1774</t>
  </si>
  <si>
    <t xml:space="preserve">P-1775</t>
  </si>
  <si>
    <t xml:space="preserve">P-1776</t>
  </si>
  <si>
    <t xml:space="preserve">P-1777</t>
  </si>
  <si>
    <t xml:space="preserve">P-1778</t>
  </si>
  <si>
    <t xml:space="preserve">P-1779</t>
  </si>
  <si>
    <t xml:space="preserve">P-1780</t>
  </si>
  <si>
    <t xml:space="preserve">P-1781</t>
  </si>
  <si>
    <t xml:space="preserve">P-1782</t>
  </si>
  <si>
    <t xml:space="preserve">P-1783</t>
  </si>
  <si>
    <t xml:space="preserve">P-1784</t>
  </si>
  <si>
    <t xml:space="preserve">P-1785</t>
  </si>
  <si>
    <t xml:space="preserve">P-1786</t>
  </si>
  <si>
    <t xml:space="preserve">P-1787</t>
  </si>
  <si>
    <t xml:space="preserve">P-1788</t>
  </si>
  <si>
    <t xml:space="preserve">P-1789</t>
  </si>
  <si>
    <t xml:space="preserve">P-1790</t>
  </si>
  <si>
    <t xml:space="preserve">P-1791</t>
  </si>
  <si>
    <t xml:space="preserve">P-1792</t>
  </si>
  <si>
    <t xml:space="preserve">P-1793</t>
  </si>
  <si>
    <t xml:space="preserve">P-1794</t>
  </si>
  <si>
    <t xml:space="preserve">P-1795</t>
  </si>
  <si>
    <t xml:space="preserve">P-1796</t>
  </si>
  <si>
    <t xml:space="preserve">P-1797</t>
  </si>
  <si>
    <t xml:space="preserve">P-1798</t>
  </si>
  <si>
    <t xml:space="preserve">P-1799</t>
  </si>
  <si>
    <t xml:space="preserve">P-1800</t>
  </si>
  <si>
    <t xml:space="preserve">P-1801</t>
  </si>
  <si>
    <t xml:space="preserve">P-1802</t>
  </si>
  <si>
    <t xml:space="preserve">P-1803</t>
  </si>
  <si>
    <t xml:space="preserve">P-1804</t>
  </si>
  <si>
    <t xml:space="preserve">P-1805</t>
  </si>
  <si>
    <t xml:space="preserve">P-1806</t>
  </si>
  <si>
    <t xml:space="preserve">P-1807</t>
  </si>
  <si>
    <t xml:space="preserve">P-1808</t>
  </si>
  <si>
    <t xml:space="preserve">P-1809</t>
  </si>
  <si>
    <t xml:space="preserve">P-1810</t>
  </si>
  <si>
    <t xml:space="preserve">P-1811</t>
  </si>
  <si>
    <t xml:space="preserve">P-1812</t>
  </si>
  <si>
    <t xml:space="preserve">P-1813</t>
  </si>
  <si>
    <t xml:space="preserve">P-1814</t>
  </si>
  <si>
    <t xml:space="preserve">P-1815</t>
  </si>
  <si>
    <t xml:space="preserve">P-1816</t>
  </si>
  <si>
    <t xml:space="preserve">P-1817</t>
  </si>
  <si>
    <t xml:space="preserve">P-1818</t>
  </si>
  <si>
    <t xml:space="preserve">P-1819</t>
  </si>
  <si>
    <t xml:space="preserve">P-1820</t>
  </si>
  <si>
    <t xml:space="preserve">P-1821</t>
  </si>
  <si>
    <t xml:space="preserve">P-1822</t>
  </si>
  <si>
    <t xml:space="preserve">P-1823</t>
  </si>
  <si>
    <t xml:space="preserve">P-1824</t>
  </si>
  <si>
    <t xml:space="preserve">P-1825</t>
  </si>
  <si>
    <t xml:space="preserve">P-1826</t>
  </si>
  <si>
    <t xml:space="preserve">P-1827</t>
  </si>
  <si>
    <t xml:space="preserve">P-1828</t>
  </si>
  <si>
    <t xml:space="preserve">P-1829</t>
  </si>
  <si>
    <t xml:space="preserve">P-1830</t>
  </si>
  <si>
    <t xml:space="preserve">P-1831</t>
  </si>
  <si>
    <t xml:space="preserve">P-1832</t>
  </si>
  <si>
    <t xml:space="preserve">P-1833</t>
  </si>
  <si>
    <t xml:space="preserve">P-1834</t>
  </si>
  <si>
    <t xml:space="preserve">P-1835</t>
  </si>
  <si>
    <t xml:space="preserve">P-1836</t>
  </si>
  <si>
    <t xml:space="preserve">P-1837</t>
  </si>
  <si>
    <t xml:space="preserve">P-1838</t>
  </si>
  <si>
    <t xml:space="preserve">P-1839</t>
  </si>
  <si>
    <t xml:space="preserve">P-1840</t>
  </si>
  <si>
    <t xml:space="preserve">P-1841</t>
  </si>
  <si>
    <t xml:space="preserve">P-1842</t>
  </si>
  <si>
    <t xml:space="preserve">P-1843</t>
  </si>
  <si>
    <t xml:space="preserve">P-1844</t>
  </si>
  <si>
    <t xml:space="preserve">P-1845</t>
  </si>
  <si>
    <t xml:space="preserve">P-1846</t>
  </si>
  <si>
    <t xml:space="preserve">P-1847</t>
  </si>
  <si>
    <t xml:space="preserve">P-1848</t>
  </si>
  <si>
    <t xml:space="preserve">P-1849</t>
  </si>
  <si>
    <t xml:space="preserve">P-1850</t>
  </si>
  <si>
    <t xml:space="preserve">P-1851</t>
  </si>
  <si>
    <t xml:space="preserve">P-1852</t>
  </si>
  <si>
    <t xml:space="preserve">P-1853</t>
  </si>
  <si>
    <t xml:space="preserve">P-1854</t>
  </si>
  <si>
    <t xml:space="preserve">P-1855</t>
  </si>
  <si>
    <t xml:space="preserve">P-1856</t>
  </si>
  <si>
    <t xml:space="preserve">P-1857</t>
  </si>
  <si>
    <t xml:space="preserve">P-1858</t>
  </si>
  <si>
    <t xml:space="preserve">P-1859</t>
  </si>
  <si>
    <t xml:space="preserve">P-1860</t>
  </si>
  <si>
    <t xml:space="preserve">P-1861</t>
  </si>
  <si>
    <t xml:space="preserve">P-1862</t>
  </si>
  <si>
    <t xml:space="preserve">P-1863</t>
  </si>
  <si>
    <t xml:space="preserve">P-1864</t>
  </si>
  <si>
    <t xml:space="preserve">P-1865</t>
  </si>
  <si>
    <t xml:space="preserve">P-1866</t>
  </si>
  <si>
    <t xml:space="preserve">P-1867</t>
  </si>
  <si>
    <t xml:space="preserve">P-1868</t>
  </si>
  <si>
    <t xml:space="preserve">Categoría</t>
  </si>
  <si>
    <t xml:space="preserve">Nóminas producción</t>
  </si>
  <si>
    <t xml:space="preserve">Fijo</t>
  </si>
  <si>
    <t xml:space="preserve">Nóminas estructura y comercial</t>
  </si>
  <si>
    <t xml:space="preserve">Alquiler nave y oficinas</t>
  </si>
  <si>
    <t xml:space="preserve">Energía y suministros</t>
  </si>
  <si>
    <t xml:space="preserve">Variable</t>
  </si>
  <si>
    <t xml:space="preserve">Mantenimiento y utillaje maquinaria</t>
  </si>
  <si>
    <t xml:space="preserve">Marketing y acciones comerciales</t>
  </si>
  <si>
    <t xml:space="preserve">Software, ERP e IT</t>
  </si>
  <si>
    <t xml:space="preserve">Asesoría, auditoría y legal</t>
  </si>
  <si>
    <t xml:space="preserve">Seguros y tributos locales</t>
  </si>
  <si>
    <t xml:space="preserve">Transporte no imputado a pedido</t>
  </si>
  <si>
    <t xml:space="preserve">Viajes y dietas comerciales</t>
  </si>
  <si>
    <t xml:space="preserve">Otros gastos de explotación</t>
  </si>
  <si>
    <t xml:space="preserve">CUENTA DE RESULTADOS MENSUAL</t>
  </si>
  <si>
    <t xml:space="preserve">Ingresos y costes desde la hoja Ventas; gastos de explotación desde la hoja Gastos. Importes netos sin IVA.</t>
  </si>
  <si>
    <t xml:space="preserve">Comisiones</t>
  </si>
  <si>
    <t xml:space="preserve">Gastos fijos</t>
  </si>
  <si>
    <t xml:space="preserve">Gastos variables</t>
  </si>
  <si>
    <t xml:space="preserve">Total gastos explotación</t>
  </si>
  <si>
    <t xml:space="preserve">Objetivo ventas</t>
  </si>
  <si>
    <t xml:space="preserve">Cumplimiento</t>
  </si>
  <si>
    <t xml:space="preserve">TOTAL 18 meses</t>
  </si>
  <si>
    <t xml:space="preserve">Resumen por ejercicio</t>
  </si>
  <si>
    <t xml:space="preserve">Ejercicio</t>
  </si>
  <si>
    <t xml:space="preserve">2025 (12 meses)</t>
  </si>
  <si>
    <t xml:space="preserve">2026 (6 meses)</t>
  </si>
  <si>
    <t xml:space="preserve">CUADRO DE MANDO — acumulado ene-2025 / jun-2026</t>
  </si>
  <si>
    <t xml:space="preserve">Todos los bloques leen la hoja Ventas con SUMIFS. Cambia un supuesto en Parametros y este cuadro se actualiza.</t>
  </si>
  <si>
    <t xml:space="preserve">VENTAS POR PAÍS</t>
  </si>
  <si>
    <t xml:space="preserve">VENTAS POR FAMILIA DE PRODUCTO</t>
  </si>
  <si>
    <t xml:space="preserve">VENTAS POR CANAL</t>
  </si>
  <si>
    <t xml:space="preserve">VENTAS POR COMERCIAL</t>
  </si>
  <si>
    <t xml:space="preserve">TOP 10 CLIENTES POR FACTURACIÓN</t>
  </si>
  <si>
    <t xml:space="preserve">Pendiente cobro</t>
  </si>
  <si>
    <t xml:space="preserve">SITUACIÓN DE COBRO</t>
  </si>
  <si>
    <t xml:space="preserve">INDICADORES GLOBALES</t>
  </si>
  <si>
    <t xml:space="preserve">Ingresos netos acumulados</t>
  </si>
  <si>
    <t xml:space="preserve">Margen bruto acumulado</t>
  </si>
  <si>
    <t xml:space="preserve">Margen bruto %</t>
  </si>
  <si>
    <t xml:space="preserve">Gastos de explotación acumulados</t>
  </si>
  <si>
    <t xml:space="preserve">EBITDA acumulado</t>
  </si>
  <si>
    <t xml:space="preserve">Nº de pedidos</t>
  </si>
  <si>
    <t xml:space="preserve">Ticket medio por pedido</t>
  </si>
  <si>
    <t xml:space="preserve">Nº de líneas de venta</t>
  </si>
  <si>
    <t xml:space="preserve">Nº de clientes activos</t>
  </si>
  <si>
    <t xml:space="preserve">Cumplimiento del objetivo</t>
  </si>
  <si>
    <t xml:space="preserve">Descuento medio ponderado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</si>
</sst>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&quot; €&quot;;\(#,##0&quot; €)&quot;;\-"/>
    <numFmt numFmtId="167" formatCode="0.0%;\(0.0%\);\-"/>
    <numFmt numFmtId="168" formatCode="#,##0;\(#,##0\);\-"/>
    <numFmt numFmtId="169" formatCode="mmm\-yy"/>
    <numFmt numFmtId="170" formatCode="#,##0"/>
    <numFmt numFmtId="171" formatCode="0.0%"/>
    <numFmt numFmtId="172" formatCode="#,##0.00&quot; €&quot;;\(#,##0.00&quot; €)&quot;;\-"/>
    <numFmt numFmtId="173" formatCode="0.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44546A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2F5FB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2F5FB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AC1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65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4F81BD"/>
      <rgbColor rgb="FFBFBFBF"/>
      <rgbColor rgb="FF808080"/>
      <rgbColor rgb="FF9999FF"/>
      <rgbColor rgb="FFBE4B48"/>
      <rgbColor rgb="FFFFF2CC"/>
      <rgbColor rgb="FFF2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EB9C"/>
      <rgbColor rgb="FF99CCFF"/>
      <rgbColor rgb="FFFF99CC"/>
      <rgbColor rgb="FFCC99FF"/>
      <rgbColor rgb="FFFFC7CE"/>
      <rgbColor rgb="FF2E75B6"/>
      <rgbColor rgb="FF70AD47"/>
      <rgbColor rgb="FF9BBB59"/>
      <rgbColor rgb="FFFFCC00"/>
      <rgbColor rgb="FFBF8F00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C0504D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netos vs objetivo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Dashboard!B75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Dashboard!$A$76:$A$93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Dashboard!$B$76:$B$93</c:f>
              <c:numCache>
                <c:formatCode>#,##0" €";\(#,##0" €)";\-</c:formatCode>
                <c:ptCount val="18"/>
                <c:pt idx="0">
                  <c:v>211137.8935</c:v>
                </c:pt>
                <c:pt idx="1">
                  <c:v>359815.021</c:v>
                </c:pt>
                <c:pt idx="2">
                  <c:v>402755.4965</c:v>
                </c:pt>
                <c:pt idx="3">
                  <c:v>386160.3115</c:v>
                </c:pt>
                <c:pt idx="4">
                  <c:v>366914.6895</c:v>
                </c:pt>
                <c:pt idx="5">
                  <c:v>401613.703</c:v>
                </c:pt>
                <c:pt idx="6">
                  <c:v>369003.303</c:v>
                </c:pt>
                <c:pt idx="7">
                  <c:v>244108.858</c:v>
                </c:pt>
                <c:pt idx="8">
                  <c:v>333535.385</c:v>
                </c:pt>
                <c:pt idx="9">
                  <c:v>361634.801</c:v>
                </c:pt>
                <c:pt idx="10">
                  <c:v>432903.5625</c:v>
                </c:pt>
                <c:pt idx="11">
                  <c:v>369951.0175</c:v>
                </c:pt>
                <c:pt idx="12">
                  <c:v>337299.0095</c:v>
                </c:pt>
                <c:pt idx="13">
                  <c:v>352386.6235</c:v>
                </c:pt>
                <c:pt idx="14">
                  <c:v>398590.9615</c:v>
                </c:pt>
                <c:pt idx="15">
                  <c:v>393675.565</c:v>
                </c:pt>
                <c:pt idx="16">
                  <c:v>398935.234</c:v>
                </c:pt>
                <c:pt idx="17">
                  <c:v>349173.9845</c:v>
                </c:pt>
              </c:numCache>
            </c:numRef>
          </c:val>
        </c:ser>
        <c:gapWidth val="40"/>
        <c:overlap val="0"/>
        <c:axId val="93710949"/>
        <c:axId val="20249754"/>
      </c:barChart>
      <c:lineChart>
        <c:grouping val="standard"/>
        <c:varyColors val="0"/>
        <c:ser>
          <c:idx val="1"/>
          <c:order val="1"/>
          <c:tx>
            <c:strRef>
              <c:f>Dashboard!C75</c:f>
              <c:strCache>
                <c:ptCount val="1"/>
                <c:pt idx="0">
                  <c:v>Objetivo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Dashboard!$A$76:$A$93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Dashboard!$C$76:$C$93</c:f>
              <c:numCache>
                <c:formatCode>#,##0" €";\(#,##0" €)";\-</c:formatCode>
                <c:ptCount val="18"/>
                <c:pt idx="0">
                  <c:v>300000</c:v>
                </c:pt>
                <c:pt idx="1">
                  <c:v>340000</c:v>
                </c:pt>
                <c:pt idx="2">
                  <c:v>380000</c:v>
                </c:pt>
                <c:pt idx="3">
                  <c:v>380000</c:v>
                </c:pt>
                <c:pt idx="4">
                  <c:v>375000</c:v>
                </c:pt>
                <c:pt idx="5">
                  <c:v>385000</c:v>
                </c:pt>
                <c:pt idx="6">
                  <c:v>360000</c:v>
                </c:pt>
                <c:pt idx="7">
                  <c:v>250000</c:v>
                </c:pt>
                <c:pt idx="8">
                  <c:v>340000</c:v>
                </c:pt>
                <c:pt idx="9">
                  <c:v>370000</c:v>
                </c:pt>
                <c:pt idx="10">
                  <c:v>390000</c:v>
                </c:pt>
                <c:pt idx="11">
                  <c:v>360000</c:v>
                </c:pt>
                <c:pt idx="12">
                  <c:v>335000</c:v>
                </c:pt>
                <c:pt idx="13">
                  <c:v>355000</c:v>
                </c:pt>
                <c:pt idx="14">
                  <c:v>400000</c:v>
                </c:pt>
                <c:pt idx="15">
                  <c:v>400000</c:v>
                </c:pt>
                <c:pt idx="16">
                  <c:v>400000</c:v>
                </c:pt>
                <c:pt idx="17">
                  <c:v>370000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710949"/>
        <c:axId val="20249754"/>
      </c:lineChart>
      <c:catAx>
        <c:axId val="9371094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49754"/>
        <c:crosses val="autoZero"/>
        <c:auto val="1"/>
        <c:lblAlgn val="ctr"/>
        <c:lblOffset val="100"/>
        <c:noMultiLvlLbl val="0"/>
      </c:catAx>
      <c:valAx>
        <c:axId val="20249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109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Mix de ventas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Dashboard!B104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Dashboard!$A$105:$A$108</c:f>
              <c:strCache>
                <c:ptCount val="4"/>
                <c:pt idx="0">
                  <c:v>Distribuidor</c:v>
                </c:pt>
                <c:pt idx="1">
                  <c:v>OEM / Industria</c:v>
                </c:pt>
                <c:pt idx="2">
                  <c:v>Ferretería</c:v>
                </c:pt>
                <c:pt idx="3">
                  <c:v>Ecommerce</c:v>
                </c:pt>
              </c:strCache>
            </c:strRef>
          </c:cat>
          <c:val>
            <c:numRef>
              <c:f>Dashboard!$B$105:$B$108</c:f>
              <c:numCache>
                <c:formatCode>#,##0" €";\(#,##0" €)";\-</c:formatCode>
                <c:ptCount val="4"/>
                <c:pt idx="0">
                  <c:v>3245561.3715</c:v>
                </c:pt>
                <c:pt idx="1">
                  <c:v>2377293.659</c:v>
                </c:pt>
                <c:pt idx="2">
                  <c:v>802151.7565</c:v>
                </c:pt>
                <c:pt idx="3">
                  <c:v>44588.633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Dashboard!B97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Dashboard!$A$98:$A$100</c:f>
              <c:strCache>
                <c:ptCount val="3"/>
                <c:pt idx="0">
                  <c:v>España</c:v>
                </c:pt>
                <c:pt idx="1">
                  <c:v>Alemania</c:v>
                </c:pt>
                <c:pt idx="2">
                  <c:v>Francia</c:v>
                </c:pt>
              </c:strCache>
            </c:strRef>
          </c:cat>
          <c:val>
            <c:numRef>
              <c:f>Dashboard!$B$98:$B$100</c:f>
              <c:numCache>
                <c:formatCode>#,##0" €";\(#,##0" €)";\-</c:formatCode>
                <c:ptCount val="3"/>
                <c:pt idx="0">
                  <c:v>3440618.015</c:v>
                </c:pt>
                <c:pt idx="1">
                  <c:v>1760409.374</c:v>
                </c:pt>
                <c:pt idx="2">
                  <c:v>1268568.031</c:v>
                </c:pt>
              </c:numCache>
            </c:numRef>
          </c:val>
        </c:ser>
        <c:gapWidth val="150"/>
        <c:overlap val="0"/>
        <c:axId val="4954957"/>
        <c:axId val="87115322"/>
      </c:barChart>
      <c:catAx>
        <c:axId val="4954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15322"/>
        <c:crosses val="autoZero"/>
        <c:auto val="1"/>
        <c:lblAlgn val="ctr"/>
        <c:lblOffset val="100"/>
        <c:noMultiLvlLbl val="0"/>
      </c:catAx>
      <c:valAx>
        <c:axId val="8711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4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familia de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Dashboard!B112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Dashboard!$A$113:$A$117</c:f>
              <c:strCache>
                <c:ptCount val="5"/>
                <c:pt idx="0">
                  <c:v>Autotaladrante</c:v>
                </c:pt>
                <c:pt idx="1">
                  <c:v>Especial</c:v>
                </c:pt>
                <c:pt idx="2">
                  <c:v>Inoxidable</c:v>
                </c:pt>
                <c:pt idx="3">
                  <c:v>Madera</c:v>
                </c:pt>
                <c:pt idx="4">
                  <c:v>Métrica</c:v>
                </c:pt>
              </c:strCache>
            </c:strRef>
          </c:cat>
          <c:val>
            <c:numRef>
              <c:f>Dashboard!$B$113:$B$117</c:f>
              <c:numCache>
                <c:formatCode>#,##0" €";\(#,##0" €)";\-</c:formatCode>
                <c:ptCount val="5"/>
                <c:pt idx="0">
                  <c:v>689498.5205</c:v>
                </c:pt>
                <c:pt idx="1">
                  <c:v>1738284.264</c:v>
                </c:pt>
                <c:pt idx="2">
                  <c:v>1557648.548</c:v>
                </c:pt>
                <c:pt idx="3">
                  <c:v>599495.596</c:v>
                </c:pt>
                <c:pt idx="4">
                  <c:v>1884668.4915</c:v>
                </c:pt>
              </c:numCache>
            </c:numRef>
          </c:val>
        </c:ser>
        <c:gapWidth val="150"/>
        <c:overlap val="0"/>
        <c:axId val="94390651"/>
        <c:axId val="66673051"/>
      </c:barChart>
      <c:catAx>
        <c:axId val="94390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73051"/>
        <c:crosses val="autoZero"/>
        <c:auto val="1"/>
        <c:lblAlgn val="ctr"/>
        <c:lblOffset val="100"/>
        <c:noMultiLvlLbl val="0"/>
      </c:catAx>
      <c:valAx>
        <c:axId val="66673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90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clientes por facturación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Dashboard!C137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Dashboard!$B$138:$B$147</c:f>
              <c:strCache>
                <c:ptCount val="10"/>
                <c:pt idx="0">
                  <c:v>Hanseatic Fasteners GmbH</c:v>
                </c:pt>
                <c:pt idx="1">
                  <c:v>Montajes Industriales Vigo SL</c:v>
                </c:pt>
                <c:pt idx="2">
                  <c:v>Bayern Befestigung GmbH</c:v>
                </c:pt>
                <c:pt idx="3">
                  <c:v>Schrauben Nord GmbH</c:v>
                </c:pt>
                <c:pt idx="4">
                  <c:v>Aceros del Norte SA</c:v>
                </c:pt>
                <c:pt idx="5">
                  <c:v>Suministros Torres SA</c:v>
                </c:pt>
                <c:pt idx="6">
                  <c:v>Grupo Ferretero Andalucía SA</c:v>
                </c:pt>
                <c:pt idx="7">
                  <c:v>Distribuciones Metálicas Levante SL</c:v>
                </c:pt>
                <c:pt idx="8">
                  <c:v>Stahlhandel Ruhr GmbH</c:v>
                </c:pt>
                <c:pt idx="9">
                  <c:v>Groupe Boulonnerie Paris SAS</c:v>
                </c:pt>
              </c:strCache>
            </c:strRef>
          </c:cat>
          <c:val>
            <c:numRef>
              <c:f>Dashboard!$C$138:$C$147</c:f>
              <c:numCache>
                <c:formatCode>#,##0" €";\(#,##0" €)";\-</c:formatCode>
                <c:ptCount val="10"/>
                <c:pt idx="0">
                  <c:v>313935.4745</c:v>
                </c:pt>
                <c:pt idx="1">
                  <c:v>290874.7215</c:v>
                </c:pt>
                <c:pt idx="2">
                  <c:v>279795.1545</c:v>
                </c:pt>
                <c:pt idx="3">
                  <c:v>279560.7735</c:v>
                </c:pt>
                <c:pt idx="4">
                  <c:v>268007.8985</c:v>
                </c:pt>
                <c:pt idx="5">
                  <c:v>265223.265</c:v>
                </c:pt>
                <c:pt idx="6">
                  <c:v>263571.548</c:v>
                </c:pt>
                <c:pt idx="7">
                  <c:v>249578.961</c:v>
                </c:pt>
                <c:pt idx="8">
                  <c:v>236461.493</c:v>
                </c:pt>
                <c:pt idx="9">
                  <c:v>215208.772</c:v>
                </c:pt>
              </c:numCache>
            </c:numRef>
          </c:val>
        </c:ser>
        <c:gapWidth val="150"/>
        <c:overlap val="0"/>
        <c:axId val="12360711"/>
        <c:axId val="22353940"/>
      </c:barChart>
      <c:catAx>
        <c:axId val="12360711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53940"/>
        <c:crosses val="autoZero"/>
        <c:auto val="1"/>
        <c:lblAlgn val="ctr"/>
        <c:lblOffset val="100"/>
        <c:noMultiLvlLbl val="0"/>
      </c:catAx>
      <c:valAx>
        <c:axId val="22353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607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Margen de contribución %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Dashboard!E75</c:f>
              <c:strCache>
                <c:ptCount val="1"/>
                <c:pt idx="0">
                  <c:v>Margen %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Dashboard!$A$76:$A$93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Dashboard!$E$76:$E$93</c:f>
              <c:numCache>
                <c:formatCode>0.0%;\(0.0%\);\-</c:formatCode>
                <c:ptCount val="18"/>
                <c:pt idx="0">
                  <c:v>0.313770058097127</c:v>
                </c:pt>
                <c:pt idx="1">
                  <c:v>0.298210295492361</c:v>
                </c:pt>
                <c:pt idx="2">
                  <c:v>0.304204583077614</c:v>
                </c:pt>
                <c:pt idx="3">
                  <c:v>0.30180839072324</c:v>
                </c:pt>
                <c:pt idx="4">
                  <c:v>0.315174926329844</c:v>
                </c:pt>
                <c:pt idx="5">
                  <c:v>0.309737643451374</c:v>
                </c:pt>
                <c:pt idx="6">
                  <c:v>0.303069083029319</c:v>
                </c:pt>
                <c:pt idx="7">
                  <c:v>0.307826416893073</c:v>
                </c:pt>
                <c:pt idx="8">
                  <c:v>0.301140932588007</c:v>
                </c:pt>
                <c:pt idx="9">
                  <c:v>0.295076767736189</c:v>
                </c:pt>
                <c:pt idx="10">
                  <c:v>0.296764096749608</c:v>
                </c:pt>
                <c:pt idx="11">
                  <c:v>0.30480986071352</c:v>
                </c:pt>
                <c:pt idx="12">
                  <c:v>0.303592579716722</c:v>
                </c:pt>
                <c:pt idx="13">
                  <c:v>0.305956593213306</c:v>
                </c:pt>
                <c:pt idx="14">
                  <c:v>0.315961477559746</c:v>
                </c:pt>
                <c:pt idx="15">
                  <c:v>0.329759218488707</c:v>
                </c:pt>
                <c:pt idx="16">
                  <c:v>0.328166564556943</c:v>
                </c:pt>
                <c:pt idx="17">
                  <c:v>0.314507460613808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216159"/>
        <c:axId val="9428891"/>
      </c:lineChart>
      <c:catAx>
        <c:axId val="102161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8891"/>
        <c:crosses val="autoZero"/>
        <c:auto val="1"/>
        <c:lblAlgn val="ctr"/>
        <c:lblOffset val="100"/>
        <c:noMultiLvlLbl val="0"/>
      </c:catAx>
      <c:valAx>
        <c:axId val="9428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16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Cartera por estado de cobro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Dashboard!B130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Dashboard!$A$131:$A$133</c:f>
              <c:strCache>
                <c:ptCount val="3"/>
                <c:pt idx="0">
                  <c:v>Cobrado</c:v>
                </c:pt>
                <c:pt idx="1">
                  <c:v>Pendiente</c:v>
                </c:pt>
                <c:pt idx="2">
                  <c:v>Vencido</c:v>
                </c:pt>
              </c:strCache>
            </c:strRef>
          </c:cat>
          <c:val>
            <c:numRef>
              <c:f>Dashboard!$B$131:$B$133</c:f>
              <c:numCache>
                <c:formatCode>#,##0" €";\(#,##0" €)";\-</c:formatCode>
                <c:ptCount val="3"/>
                <c:pt idx="0">
                  <c:v>5702077.4825</c:v>
                </c:pt>
                <c:pt idx="1">
                  <c:v>366504.402</c:v>
                </c:pt>
                <c:pt idx="2">
                  <c:v>401013.5355</c:v>
                </c:pt>
              </c:numCache>
            </c:numRef>
          </c:val>
        </c:ser>
        <c:gapWidth val="150"/>
        <c:overlap val="0"/>
        <c:axId val="79128748"/>
        <c:axId val="88959603"/>
      </c:barChart>
      <c:catAx>
        <c:axId val="79128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59603"/>
        <c:crosses val="autoZero"/>
        <c:auto val="1"/>
        <c:lblAlgn val="ctr"/>
        <c:lblOffset val="100"/>
        <c:noMultiLvlLbl val="0"/>
      </c:catAx>
      <c:valAx>
        <c:axId val="88959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28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netos vs EBITDA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PL_Mensual!B4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PL_Mensual!$A$5:$A$22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PL_Mensual!$B$5:$B$22</c:f>
              <c:numCache>
                <c:formatCode>#,##0" €";\(#,##0" €)";\-</c:formatCode>
                <c:ptCount val="18"/>
                <c:pt idx="0">
                  <c:v>211137.8935</c:v>
                </c:pt>
                <c:pt idx="1">
                  <c:v>359815.021</c:v>
                </c:pt>
                <c:pt idx="2">
                  <c:v>402755.4965</c:v>
                </c:pt>
                <c:pt idx="3">
                  <c:v>386160.3115</c:v>
                </c:pt>
                <c:pt idx="4">
                  <c:v>366914.6895</c:v>
                </c:pt>
                <c:pt idx="5">
                  <c:v>401613.703</c:v>
                </c:pt>
                <c:pt idx="6">
                  <c:v>369003.303</c:v>
                </c:pt>
                <c:pt idx="7">
                  <c:v>244108.858</c:v>
                </c:pt>
                <c:pt idx="8">
                  <c:v>333535.385</c:v>
                </c:pt>
                <c:pt idx="9">
                  <c:v>361634.801</c:v>
                </c:pt>
                <c:pt idx="10">
                  <c:v>432903.5625</c:v>
                </c:pt>
                <c:pt idx="11">
                  <c:v>369951.0175</c:v>
                </c:pt>
                <c:pt idx="12">
                  <c:v>337299.0095</c:v>
                </c:pt>
                <c:pt idx="13">
                  <c:v>352386.6235</c:v>
                </c:pt>
                <c:pt idx="14">
                  <c:v>398590.9615</c:v>
                </c:pt>
                <c:pt idx="15">
                  <c:v>393675.565</c:v>
                </c:pt>
                <c:pt idx="16">
                  <c:v>398935.234</c:v>
                </c:pt>
                <c:pt idx="17">
                  <c:v>349173.9845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PL_Mensual!K4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PL_Mensual!$A$5:$A$22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PL_Mensual!$K$5:$K$22</c:f>
              <c:numCache>
                <c:formatCode>#,##0" €";\(#,##0" €)";\-</c:formatCode>
                <c:ptCount val="18"/>
                <c:pt idx="0">
                  <c:v>-25697.71089</c:v>
                </c:pt>
                <c:pt idx="1">
                  <c:v>11101.053735</c:v>
                </c:pt>
                <c:pt idx="2">
                  <c:v>32516.597895</c:v>
                </c:pt>
                <c:pt idx="3">
                  <c:v>25575.762175</c:v>
                </c:pt>
                <c:pt idx="4">
                  <c:v>27544.0402325</c:v>
                </c:pt>
                <c:pt idx="5">
                  <c:v>36757.461945</c:v>
                </c:pt>
                <c:pt idx="6">
                  <c:v>18596.262675</c:v>
                </c:pt>
                <c:pt idx="7">
                  <c:v>-11493.98491</c:v>
                </c:pt>
                <c:pt idx="8">
                  <c:v>6067.39688999999</c:v>
                </c:pt>
                <c:pt idx="9">
                  <c:v>11163.64818</c:v>
                </c:pt>
                <c:pt idx="10">
                  <c:v>34146.954705</c:v>
                </c:pt>
                <c:pt idx="11">
                  <c:v>15331.438115</c:v>
                </c:pt>
                <c:pt idx="12">
                  <c:v>13702.21643</c:v>
                </c:pt>
                <c:pt idx="13">
                  <c:v>11485.38082</c:v>
                </c:pt>
                <c:pt idx="14">
                  <c:v>34187.9791375</c:v>
                </c:pt>
                <c:pt idx="15">
                  <c:v>40818.4466525</c:v>
                </c:pt>
                <c:pt idx="16">
                  <c:v>36293.7952225</c:v>
                </c:pt>
                <c:pt idx="17">
                  <c:v>15815.4631775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247275"/>
        <c:axId val="15386412"/>
      </c:lineChart>
      <c:catAx>
        <c:axId val="942472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86412"/>
        <c:crosses val="autoZero"/>
        <c:auto val="1"/>
        <c:lblAlgn val="ctr"/>
        <c:lblOffset val="100"/>
        <c:noMultiLvlLbl val="0"/>
      </c:catAx>
      <c:valAx>
        <c:axId val="15386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47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netos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KPIs!B5</c:f>
              <c:strCache>
                <c:ptCount val="1"/>
                <c:pt idx="0">
                  <c:v>Ingresos netos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KPIs!$A$6:$A$8</c:f>
              <c:strCache>
                <c:ptCount val="3"/>
                <c:pt idx="0">
                  <c:v>España</c:v>
                </c:pt>
                <c:pt idx="1">
                  <c:v>Alemania</c:v>
                </c:pt>
                <c:pt idx="2">
                  <c:v>Francia</c:v>
                </c:pt>
              </c:strCache>
            </c:strRef>
          </c:cat>
          <c:val>
            <c:numRef>
              <c:f>KPIs!$B$6:$B$8</c:f>
              <c:numCache>
                <c:formatCode>#,##0" €";\(#,##0" €)";\-</c:formatCode>
                <c:ptCount val="3"/>
                <c:pt idx="0">
                  <c:v>3440618.015</c:v>
                </c:pt>
                <c:pt idx="1">
                  <c:v>1760409.374</c:v>
                </c:pt>
                <c:pt idx="2">
                  <c:v>1268568.031</c:v>
                </c:pt>
              </c:numCache>
            </c:numRef>
          </c:val>
        </c:ser>
        <c:gapWidth val="150"/>
        <c:overlap val="0"/>
        <c:axId val="21811476"/>
        <c:axId val="86365921"/>
      </c:barChart>
      <c:catAx>
        <c:axId val="21811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5921"/>
        <c:crosses val="autoZero"/>
        <c:auto val="1"/>
        <c:lblAlgn val="ctr"/>
        <c:lblOffset val="100"/>
        <c:noMultiLvlLbl val="0"/>
      </c:catAx>
      <c:valAx>
        <c:axId val="86365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11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7</xdr:col>
      <xdr:colOff>141480</xdr:colOff>
      <xdr:row>35</xdr:row>
      <xdr:rowOff>11520</xdr:rowOff>
    </xdr:to>
    <xdr:graphicFrame>
      <xdr:nvGraphicFramePr>
        <xdr:cNvPr id="0" name="Chart 1"/>
        <xdr:cNvGraphicFramePr/>
      </xdr:nvGraphicFramePr>
      <xdr:xfrm>
        <a:off x="0" y="4076640"/>
        <a:ext cx="68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12</xdr:col>
      <xdr:colOff>254160</xdr:colOff>
      <xdr:row>35</xdr:row>
      <xdr:rowOff>11520</xdr:rowOff>
    </xdr:to>
    <xdr:graphicFrame>
      <xdr:nvGraphicFramePr>
        <xdr:cNvPr id="1" name="Chart 2"/>
        <xdr:cNvGraphicFramePr/>
      </xdr:nvGraphicFramePr>
      <xdr:xfrm>
        <a:off x="7579440" y="4076640"/>
        <a:ext cx="37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3</xdr:col>
      <xdr:colOff>67320</xdr:colOff>
      <xdr:row>52</xdr:row>
      <xdr:rowOff>32400</xdr:rowOff>
    </xdr:to>
    <xdr:graphicFrame>
      <xdr:nvGraphicFramePr>
        <xdr:cNvPr id="2" name="Chart 3"/>
        <xdr:cNvGraphicFramePr/>
      </xdr:nvGraphicFramePr>
      <xdr:xfrm>
        <a:off x="0" y="76960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38</xdr:row>
      <xdr:rowOff>0</xdr:rowOff>
    </xdr:from>
    <xdr:to>
      <xdr:col>7</xdr:col>
      <xdr:colOff>595440</xdr:colOff>
      <xdr:row>52</xdr:row>
      <xdr:rowOff>32400</xdr:rowOff>
    </xdr:to>
    <xdr:graphicFrame>
      <xdr:nvGraphicFramePr>
        <xdr:cNvPr id="3" name="Chart 4"/>
        <xdr:cNvGraphicFramePr/>
      </xdr:nvGraphicFramePr>
      <xdr:xfrm>
        <a:off x="4053960" y="76960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38</xdr:row>
      <xdr:rowOff>0</xdr:rowOff>
    </xdr:from>
    <xdr:to>
      <xdr:col>12</xdr:col>
      <xdr:colOff>434160</xdr:colOff>
      <xdr:row>52</xdr:row>
      <xdr:rowOff>32400</xdr:rowOff>
    </xdr:to>
    <xdr:graphicFrame>
      <xdr:nvGraphicFramePr>
        <xdr:cNvPr id="4" name="Chart 5"/>
        <xdr:cNvGraphicFramePr/>
      </xdr:nvGraphicFramePr>
      <xdr:xfrm>
        <a:off x="7579440" y="76960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141480</xdr:colOff>
      <xdr:row>70</xdr:row>
      <xdr:rowOff>32400</xdr:rowOff>
    </xdr:to>
    <xdr:graphicFrame>
      <xdr:nvGraphicFramePr>
        <xdr:cNvPr id="5" name="Chart 6"/>
        <xdr:cNvGraphicFramePr/>
      </xdr:nvGraphicFramePr>
      <xdr:xfrm>
        <a:off x="0" y="1112508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56</xdr:row>
      <xdr:rowOff>0</xdr:rowOff>
    </xdr:from>
    <xdr:to>
      <xdr:col>12</xdr:col>
      <xdr:colOff>254160</xdr:colOff>
      <xdr:row>70</xdr:row>
      <xdr:rowOff>32400</xdr:rowOff>
    </xdr:to>
    <xdr:graphicFrame>
      <xdr:nvGraphicFramePr>
        <xdr:cNvPr id="6" name="Chart 7"/>
        <xdr:cNvGraphicFramePr/>
      </xdr:nvGraphicFramePr>
      <xdr:xfrm>
        <a:off x="7579440" y="11125080"/>
        <a:ext cx="37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8</xdr:col>
      <xdr:colOff>362520</xdr:colOff>
      <xdr:row>44</xdr:row>
      <xdr:rowOff>182880</xdr:rowOff>
    </xdr:to>
    <xdr:graphicFrame>
      <xdr:nvGraphicFramePr>
        <xdr:cNvPr id="7" name="Chart 1"/>
        <xdr:cNvGraphicFramePr/>
      </xdr:nvGraphicFramePr>
      <xdr:xfrm>
        <a:off x="0" y="5905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13</xdr:col>
      <xdr:colOff>275400</xdr:colOff>
      <xdr:row>16</xdr:row>
      <xdr:rowOff>13320</xdr:rowOff>
    </xdr:to>
    <xdr:graphicFrame>
      <xdr:nvGraphicFramePr>
        <xdr:cNvPr id="8" name="Chart 1"/>
        <xdr:cNvGraphicFramePr/>
      </xdr:nvGraphicFramePr>
      <xdr:xfrm>
        <a:off x="8458200" y="571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2.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F5" s="6" t="s">
        <v>5</v>
      </c>
      <c r="G5" s="6"/>
      <c r="H5" s="6"/>
      <c r="I5" s="6"/>
    </row>
    <row r="6" customFormat="false" ht="15" hidden="false" customHeight="false" outlineLevel="0" collapsed="false">
      <c r="A6" s="4" t="s">
        <v>6</v>
      </c>
      <c r="B6" s="5" t="s">
        <v>7</v>
      </c>
      <c r="C6" s="5"/>
      <c r="D6" s="5"/>
      <c r="F6" s="7" t="s">
        <v>8</v>
      </c>
      <c r="G6" s="8" t="n">
        <f aca="false">IF($B$5="2025",DATE(2025,1,1),IF($B$5="2026",DATE(2026,1,1),IF($B$5="Últimos 6 meses",DATE(YEAR($G$7),MONTH($G$7)-5,1),IF($B$5="Últimos 12 meses",DATE(YEAR($G$7),MONTH($G$7)-11,1),DATE(2000,1,1)))))</f>
        <v>36526</v>
      </c>
    </row>
    <row r="7" customFormat="false" ht="15" hidden="false" customHeight="false" outlineLevel="0" collapsed="false">
      <c r="A7" s="4" t="s">
        <v>9</v>
      </c>
      <c r="B7" s="5" t="s">
        <v>7</v>
      </c>
      <c r="C7" s="5"/>
      <c r="D7" s="5"/>
      <c r="F7" s="7" t="s">
        <v>10</v>
      </c>
      <c r="G7" s="8" t="n">
        <f aca="false">IF($B$5="2025",DATE(2025,12,31),IF($B$5="2026",DATE(2026,12,31),EOMONTH(MAX(Ventas!$B$2:$B$1620),0)))</f>
        <v>46203</v>
      </c>
    </row>
    <row r="8" customFormat="false" ht="15" hidden="false" customHeight="false" outlineLevel="0" collapsed="false">
      <c r="A8" s="7" t="s">
        <v>11</v>
      </c>
      <c r="B8" s="8" t="n">
        <f aca="true">TODAY()</f>
        <v>46232</v>
      </c>
      <c r="F8" s="7" t="s">
        <v>12</v>
      </c>
      <c r="G8" s="7" t="str">
        <f aca="false">IF($B$6="Todos","*",$B$6)</f>
        <v>*</v>
      </c>
      <c r="H8" s="7" t="str">
        <f aca="false">IF($B$7="Todos","*",$B$7)</f>
        <v>*</v>
      </c>
    </row>
    <row r="10" customFormat="false" ht="15" hidden="false" customHeight="false" outlineLevel="0" collapsed="false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9" t="s">
        <v>14</v>
      </c>
      <c r="B11" s="9"/>
      <c r="C11" s="9" t="s">
        <v>15</v>
      </c>
      <c r="D11" s="9"/>
      <c r="E11" s="9" t="s">
        <v>16</v>
      </c>
      <c r="F11" s="9"/>
      <c r="G11" s="9" t="s">
        <v>17</v>
      </c>
      <c r="H11" s="9"/>
      <c r="I11" s="9" t="s">
        <v>18</v>
      </c>
      <c r="J11" s="9"/>
      <c r="K11" s="9" t="s">
        <v>19</v>
      </c>
      <c r="L11" s="9"/>
    </row>
    <row r="12" customFormat="false" ht="24" hidden="false" customHeight="true" outlineLevel="0" collapsed="false">
      <c r="A12" s="10" t="n">
        <f aca="false">SUMIFS(Ventas!$P$2:$P$1620,Ventas!$B$2:$B$1620,"&gt;="&amp;$G$6,Ventas!$B$2:$B$1620,"&lt;="&amp;$G$7,Ventas!$E$2:$E$1620,$G$8,Ventas!$F$2:$F$1620,$H$8)</f>
        <v>6469595.42</v>
      </c>
      <c r="B12" s="10"/>
      <c r="C12" s="10" t="n">
        <f aca="false">SUMIFS(Ventas!$U$2:$U$1620,Ventas!$B$2:$B$1620,"&gt;="&amp;$G$6,Ventas!$B$2:$B$1620,"&lt;="&amp;$G$7,Ventas!$E$2:$E$1620,$G$8,Ventas!$F$2:$F$1620,$H$8)</f>
        <v>1994724.8121875</v>
      </c>
      <c r="D12" s="10"/>
      <c r="E12" s="11" t="n">
        <f aca="false">IFERROR(SUMIFS(Ventas!$U$2:$U$1620,Ventas!$B$2:$B$1620,"&gt;="&amp;$G$6,Ventas!$B$2:$B$1620,"&lt;="&amp;$G$7,Ventas!$E$2:$E$1620,$G$8,Ventas!$F$2:$F$1620,$H$8)/SUMIFS(Ventas!$P$2:$P$1620,Ventas!$B$2:$B$1620,"&gt;="&amp;$G$6,Ventas!$B$2:$B$1620,"&lt;="&amp;$G$7,Ventas!$E$2:$E$1620,$G$8,Ventas!$F$2:$F$1620,$H$8),0)</f>
        <v>0.308322960354065</v>
      </c>
      <c r="F12" s="11"/>
      <c r="G12" s="12" t="n">
        <f aca="false">SUMIFS(Ventas!$Y$2:$Y$1620,Ventas!$B$2:$B$1620,"&gt;="&amp;$G$6,Ventas!$B$2:$B$1620,"&lt;="&amp;$G$7,Ventas!$E$2:$E$1620,$G$8,Ventas!$F$2:$F$1620,$H$8)</f>
        <v>868</v>
      </c>
      <c r="H12" s="12"/>
      <c r="I12" s="10" t="n">
        <f aca="false">IFERROR(SUMIFS(Ventas!$P$2:$P$1620,Ventas!$B$2:$B$1620,"&gt;="&amp;$G$6,Ventas!$B$2:$B$1620,"&lt;="&amp;$G$7,Ventas!$E$2:$E$1620,$G$8,Ventas!$F$2:$F$1620,$H$8)/SUMIFS(Ventas!$Y$2:$Y$1620,Ventas!$B$2:$B$1620,"&gt;="&amp;$G$6,Ventas!$B$2:$B$1620,"&lt;="&amp;$G$7,Ventas!$E$2:$E$1620,$G$8,Ventas!$F$2:$F$1620,$H$8),0)</f>
        <v>7453.45094470046</v>
      </c>
      <c r="J12" s="10"/>
      <c r="K12" s="12" t="n">
        <f aca="false">SUMIFS(Ventas!$L$2:$L$1620,Ventas!$B$2:$B$1620,"&gt;="&amp;$G$6,Ventas!$B$2:$B$1620,"&lt;="&amp;$G$7,Ventas!$E$2:$E$1620,$G$8,Ventas!$F$2:$F$1620,$H$8)</f>
        <v>143110</v>
      </c>
      <c r="L12" s="12"/>
    </row>
    <row r="14" customFormat="false" ht="15" hidden="false" customHeight="false" outlineLevel="0" collapsed="false">
      <c r="A14" s="9" t="s">
        <v>20</v>
      </c>
      <c r="B14" s="9"/>
      <c r="C14" s="9" t="s">
        <v>21</v>
      </c>
      <c r="D14" s="9"/>
      <c r="E14" s="9" t="s">
        <v>22</v>
      </c>
      <c r="F14" s="9"/>
      <c r="G14" s="9" t="s">
        <v>23</v>
      </c>
      <c r="H14" s="9"/>
      <c r="I14" s="9" t="s">
        <v>24</v>
      </c>
      <c r="J14" s="9"/>
      <c r="K14" s="9" t="s">
        <v>25</v>
      </c>
      <c r="L14" s="9"/>
    </row>
    <row r="15" customFormat="false" ht="24" hidden="false" customHeight="true" outlineLevel="0" collapsed="false">
      <c r="A15" s="13" t="n">
        <f aca="false">IF(AND($B$6="Todos",$B$7="Todos"),SUMIFS(Parametros!$C$26:$C$43,Parametros!$A$26:$A$43,"&gt;="&amp;$G$6,Parametros!$A$26:$A$43,"&lt;="&amp;$G$7),"n/d")</f>
        <v>6490000</v>
      </c>
      <c r="B15" s="13"/>
      <c r="C15" s="14" t="n">
        <f aca="false">IF(AND($B$6="Todos",$B$7="Todos"),IFERROR(SUMIFS(Ventas!$P$2:$P$1620,Ventas!$B$2:$B$1620,"&gt;="&amp;$G$6,Ventas!$B$2:$B$1620,"&lt;="&amp;$G$7,Ventas!$E$2:$E$1620,$G$8,Ventas!$F$2:$F$1620,$H$8)/SUMIFS(Parametros!$C$26:$C$43,Parametros!$A$26:$A$43,"&gt;="&amp;$G$6,Parametros!$A$26:$A$43,"&lt;="&amp;$G$7),0),"n/d")</f>
        <v>0.996855996918336</v>
      </c>
      <c r="D15" s="14"/>
      <c r="E15" s="13" t="n">
        <f aca="false">IF(AND($B$6="Todos",$B$7="Todos"),SUMIFS(Gastos!$D$2:$D$217,Gastos!$A$2:$A$217,"&gt;="&amp;$G$6,Gastos!$A$2:$A$217,"&lt;="&amp;$G$7),"n/d")</f>
        <v>1660812.61</v>
      </c>
      <c r="F15" s="13"/>
      <c r="G15" s="13" t="n">
        <f aca="false">IF(AND($B$6="Todos",$B$7="Todos"),SUMIFS(Ventas!$U$2:$U$1620,Ventas!$B$2:$B$1620,"&gt;="&amp;$G$6,Ventas!$B$2:$B$1620,"&lt;="&amp;$G$7,Ventas!$E$2:$E$1620,$G$8,Ventas!$F$2:$F$1620,$H$8)-SUMIFS(Gastos!$D$2:$D$217,Gastos!$A$2:$A$217,"&gt;="&amp;$G$6,Gastos!$A$2:$A$217,"&lt;="&amp;$G$7),"n/d")</f>
        <v>333912.2021875</v>
      </c>
      <c r="H15" s="13"/>
      <c r="I15" s="14" t="n">
        <f aca="false">IF(AND($B$6="Todos",$B$7="Todos"),IFERROR((SUMIFS(Ventas!$U$2:$U$1620,Ventas!$B$2:$B$1620,"&gt;="&amp;$G$6,Ventas!$B$2:$B$1620,"&lt;="&amp;$G$7,Ventas!$E$2:$E$1620,$G$8,Ventas!$F$2:$F$1620,$H$8)-SUMIFS(Gastos!$D$2:$D$217,Gastos!$A$2:$A$217,"&gt;="&amp;$G$6,Gastos!$A$2:$A$217,"&lt;="&amp;$G$7))/SUMIFS(Ventas!$P$2:$P$1620,Ventas!$B$2:$B$1620,"&gt;="&amp;$G$6,Ventas!$B$2:$B$1620,"&lt;="&amp;$G$7,Ventas!$E$2:$E$1620,$G$8,Ventas!$F$2:$F$1620,$H$8),0),"n/d")</f>
        <v>0.051612532238917</v>
      </c>
      <c r="J15" s="14"/>
      <c r="K15" s="13" t="n">
        <f aca="false">SUMIFS(Ventas!$P$2:$P$1620,Ventas!$B$2:$B$1620,"&gt;="&amp;$G$6,Ventas!$B$2:$B$1620,"&lt;="&amp;$G$7,Ventas!$E$2:$E$1620,$G$8,Ventas!$F$2:$F$1620,$H$8,Ventas!$X$2:$X$1620,"Vencido")</f>
        <v>401013.5355</v>
      </c>
      <c r="L15" s="13"/>
    </row>
    <row r="17" customFormat="false" ht="24" hidden="false" customHeight="true" outlineLevel="0" collapsed="false">
      <c r="A17" s="15" t="s">
        <v>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9" customFormat="false" ht="15" hidden="false" customHeight="false" outlineLevel="0" collapsed="false">
      <c r="A19" s="3" t="s">
        <v>27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38" customFormat="false" ht="15" hidden="false" customHeight="false" outlineLevel="0" collapsed="false">
      <c r="A38" s="3" t="s">
        <v>28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56" customFormat="false" ht="15" hidden="false" customHeight="false" outlineLevel="0" collapsed="false">
      <c r="A56" s="3" t="s">
        <v>29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74" customFormat="false" ht="15" hidden="false" customHeight="false" outlineLevel="0" collapsed="false">
      <c r="A74" s="3" t="s">
        <v>30</v>
      </c>
      <c r="B74" s="3"/>
      <c r="C74" s="3"/>
      <c r="D74" s="3"/>
      <c r="E74" s="3"/>
      <c r="F74" s="3"/>
      <c r="G74" s="3"/>
    </row>
    <row r="75" customFormat="false" ht="25.5" hidden="false" customHeight="true" outlineLevel="0" collapsed="false">
      <c r="A75" s="16" t="s">
        <v>31</v>
      </c>
      <c r="B75" s="16" t="s">
        <v>32</v>
      </c>
      <c r="C75" s="16" t="s">
        <v>33</v>
      </c>
      <c r="D75" s="16" t="s">
        <v>34</v>
      </c>
      <c r="E75" s="16" t="s">
        <v>35</v>
      </c>
      <c r="F75" s="16" t="s">
        <v>36</v>
      </c>
      <c r="G75" s="16" t="s">
        <v>37</v>
      </c>
    </row>
    <row r="76" customFormat="false" ht="15" hidden="false" customHeight="false" outlineLevel="0" collapsed="false">
      <c r="A76" s="17" t="n">
        <f aca="false">Parametros!$A$26</f>
        <v>45658</v>
      </c>
      <c r="B76" s="18" t="n">
        <f aca="false">SUMIFS(Ventas!$P$2:$P$1620,Ventas!$C$2:$C$1620,$A76,Ventas!$E$2:$E$1620,$G$8,Ventas!$F$2:$F$1620,$H$8)</f>
        <v>211137.8935</v>
      </c>
      <c r="C76" s="18" t="n">
        <f aca="false">IF(AND($B$6="Todos",$B$7="Todos"),INDEX(Parametros!$C$26:$C$43,MATCH($A76,Parametros!$A$26:$A$43,0)),0)</f>
        <v>300000</v>
      </c>
      <c r="D76" s="18" t="n">
        <f aca="false">SUMIFS(Ventas!$U$2:$U$1620,Ventas!$C$2:$C$1620,$A76,Ventas!$E$2:$E$1620,$G$8,Ventas!$F$2:$F$1620,$H$8)</f>
        <v>66248.74911</v>
      </c>
      <c r="E76" s="19" t="n">
        <f aca="false">IFERROR(D76/B76,0)</f>
        <v>0.313770058097127</v>
      </c>
      <c r="F76" s="20" t="n">
        <f aca="false">SUMIFS(Ventas!$Y$2:$Y$1620,Ventas!$C$2:$C$1620,$A76,Ventas!$E$2:$E$1620,$G$8,Ventas!$F$2:$F$1620,$H$8)</f>
        <v>40</v>
      </c>
      <c r="G76" s="21" t="n">
        <f aca="false">IFERROR(B76/F76,0)</f>
        <v>5278.4473375</v>
      </c>
    </row>
    <row r="77" customFormat="false" ht="15" hidden="false" customHeight="false" outlineLevel="0" collapsed="false">
      <c r="A77" s="17" t="n">
        <f aca="false">Parametros!$A$27</f>
        <v>45689</v>
      </c>
      <c r="B77" s="18" t="n">
        <f aca="false">SUMIFS(Ventas!$P$2:$P$1620,Ventas!$C$2:$C$1620,$A77,Ventas!$E$2:$E$1620,$G$8,Ventas!$F$2:$F$1620,$H$8)</f>
        <v>359815.021</v>
      </c>
      <c r="C77" s="18" t="n">
        <f aca="false">IF(AND($B$6="Todos",$B$7="Todos"),INDEX(Parametros!$C$26:$C$43,MATCH($A77,Parametros!$A$26:$A$43,0)),0)</f>
        <v>340000</v>
      </c>
      <c r="D77" s="18" t="n">
        <f aca="false">SUMIFS(Ventas!$U$2:$U$1620,Ventas!$C$2:$C$1620,$A77,Ventas!$E$2:$E$1620,$G$8,Ventas!$F$2:$F$1620,$H$8)</f>
        <v>107300.543735</v>
      </c>
      <c r="E77" s="19" t="n">
        <f aca="false">IFERROR(D77/B77,0)</f>
        <v>0.298210295492361</v>
      </c>
      <c r="F77" s="20" t="n">
        <f aca="false">SUMIFS(Ventas!$Y$2:$Y$1620,Ventas!$C$2:$C$1620,$A77,Ventas!$E$2:$E$1620,$G$8,Ventas!$F$2:$F$1620,$H$8)</f>
        <v>47</v>
      </c>
      <c r="G77" s="21" t="n">
        <f aca="false">IFERROR(B77/F77,0)</f>
        <v>7655.63874468085</v>
      </c>
    </row>
    <row r="78" customFormat="false" ht="15" hidden="false" customHeight="false" outlineLevel="0" collapsed="false">
      <c r="A78" s="17" t="n">
        <f aca="false">Parametros!$A$28</f>
        <v>45717</v>
      </c>
      <c r="B78" s="18" t="n">
        <f aca="false">SUMIFS(Ventas!$P$2:$P$1620,Ventas!$C$2:$C$1620,$A78,Ventas!$E$2:$E$1620,$G$8,Ventas!$F$2:$F$1620,$H$8)</f>
        <v>402755.4965</v>
      </c>
      <c r="C78" s="18" t="n">
        <f aca="false">IF(AND($B$6="Todos",$B$7="Todos"),INDEX(Parametros!$C$26:$C$43,MATCH($A78,Parametros!$A$26:$A$43,0)),0)</f>
        <v>380000</v>
      </c>
      <c r="D78" s="18" t="n">
        <f aca="false">SUMIFS(Ventas!$U$2:$U$1620,Ventas!$C$2:$C$1620,$A78,Ventas!$E$2:$E$1620,$G$8,Ventas!$F$2:$F$1620,$H$8)</f>
        <v>122520.067895</v>
      </c>
      <c r="E78" s="19" t="n">
        <f aca="false">IFERROR(D78/B78,0)</f>
        <v>0.304204583077614</v>
      </c>
      <c r="F78" s="20" t="n">
        <f aca="false">SUMIFS(Ventas!$Y$2:$Y$1620,Ventas!$C$2:$C$1620,$A78,Ventas!$E$2:$E$1620,$G$8,Ventas!$F$2:$F$1620,$H$8)</f>
        <v>52</v>
      </c>
      <c r="G78" s="21" t="n">
        <f aca="false">IFERROR(B78/F78,0)</f>
        <v>7745.29800961539</v>
      </c>
    </row>
    <row r="79" customFormat="false" ht="15" hidden="false" customHeight="false" outlineLevel="0" collapsed="false">
      <c r="A79" s="17" t="n">
        <f aca="false">Parametros!$A$29</f>
        <v>45748</v>
      </c>
      <c r="B79" s="18" t="n">
        <f aca="false">SUMIFS(Ventas!$P$2:$P$1620,Ventas!$C$2:$C$1620,$A79,Ventas!$E$2:$E$1620,$G$8,Ventas!$F$2:$F$1620,$H$8)</f>
        <v>386160.3115</v>
      </c>
      <c r="C79" s="18" t="n">
        <f aca="false">IF(AND($B$6="Todos",$B$7="Todos"),INDEX(Parametros!$C$26:$C$43,MATCH($A79,Parametros!$A$26:$A$43,0)),0)</f>
        <v>380000</v>
      </c>
      <c r="D79" s="18" t="n">
        <f aca="false">SUMIFS(Ventas!$U$2:$U$1620,Ventas!$C$2:$C$1620,$A79,Ventas!$E$2:$E$1620,$G$8,Ventas!$F$2:$F$1620,$H$8)</f>
        <v>116546.422175</v>
      </c>
      <c r="E79" s="19" t="n">
        <f aca="false">IFERROR(D79/B79,0)</f>
        <v>0.30180839072324</v>
      </c>
      <c r="F79" s="20" t="n">
        <f aca="false">SUMIFS(Ventas!$Y$2:$Y$1620,Ventas!$C$2:$C$1620,$A79,Ventas!$E$2:$E$1620,$G$8,Ventas!$F$2:$F$1620,$H$8)</f>
        <v>49</v>
      </c>
      <c r="G79" s="21" t="n">
        <f aca="false">IFERROR(B79/F79,0)</f>
        <v>7880.82268367347</v>
      </c>
    </row>
    <row r="80" customFormat="false" ht="15" hidden="false" customHeight="false" outlineLevel="0" collapsed="false">
      <c r="A80" s="17" t="n">
        <f aca="false">Parametros!$A$30</f>
        <v>45778</v>
      </c>
      <c r="B80" s="18" t="n">
        <f aca="false">SUMIFS(Ventas!$P$2:$P$1620,Ventas!$C$2:$C$1620,$A80,Ventas!$E$2:$E$1620,$G$8,Ventas!$F$2:$F$1620,$H$8)</f>
        <v>366914.6895</v>
      </c>
      <c r="C80" s="18" t="n">
        <f aca="false">IF(AND($B$6="Todos",$B$7="Todos"),INDEX(Parametros!$C$26:$C$43,MATCH($A80,Parametros!$A$26:$A$43,0)),0)</f>
        <v>375000</v>
      </c>
      <c r="D80" s="18" t="n">
        <f aca="false">SUMIFS(Ventas!$U$2:$U$1620,Ventas!$C$2:$C$1620,$A80,Ventas!$E$2:$E$1620,$G$8,Ventas!$F$2:$F$1620,$H$8)</f>
        <v>115642.3102325</v>
      </c>
      <c r="E80" s="19" t="n">
        <f aca="false">IFERROR(D80/B80,0)</f>
        <v>0.315174926329844</v>
      </c>
      <c r="F80" s="20" t="n">
        <f aca="false">SUMIFS(Ventas!$Y$2:$Y$1620,Ventas!$C$2:$C$1620,$A80,Ventas!$E$2:$E$1620,$G$8,Ventas!$F$2:$F$1620,$H$8)</f>
        <v>55</v>
      </c>
      <c r="G80" s="21" t="n">
        <f aca="false">IFERROR(B80/F80,0)</f>
        <v>6671.17617272727</v>
      </c>
    </row>
    <row r="81" customFormat="false" ht="15" hidden="false" customHeight="false" outlineLevel="0" collapsed="false">
      <c r="A81" s="17" t="n">
        <f aca="false">Parametros!$A$31</f>
        <v>45809</v>
      </c>
      <c r="B81" s="18" t="n">
        <f aca="false">SUMIFS(Ventas!$P$2:$P$1620,Ventas!$C$2:$C$1620,$A81,Ventas!$E$2:$E$1620,$G$8,Ventas!$F$2:$F$1620,$H$8)</f>
        <v>401613.703</v>
      </c>
      <c r="C81" s="18" t="n">
        <f aca="false">IF(AND($B$6="Todos",$B$7="Todos"),INDEX(Parametros!$C$26:$C$43,MATCH($A81,Parametros!$A$26:$A$43,0)),0)</f>
        <v>385000</v>
      </c>
      <c r="D81" s="18" t="n">
        <f aca="false">SUMIFS(Ventas!$U$2:$U$1620,Ventas!$C$2:$C$1620,$A81,Ventas!$E$2:$E$1620,$G$8,Ventas!$F$2:$F$1620,$H$8)</f>
        <v>124394.881945</v>
      </c>
      <c r="E81" s="19" t="n">
        <f aca="false">IFERROR(D81/B81,0)</f>
        <v>0.309737643451374</v>
      </c>
      <c r="F81" s="20" t="n">
        <f aca="false">SUMIFS(Ventas!$Y$2:$Y$1620,Ventas!$C$2:$C$1620,$A81,Ventas!$E$2:$E$1620,$G$8,Ventas!$F$2:$F$1620,$H$8)</f>
        <v>48</v>
      </c>
      <c r="G81" s="21" t="n">
        <f aca="false">IFERROR(B81/F81,0)</f>
        <v>8366.95214583333</v>
      </c>
    </row>
    <row r="82" customFormat="false" ht="15" hidden="false" customHeight="false" outlineLevel="0" collapsed="false">
      <c r="A82" s="17" t="n">
        <f aca="false">Parametros!$A$32</f>
        <v>45839</v>
      </c>
      <c r="B82" s="18" t="n">
        <f aca="false">SUMIFS(Ventas!$P$2:$P$1620,Ventas!$C$2:$C$1620,$A82,Ventas!$E$2:$E$1620,$G$8,Ventas!$F$2:$F$1620,$H$8)</f>
        <v>369003.303</v>
      </c>
      <c r="C82" s="18" t="n">
        <f aca="false">IF(AND($B$6="Todos",$B$7="Todos"),INDEX(Parametros!$C$26:$C$43,MATCH($A82,Parametros!$A$26:$A$43,0)),0)</f>
        <v>360000</v>
      </c>
      <c r="D82" s="18" t="n">
        <f aca="false">SUMIFS(Ventas!$U$2:$U$1620,Ventas!$C$2:$C$1620,$A82,Ventas!$E$2:$E$1620,$G$8,Ventas!$F$2:$F$1620,$H$8)</f>
        <v>111833.492675</v>
      </c>
      <c r="E82" s="19" t="n">
        <f aca="false">IFERROR(D82/B82,0)</f>
        <v>0.303069083029319</v>
      </c>
      <c r="F82" s="20" t="n">
        <f aca="false">SUMIFS(Ventas!$Y$2:$Y$1620,Ventas!$C$2:$C$1620,$A82,Ventas!$E$2:$E$1620,$G$8,Ventas!$F$2:$F$1620,$H$8)</f>
        <v>46</v>
      </c>
      <c r="G82" s="21" t="n">
        <f aca="false">IFERROR(B82/F82,0)</f>
        <v>8021.81093478261</v>
      </c>
    </row>
    <row r="83" customFormat="false" ht="15" hidden="false" customHeight="false" outlineLevel="0" collapsed="false">
      <c r="A83" s="17" t="n">
        <f aca="false">Parametros!$A$33</f>
        <v>45870</v>
      </c>
      <c r="B83" s="18" t="n">
        <f aca="false">SUMIFS(Ventas!$P$2:$P$1620,Ventas!$C$2:$C$1620,$A83,Ventas!$E$2:$E$1620,$G$8,Ventas!$F$2:$F$1620,$H$8)</f>
        <v>244108.858</v>
      </c>
      <c r="C83" s="18" t="n">
        <f aca="false">IF(AND($B$6="Todos",$B$7="Todos"),INDEX(Parametros!$C$26:$C$43,MATCH($A83,Parametros!$A$26:$A$43,0)),0)</f>
        <v>250000</v>
      </c>
      <c r="D83" s="18" t="n">
        <f aca="false">SUMIFS(Ventas!$U$2:$U$1620,Ventas!$C$2:$C$1620,$A83,Ventas!$E$2:$E$1620,$G$8,Ventas!$F$2:$F$1620,$H$8)</f>
        <v>75143.15509</v>
      </c>
      <c r="E83" s="19" t="n">
        <f aca="false">IFERROR(D83/B83,0)</f>
        <v>0.307826416893073</v>
      </c>
      <c r="F83" s="20" t="n">
        <f aca="false">SUMIFS(Ventas!$Y$2:$Y$1620,Ventas!$C$2:$C$1620,$A83,Ventas!$E$2:$E$1620,$G$8,Ventas!$F$2:$F$1620,$H$8)</f>
        <v>33</v>
      </c>
      <c r="G83" s="21" t="n">
        <f aca="false">IFERROR(B83/F83,0)</f>
        <v>7397.23812121212</v>
      </c>
    </row>
    <row r="84" customFormat="false" ht="15" hidden="false" customHeight="false" outlineLevel="0" collapsed="false">
      <c r="A84" s="17" t="n">
        <f aca="false">Parametros!$A$34</f>
        <v>45901</v>
      </c>
      <c r="B84" s="18" t="n">
        <f aca="false">SUMIFS(Ventas!$P$2:$P$1620,Ventas!$C$2:$C$1620,$A84,Ventas!$E$2:$E$1620,$G$8,Ventas!$F$2:$F$1620,$H$8)</f>
        <v>333535.385</v>
      </c>
      <c r="C84" s="18" t="n">
        <f aca="false">IF(AND($B$6="Todos",$B$7="Todos"),INDEX(Parametros!$C$26:$C$43,MATCH($A84,Parametros!$A$26:$A$43,0)),0)</f>
        <v>340000</v>
      </c>
      <c r="D84" s="18" t="n">
        <f aca="false">SUMIFS(Ventas!$U$2:$U$1620,Ventas!$C$2:$C$1620,$A84,Ventas!$E$2:$E$1620,$G$8,Ventas!$F$2:$F$1620,$H$8)</f>
        <v>100441.15689</v>
      </c>
      <c r="E84" s="19" t="n">
        <f aca="false">IFERROR(D84/B84,0)</f>
        <v>0.301140932588007</v>
      </c>
      <c r="F84" s="20" t="n">
        <f aca="false">SUMIFS(Ventas!$Y$2:$Y$1620,Ventas!$C$2:$C$1620,$A84,Ventas!$E$2:$E$1620,$G$8,Ventas!$F$2:$F$1620,$H$8)</f>
        <v>47</v>
      </c>
      <c r="G84" s="21" t="n">
        <f aca="false">IFERROR(B84/F84,0)</f>
        <v>7096.49755319149</v>
      </c>
    </row>
    <row r="85" customFormat="false" ht="15" hidden="false" customHeight="false" outlineLevel="0" collapsed="false">
      <c r="A85" s="17" t="n">
        <f aca="false">Parametros!$A$35</f>
        <v>45931</v>
      </c>
      <c r="B85" s="18" t="n">
        <f aca="false">SUMIFS(Ventas!$P$2:$P$1620,Ventas!$C$2:$C$1620,$A85,Ventas!$E$2:$E$1620,$G$8,Ventas!$F$2:$F$1620,$H$8)</f>
        <v>361634.801</v>
      </c>
      <c r="C85" s="18" t="n">
        <f aca="false">IF(AND($B$6="Todos",$B$7="Todos"),INDEX(Parametros!$C$26:$C$43,MATCH($A85,Parametros!$A$26:$A$43,0)),0)</f>
        <v>370000</v>
      </c>
      <c r="D85" s="18" t="n">
        <f aca="false">SUMIFS(Ventas!$U$2:$U$1620,Ventas!$C$2:$C$1620,$A85,Ventas!$E$2:$E$1620,$G$8,Ventas!$F$2:$F$1620,$H$8)</f>
        <v>106710.02818</v>
      </c>
      <c r="E85" s="19" t="n">
        <f aca="false">IFERROR(D85/B85,0)</f>
        <v>0.295076767736189</v>
      </c>
      <c r="F85" s="20" t="n">
        <f aca="false">SUMIFS(Ventas!$Y$2:$Y$1620,Ventas!$C$2:$C$1620,$A85,Ventas!$E$2:$E$1620,$G$8,Ventas!$F$2:$F$1620,$H$8)</f>
        <v>54</v>
      </c>
      <c r="G85" s="21" t="n">
        <f aca="false">IFERROR(B85/F85,0)</f>
        <v>6696.94075925926</v>
      </c>
    </row>
    <row r="86" customFormat="false" ht="15" hidden="false" customHeight="false" outlineLevel="0" collapsed="false">
      <c r="A86" s="17" t="n">
        <f aca="false">Parametros!$A$36</f>
        <v>45962</v>
      </c>
      <c r="B86" s="18" t="n">
        <f aca="false">SUMIFS(Ventas!$P$2:$P$1620,Ventas!$C$2:$C$1620,$A86,Ventas!$E$2:$E$1620,$G$8,Ventas!$F$2:$F$1620,$H$8)</f>
        <v>432903.5625</v>
      </c>
      <c r="C86" s="18" t="n">
        <f aca="false">IF(AND($B$6="Todos",$B$7="Todos"),INDEX(Parametros!$C$26:$C$43,MATCH($A86,Parametros!$A$26:$A$43,0)),0)</f>
        <v>390000</v>
      </c>
      <c r="D86" s="18" t="n">
        <f aca="false">SUMIFS(Ventas!$U$2:$U$1620,Ventas!$C$2:$C$1620,$A86,Ventas!$E$2:$E$1620,$G$8,Ventas!$F$2:$F$1620,$H$8)</f>
        <v>128470.234705</v>
      </c>
      <c r="E86" s="19" t="n">
        <f aca="false">IFERROR(D86/B86,0)</f>
        <v>0.296764096749608</v>
      </c>
      <c r="F86" s="20" t="n">
        <f aca="false">SUMIFS(Ventas!$Y$2:$Y$1620,Ventas!$C$2:$C$1620,$A86,Ventas!$E$2:$E$1620,$G$8,Ventas!$F$2:$F$1620,$H$8)</f>
        <v>49</v>
      </c>
      <c r="G86" s="21" t="n">
        <f aca="false">IFERROR(B86/F86,0)</f>
        <v>8834.76658163265</v>
      </c>
    </row>
    <row r="87" customFormat="false" ht="15" hidden="false" customHeight="false" outlineLevel="0" collapsed="false">
      <c r="A87" s="17" t="n">
        <f aca="false">Parametros!$A$37</f>
        <v>45992</v>
      </c>
      <c r="B87" s="18" t="n">
        <f aca="false">SUMIFS(Ventas!$P$2:$P$1620,Ventas!$C$2:$C$1620,$A87,Ventas!$E$2:$E$1620,$G$8,Ventas!$F$2:$F$1620,$H$8)</f>
        <v>369951.0175</v>
      </c>
      <c r="C87" s="18" t="n">
        <f aca="false">IF(AND($B$6="Todos",$B$7="Todos"),INDEX(Parametros!$C$26:$C$43,MATCH($A87,Parametros!$A$26:$A$43,0)),0)</f>
        <v>360000</v>
      </c>
      <c r="D87" s="18" t="n">
        <f aca="false">SUMIFS(Ventas!$U$2:$U$1620,Ventas!$C$2:$C$1620,$A87,Ventas!$E$2:$E$1620,$G$8,Ventas!$F$2:$F$1620,$H$8)</f>
        <v>112764.718115</v>
      </c>
      <c r="E87" s="19" t="n">
        <f aca="false">IFERROR(D87/B87,0)</f>
        <v>0.30480986071352</v>
      </c>
      <c r="F87" s="20" t="n">
        <f aca="false">SUMIFS(Ventas!$Y$2:$Y$1620,Ventas!$C$2:$C$1620,$A87,Ventas!$E$2:$E$1620,$G$8,Ventas!$F$2:$F$1620,$H$8)</f>
        <v>43</v>
      </c>
      <c r="G87" s="21" t="n">
        <f aca="false">IFERROR(B87/F87,0)</f>
        <v>8603.51203488372</v>
      </c>
    </row>
    <row r="88" customFormat="false" ht="15" hidden="false" customHeight="false" outlineLevel="0" collapsed="false">
      <c r="A88" s="17" t="n">
        <f aca="false">Parametros!$A$38</f>
        <v>46023</v>
      </c>
      <c r="B88" s="18" t="n">
        <f aca="false">SUMIFS(Ventas!$P$2:$P$1620,Ventas!$C$2:$C$1620,$A88,Ventas!$E$2:$E$1620,$G$8,Ventas!$F$2:$F$1620,$H$8)</f>
        <v>337299.0095</v>
      </c>
      <c r="C88" s="18" t="n">
        <f aca="false">IF(AND($B$6="Todos",$B$7="Todos"),INDEX(Parametros!$C$26:$C$43,MATCH($A88,Parametros!$A$26:$A$43,0)),0)</f>
        <v>335000</v>
      </c>
      <c r="D88" s="18" t="n">
        <f aca="false">SUMIFS(Ventas!$U$2:$U$1620,Ventas!$C$2:$C$1620,$A88,Ventas!$E$2:$E$1620,$G$8,Ventas!$F$2:$F$1620,$H$8)</f>
        <v>102401.47643</v>
      </c>
      <c r="E88" s="19" t="n">
        <f aca="false">IFERROR(D88/B88,0)</f>
        <v>0.303592579716722</v>
      </c>
      <c r="F88" s="20" t="n">
        <f aca="false">SUMIFS(Ventas!$Y$2:$Y$1620,Ventas!$C$2:$C$1620,$A88,Ventas!$E$2:$E$1620,$G$8,Ventas!$F$2:$F$1620,$H$8)</f>
        <v>42</v>
      </c>
      <c r="G88" s="21" t="n">
        <f aca="false">IFERROR(B88/F88,0)</f>
        <v>8030.92879761905</v>
      </c>
    </row>
    <row r="89" customFormat="false" ht="15" hidden="false" customHeight="false" outlineLevel="0" collapsed="false">
      <c r="A89" s="17" t="n">
        <f aca="false">Parametros!$A$39</f>
        <v>46054</v>
      </c>
      <c r="B89" s="18" t="n">
        <f aca="false">SUMIFS(Ventas!$P$2:$P$1620,Ventas!$C$2:$C$1620,$A89,Ventas!$E$2:$E$1620,$G$8,Ventas!$F$2:$F$1620,$H$8)</f>
        <v>352386.6235</v>
      </c>
      <c r="C89" s="18" t="n">
        <f aca="false">IF(AND($B$6="Todos",$B$7="Todos"),INDEX(Parametros!$C$26:$C$43,MATCH($A89,Parametros!$A$26:$A$43,0)),0)</f>
        <v>355000</v>
      </c>
      <c r="D89" s="18" t="n">
        <f aca="false">SUMIFS(Ventas!$U$2:$U$1620,Ventas!$C$2:$C$1620,$A89,Ventas!$E$2:$E$1620,$G$8,Ventas!$F$2:$F$1620,$H$8)</f>
        <v>107815.01082</v>
      </c>
      <c r="E89" s="19" t="n">
        <f aca="false">IFERROR(D89/B89,0)</f>
        <v>0.305956593213306</v>
      </c>
      <c r="F89" s="20" t="n">
        <f aca="false">SUMIFS(Ventas!$Y$2:$Y$1620,Ventas!$C$2:$C$1620,$A89,Ventas!$E$2:$E$1620,$G$8,Ventas!$F$2:$F$1620,$H$8)</f>
        <v>48</v>
      </c>
      <c r="G89" s="21" t="n">
        <f aca="false">IFERROR(B89/F89,0)</f>
        <v>7341.38798958333</v>
      </c>
    </row>
    <row r="90" customFormat="false" ht="15" hidden="false" customHeight="false" outlineLevel="0" collapsed="false">
      <c r="A90" s="17" t="n">
        <f aca="false">Parametros!$A$40</f>
        <v>46082</v>
      </c>
      <c r="B90" s="18" t="n">
        <f aca="false">SUMIFS(Ventas!$P$2:$P$1620,Ventas!$C$2:$C$1620,$A90,Ventas!$E$2:$E$1620,$G$8,Ventas!$F$2:$F$1620,$H$8)</f>
        <v>398590.9615</v>
      </c>
      <c r="C90" s="18" t="n">
        <f aca="false">IF(AND($B$6="Todos",$B$7="Todos"),INDEX(Parametros!$C$26:$C$43,MATCH($A90,Parametros!$A$26:$A$43,0)),0)</f>
        <v>400000</v>
      </c>
      <c r="D90" s="18" t="n">
        <f aca="false">SUMIFS(Ventas!$U$2:$U$1620,Ventas!$C$2:$C$1620,$A90,Ventas!$E$2:$E$1620,$G$8,Ventas!$F$2:$F$1620,$H$8)</f>
        <v>125939.3891375</v>
      </c>
      <c r="E90" s="19" t="n">
        <f aca="false">IFERROR(D90/B90,0)</f>
        <v>0.315961477559746</v>
      </c>
      <c r="F90" s="20" t="n">
        <f aca="false">SUMIFS(Ventas!$Y$2:$Y$1620,Ventas!$C$2:$C$1620,$A90,Ventas!$E$2:$E$1620,$G$8,Ventas!$F$2:$F$1620,$H$8)</f>
        <v>52</v>
      </c>
      <c r="G90" s="21" t="n">
        <f aca="false">IFERROR(B90/F90,0)</f>
        <v>7665.21079807692</v>
      </c>
    </row>
    <row r="91" customFormat="false" ht="15" hidden="false" customHeight="false" outlineLevel="0" collapsed="false">
      <c r="A91" s="17" t="n">
        <f aca="false">Parametros!$A$41</f>
        <v>46113</v>
      </c>
      <c r="B91" s="18" t="n">
        <f aca="false">SUMIFS(Ventas!$P$2:$P$1620,Ventas!$C$2:$C$1620,$A91,Ventas!$E$2:$E$1620,$G$8,Ventas!$F$2:$F$1620,$H$8)</f>
        <v>393675.565</v>
      </c>
      <c r="C91" s="18" t="n">
        <f aca="false">IF(AND($B$6="Todos",$B$7="Todos"),INDEX(Parametros!$C$26:$C$43,MATCH($A91,Parametros!$A$26:$A$43,0)),0)</f>
        <v>400000</v>
      </c>
      <c r="D91" s="18" t="n">
        <f aca="false">SUMIFS(Ventas!$U$2:$U$1620,Ventas!$C$2:$C$1620,$A91,Ventas!$E$2:$E$1620,$G$8,Ventas!$F$2:$F$1620,$H$8)</f>
        <v>129818.1466525</v>
      </c>
      <c r="E91" s="19" t="n">
        <f aca="false">IFERROR(D91/B91,0)</f>
        <v>0.329759218488707</v>
      </c>
      <c r="F91" s="20" t="n">
        <f aca="false">SUMIFS(Ventas!$Y$2:$Y$1620,Ventas!$C$2:$C$1620,$A91,Ventas!$E$2:$E$1620,$G$8,Ventas!$F$2:$F$1620,$H$8)</f>
        <v>57</v>
      </c>
      <c r="G91" s="21" t="n">
        <f aca="false">IFERROR(B91/F91,0)</f>
        <v>6906.58885964912</v>
      </c>
    </row>
    <row r="92" customFormat="false" ht="15" hidden="false" customHeight="false" outlineLevel="0" collapsed="false">
      <c r="A92" s="17" t="n">
        <f aca="false">Parametros!$A$42</f>
        <v>46143</v>
      </c>
      <c r="B92" s="18" t="n">
        <f aca="false">SUMIFS(Ventas!$P$2:$P$1620,Ventas!$C$2:$C$1620,$A92,Ventas!$E$2:$E$1620,$G$8,Ventas!$F$2:$F$1620,$H$8)</f>
        <v>398935.234</v>
      </c>
      <c r="C92" s="18" t="n">
        <f aca="false">IF(AND($B$6="Todos",$B$7="Todos"),INDEX(Parametros!$C$26:$C$43,MATCH($A92,Parametros!$A$26:$A$43,0)),0)</f>
        <v>400000</v>
      </c>
      <c r="D92" s="18" t="n">
        <f aca="false">SUMIFS(Ventas!$U$2:$U$1620,Ventas!$C$2:$C$1620,$A92,Ventas!$E$2:$E$1620,$G$8,Ventas!$F$2:$F$1620,$H$8)</f>
        <v>130917.2052225</v>
      </c>
      <c r="E92" s="19" t="n">
        <f aca="false">IFERROR(D92/B92,0)</f>
        <v>0.328166564556943</v>
      </c>
      <c r="F92" s="20" t="n">
        <f aca="false">SUMIFS(Ventas!$Y$2:$Y$1620,Ventas!$C$2:$C$1620,$A92,Ventas!$E$2:$E$1620,$G$8,Ventas!$F$2:$F$1620,$H$8)</f>
        <v>56</v>
      </c>
      <c r="G92" s="21" t="n">
        <f aca="false">IFERROR(B92/F92,0)</f>
        <v>7123.84346428572</v>
      </c>
    </row>
    <row r="93" customFormat="false" ht="15" hidden="false" customHeight="false" outlineLevel="0" collapsed="false">
      <c r="A93" s="17" t="n">
        <f aca="false">Parametros!$A$43</f>
        <v>46174</v>
      </c>
      <c r="B93" s="18" t="n">
        <f aca="false">SUMIFS(Ventas!$P$2:$P$1620,Ventas!$C$2:$C$1620,$A93,Ventas!$E$2:$E$1620,$G$8,Ventas!$F$2:$F$1620,$H$8)</f>
        <v>349173.9845</v>
      </c>
      <c r="C93" s="18" t="n">
        <f aca="false">IF(AND($B$6="Todos",$B$7="Todos"),INDEX(Parametros!$C$26:$C$43,MATCH($A93,Parametros!$A$26:$A$43,0)),0)</f>
        <v>370000</v>
      </c>
      <c r="D93" s="18" t="n">
        <f aca="false">SUMIFS(Ventas!$U$2:$U$1620,Ventas!$C$2:$C$1620,$A93,Ventas!$E$2:$E$1620,$G$8,Ventas!$F$2:$F$1620,$H$8)</f>
        <v>109817.8231775</v>
      </c>
      <c r="E93" s="19" t="n">
        <f aca="false">IFERROR(D93/B93,0)</f>
        <v>0.314507460613808</v>
      </c>
      <c r="F93" s="20" t="n">
        <f aca="false">SUMIFS(Ventas!$Y$2:$Y$1620,Ventas!$C$2:$C$1620,$A93,Ventas!$E$2:$E$1620,$G$8,Ventas!$F$2:$F$1620,$H$8)</f>
        <v>50</v>
      </c>
      <c r="G93" s="21" t="n">
        <f aca="false">IFERROR(B93/F93,0)</f>
        <v>6983.47969</v>
      </c>
    </row>
    <row r="94" customFormat="false" ht="15" hidden="false" customHeight="false" outlineLevel="0" collapsed="false">
      <c r="A94" s="22" t="s">
        <v>38</v>
      </c>
      <c r="B94" s="23" t="n">
        <f aca="false">SUM(B76:B93)</f>
        <v>6469595.42</v>
      </c>
      <c r="C94" s="23" t="n">
        <f aca="false">SUM(C76:C93)</f>
        <v>6490000</v>
      </c>
      <c r="D94" s="23" t="n">
        <f aca="false">SUM(D76:D93)</f>
        <v>1994724.8121875</v>
      </c>
      <c r="E94" s="24" t="n">
        <f aca="false">IFERROR(D94/B94,0)</f>
        <v>0.308322960354065</v>
      </c>
      <c r="F94" s="25" t="n">
        <f aca="false">SUM(F76:F93)</f>
        <v>868</v>
      </c>
      <c r="G94" s="23" t="n">
        <f aca="false">IFERROR(B94/F94,0)</f>
        <v>7453.45094470046</v>
      </c>
    </row>
    <row r="96" customFormat="false" ht="15" hidden="false" customHeight="false" outlineLevel="0" collapsed="false">
      <c r="A96" s="3" t="s">
        <v>39</v>
      </c>
      <c r="B96" s="3"/>
      <c r="C96" s="3"/>
      <c r="D96" s="3"/>
      <c r="E96" s="3"/>
    </row>
    <row r="97" customFormat="false" ht="25.5" hidden="false" customHeight="true" outlineLevel="0" collapsed="false">
      <c r="A97" s="16" t="s">
        <v>6</v>
      </c>
      <c r="B97" s="16" t="s">
        <v>32</v>
      </c>
      <c r="C97" s="16" t="s">
        <v>34</v>
      </c>
      <c r="D97" s="16" t="s">
        <v>35</v>
      </c>
      <c r="E97" s="16" t="s">
        <v>40</v>
      </c>
    </row>
    <row r="98" customFormat="false" ht="15" hidden="false" customHeight="false" outlineLevel="0" collapsed="false">
      <c r="A98" s="26" t="s">
        <v>41</v>
      </c>
      <c r="B98" s="18" t="n">
        <f aca="false">SUMIFS(Ventas!$P$2:$P$1620,Ventas!$E$2:$E$1620,$A98,Ventas!$B$2:$B$1620,"&gt;="&amp;$G$6,Ventas!$B$2:$B$1620,"&lt;="&amp;$G$7,Ventas!$F$2:$F$1620,$H$8)</f>
        <v>3440618.015</v>
      </c>
      <c r="C98" s="18" t="n">
        <f aca="false">SUMIFS(Ventas!$U$2:$U$1620,Ventas!$E$2:$E$1620,$A98,Ventas!$B$2:$B$1620,"&gt;="&amp;$G$6,Ventas!$B$2:$B$1620,"&lt;="&amp;$G$7,Ventas!$F$2:$F$1620,$H$8)</f>
        <v>1110498.3995575</v>
      </c>
      <c r="D98" s="19" t="n">
        <f aca="false">IFERROR(C98/B98,0)</f>
        <v>0.322761316343773</v>
      </c>
      <c r="E98" s="19" t="n">
        <f aca="false">IFERROR(B98/$B$101,0)</f>
        <v>0.531813473894168</v>
      </c>
    </row>
    <row r="99" customFormat="false" ht="15" hidden="false" customHeight="false" outlineLevel="0" collapsed="false">
      <c r="A99" s="26" t="s">
        <v>42</v>
      </c>
      <c r="B99" s="18" t="n">
        <f aca="false">SUMIFS(Ventas!$P$2:$P$1620,Ventas!$E$2:$E$1620,$A99,Ventas!$B$2:$B$1620,"&gt;="&amp;$G$6,Ventas!$B$2:$B$1620,"&lt;="&amp;$G$7,Ventas!$F$2:$F$1620,$H$8)</f>
        <v>1760409.374</v>
      </c>
      <c r="C99" s="18" t="n">
        <f aca="false">SUMIFS(Ventas!$U$2:$U$1620,Ventas!$E$2:$E$1620,$A99,Ventas!$B$2:$B$1620,"&gt;="&amp;$G$6,Ventas!$B$2:$B$1620,"&lt;="&amp;$G$7,Ventas!$F$2:$F$1620,$H$8)</f>
        <v>501447.08694</v>
      </c>
      <c r="D99" s="19" t="n">
        <f aca="false">IFERROR(C99/B99,0)</f>
        <v>0.284846862523012</v>
      </c>
      <c r="E99" s="19" t="n">
        <f aca="false">IFERROR(B99/$B$101,0)</f>
        <v>0.272105017348983</v>
      </c>
    </row>
    <row r="100" customFormat="false" ht="15" hidden="false" customHeight="false" outlineLevel="0" collapsed="false">
      <c r="A100" s="26" t="s">
        <v>43</v>
      </c>
      <c r="B100" s="18" t="n">
        <f aca="false">SUMIFS(Ventas!$P$2:$P$1620,Ventas!$E$2:$E$1620,$A100,Ventas!$B$2:$B$1620,"&gt;="&amp;$G$6,Ventas!$B$2:$B$1620,"&lt;="&amp;$G$7,Ventas!$F$2:$F$1620,$H$8)</f>
        <v>1268568.031</v>
      </c>
      <c r="C100" s="18" t="n">
        <f aca="false">SUMIFS(Ventas!$U$2:$U$1620,Ventas!$E$2:$E$1620,$A100,Ventas!$B$2:$B$1620,"&gt;="&amp;$G$6,Ventas!$B$2:$B$1620,"&lt;="&amp;$G$7,Ventas!$F$2:$F$1620,$H$8)</f>
        <v>382779.32569</v>
      </c>
      <c r="D100" s="19" t="n">
        <f aca="false">IFERROR(C100/B100,0)</f>
        <v>0.301741267583622</v>
      </c>
      <c r="E100" s="19" t="n">
        <f aca="false">IFERROR(B100/$B$101,0)</f>
        <v>0.196081508756849</v>
      </c>
    </row>
    <row r="101" customFormat="false" ht="15" hidden="false" customHeight="false" outlineLevel="0" collapsed="false">
      <c r="A101" s="22" t="s">
        <v>38</v>
      </c>
      <c r="B101" s="23" t="n">
        <f aca="false">SUM(B98:B100)</f>
        <v>6469595.42</v>
      </c>
      <c r="C101" s="23" t="n">
        <f aca="false">SUM(C98:C100)</f>
        <v>1994724.8121875</v>
      </c>
      <c r="D101" s="24" t="n">
        <f aca="false">IFERROR(C101/B101,0)</f>
        <v>0.308322960354065</v>
      </c>
      <c r="E101" s="24" t="n">
        <f aca="false">IFERROR(B101/B101,0)</f>
        <v>1</v>
      </c>
    </row>
    <row r="103" customFormat="false" ht="15" hidden="false" customHeight="false" outlineLevel="0" collapsed="false">
      <c r="A103" s="3" t="s">
        <v>44</v>
      </c>
      <c r="B103" s="3"/>
      <c r="C103" s="3"/>
      <c r="D103" s="3"/>
      <c r="E103" s="3"/>
    </row>
    <row r="104" customFormat="false" ht="25.5" hidden="false" customHeight="true" outlineLevel="0" collapsed="false">
      <c r="A104" s="16" t="s">
        <v>9</v>
      </c>
      <c r="B104" s="16" t="s">
        <v>32</v>
      </c>
      <c r="C104" s="16" t="s">
        <v>34</v>
      </c>
      <c r="D104" s="16" t="s">
        <v>35</v>
      </c>
      <c r="E104" s="16" t="s">
        <v>40</v>
      </c>
    </row>
    <row r="105" customFormat="false" ht="15" hidden="false" customHeight="false" outlineLevel="0" collapsed="false">
      <c r="A105" s="26" t="s">
        <v>45</v>
      </c>
      <c r="B105" s="18" t="n">
        <f aca="false">SUMIFS(Ventas!$P$2:$P$1620,Ventas!$F$2:$F$1620,$A105,Ventas!$B$2:$B$1620,"&gt;="&amp;$G$6,Ventas!$B$2:$B$1620,"&lt;="&amp;$G$7,Ventas!$E$2:$E$1620,$G$8)</f>
        <v>3245561.3715</v>
      </c>
      <c r="C105" s="18" t="n">
        <f aca="false">SUMIFS(Ventas!$U$2:$U$1620,Ventas!$F$2:$F$1620,$A105,Ventas!$B$2:$B$1620,"&gt;="&amp;$G$6,Ventas!$B$2:$B$1620,"&lt;="&amp;$G$7,Ventas!$E$2:$E$1620,$G$8)</f>
        <v>940030.934355</v>
      </c>
      <c r="D105" s="19" t="n">
        <f aca="false">IFERROR(C105/B105,0)</f>
        <v>0.289635852401259</v>
      </c>
      <c r="E105" s="19" t="n">
        <f aca="false">IFERROR(B105/$B$109,0)</f>
        <v>0.501663730233691</v>
      </c>
    </row>
    <row r="106" customFormat="false" ht="15" hidden="false" customHeight="false" outlineLevel="0" collapsed="false">
      <c r="A106" s="26" t="s">
        <v>46</v>
      </c>
      <c r="B106" s="18" t="n">
        <f aca="false">SUMIFS(Ventas!$P$2:$P$1620,Ventas!$F$2:$F$1620,$A106,Ventas!$B$2:$B$1620,"&gt;="&amp;$G$6,Ventas!$B$2:$B$1620,"&lt;="&amp;$G$7,Ventas!$E$2:$E$1620,$G$8)</f>
        <v>2377293.659</v>
      </c>
      <c r="C106" s="18" t="n">
        <f aca="false">SUMIFS(Ventas!$U$2:$U$1620,Ventas!$F$2:$F$1620,$A106,Ventas!$B$2:$B$1620,"&gt;="&amp;$G$6,Ventas!$B$2:$B$1620,"&lt;="&amp;$G$7,Ventas!$E$2:$E$1620,$G$8)</f>
        <v>745642.25654</v>
      </c>
      <c r="D106" s="19" t="n">
        <f aca="false">IFERROR(C106/B106,0)</f>
        <v>0.313651724816215</v>
      </c>
      <c r="E106" s="19" t="n">
        <f aca="false">IFERROR(B106/$B$109,0)</f>
        <v>0.367456309810483</v>
      </c>
    </row>
    <row r="107" customFormat="false" ht="15" hidden="false" customHeight="false" outlineLevel="0" collapsed="false">
      <c r="A107" s="26" t="s">
        <v>47</v>
      </c>
      <c r="B107" s="18" t="n">
        <f aca="false">SUMIFS(Ventas!$P$2:$P$1620,Ventas!$F$2:$F$1620,$A107,Ventas!$B$2:$B$1620,"&gt;="&amp;$G$6,Ventas!$B$2:$B$1620,"&lt;="&amp;$G$7,Ventas!$E$2:$E$1620,$G$8)</f>
        <v>802151.7565</v>
      </c>
      <c r="C107" s="18" t="n">
        <f aca="false">SUMIFS(Ventas!$U$2:$U$1620,Ventas!$F$2:$F$1620,$A107,Ventas!$B$2:$B$1620,"&gt;="&amp;$G$6,Ventas!$B$2:$B$1620,"&lt;="&amp;$G$7,Ventas!$E$2:$E$1620,$G$8)</f>
        <v>290078.2028225</v>
      </c>
      <c r="D107" s="19" t="n">
        <f aca="false">IFERROR(C107/B107,0)</f>
        <v>0.361625092100013</v>
      </c>
      <c r="E107" s="19" t="n">
        <f aca="false">IFERROR(B107/$B$109,0)</f>
        <v>0.123987931922333</v>
      </c>
    </row>
    <row r="108" customFormat="false" ht="15" hidden="false" customHeight="false" outlineLevel="0" collapsed="false">
      <c r="A108" s="26" t="s">
        <v>48</v>
      </c>
      <c r="B108" s="18" t="n">
        <f aca="false">SUMIFS(Ventas!$P$2:$P$1620,Ventas!$F$2:$F$1620,$A108,Ventas!$B$2:$B$1620,"&gt;="&amp;$G$6,Ventas!$B$2:$B$1620,"&lt;="&amp;$G$7,Ventas!$E$2:$E$1620,$G$8)</f>
        <v>44588.633</v>
      </c>
      <c r="C108" s="18" t="n">
        <f aca="false">SUMIFS(Ventas!$U$2:$U$1620,Ventas!$F$2:$F$1620,$A108,Ventas!$B$2:$B$1620,"&gt;="&amp;$G$6,Ventas!$B$2:$B$1620,"&lt;="&amp;$G$7,Ventas!$E$2:$E$1620,$G$8)</f>
        <v>18973.41847</v>
      </c>
      <c r="D108" s="19" t="n">
        <f aca="false">IFERROR(C108/B108,0)</f>
        <v>0.425521420896667</v>
      </c>
      <c r="E108" s="19" t="n">
        <f aca="false">IFERROR(B108/$B$109,0)</f>
        <v>0.00689202803349332</v>
      </c>
    </row>
    <row r="109" customFormat="false" ht="15" hidden="false" customHeight="false" outlineLevel="0" collapsed="false">
      <c r="A109" s="22" t="s">
        <v>38</v>
      </c>
      <c r="B109" s="23" t="n">
        <f aca="false">SUM(B105:B108)</f>
        <v>6469595.42</v>
      </c>
      <c r="C109" s="23" t="n">
        <f aca="false">SUM(C105:C108)</f>
        <v>1994724.8121875</v>
      </c>
      <c r="D109" s="24" t="n">
        <f aca="false">IFERROR(C109/B109,0)</f>
        <v>0.308322960354065</v>
      </c>
      <c r="E109" s="24" t="n">
        <f aca="false">IFERROR(B109/B109,0)</f>
        <v>1</v>
      </c>
    </row>
    <row r="111" customFormat="false" ht="15" hidden="false" customHeight="false" outlineLevel="0" collapsed="false">
      <c r="A111" s="3" t="s">
        <v>49</v>
      </c>
      <c r="B111" s="3"/>
      <c r="C111" s="3"/>
      <c r="D111" s="3"/>
      <c r="E111" s="3"/>
    </row>
    <row r="112" customFormat="false" ht="25.5" hidden="false" customHeight="true" outlineLevel="0" collapsed="false">
      <c r="A112" s="16" t="s">
        <v>50</v>
      </c>
      <c r="B112" s="16" t="s">
        <v>32</v>
      </c>
      <c r="C112" s="16" t="s">
        <v>34</v>
      </c>
      <c r="D112" s="16" t="s">
        <v>35</v>
      </c>
      <c r="E112" s="16" t="s">
        <v>40</v>
      </c>
    </row>
    <row r="113" customFormat="false" ht="15" hidden="false" customHeight="false" outlineLevel="0" collapsed="false">
      <c r="A113" s="26" t="s">
        <v>51</v>
      </c>
      <c r="B113" s="18" t="n">
        <f aca="false">SUMIFS(Ventas!$P$2:$P$1620,Ventas!$J$2:$J$1620,$A113,Ventas!$B$2:$B$1620,"&gt;="&amp;$G$6,Ventas!$B$2:$B$1620,"&lt;="&amp;$G$7,Ventas!$E$2:$E$1620,$G$8,Ventas!$F$2:$F$1620,$H$8)</f>
        <v>689498.5205</v>
      </c>
      <c r="C113" s="18" t="n">
        <f aca="false">SUMIFS(Ventas!$U$2:$U$1620,Ventas!$J$2:$J$1620,$A113,Ventas!$B$2:$B$1620,"&gt;="&amp;$G$6,Ventas!$B$2:$B$1620,"&lt;="&amp;$G$7,Ventas!$E$2:$E$1620,$G$8,Ventas!$F$2:$F$1620,$H$8)</f>
        <v>208206.163425</v>
      </c>
      <c r="D113" s="19" t="n">
        <f aca="false">IFERROR(C113/B113,0)</f>
        <v>0.301967527463317</v>
      </c>
      <c r="E113" s="19" t="n">
        <f aca="false">IFERROR(B113/$B$118,0)</f>
        <v>0.106575214636837</v>
      </c>
    </row>
    <row r="114" customFormat="false" ht="15" hidden="false" customHeight="false" outlineLevel="0" collapsed="false">
      <c r="A114" s="26" t="s">
        <v>52</v>
      </c>
      <c r="B114" s="18" t="n">
        <f aca="false">SUMIFS(Ventas!$P$2:$P$1620,Ventas!$J$2:$J$1620,$A114,Ventas!$B$2:$B$1620,"&gt;="&amp;$G$6,Ventas!$B$2:$B$1620,"&lt;="&amp;$G$7,Ventas!$E$2:$E$1620,$G$8,Ventas!$F$2:$F$1620,$H$8)</f>
        <v>1738284.264</v>
      </c>
      <c r="C114" s="18" t="n">
        <f aca="false">SUMIFS(Ventas!$U$2:$U$1620,Ventas!$J$2:$J$1620,$A114,Ventas!$B$2:$B$1620,"&gt;="&amp;$G$6,Ventas!$B$2:$B$1620,"&lt;="&amp;$G$7,Ventas!$E$2:$E$1620,$G$8,Ventas!$F$2:$F$1620,$H$8)</f>
        <v>544611.04004</v>
      </c>
      <c r="D114" s="19" t="n">
        <f aca="false">IFERROR(C114/B114,0)</f>
        <v>0.313303785415847</v>
      </c>
      <c r="E114" s="19" t="n">
        <f aca="false">IFERROR(B114/$B$118,0)</f>
        <v>0.268685157440649</v>
      </c>
    </row>
    <row r="115" customFormat="false" ht="15" hidden="false" customHeight="false" outlineLevel="0" collapsed="false">
      <c r="A115" s="26" t="s">
        <v>53</v>
      </c>
      <c r="B115" s="18" t="n">
        <f aca="false">SUMIFS(Ventas!$P$2:$P$1620,Ventas!$J$2:$J$1620,$A115,Ventas!$B$2:$B$1620,"&gt;="&amp;$G$6,Ventas!$B$2:$B$1620,"&lt;="&amp;$G$7,Ventas!$E$2:$E$1620,$G$8,Ventas!$F$2:$F$1620,$H$8)</f>
        <v>1557648.548</v>
      </c>
      <c r="C115" s="18" t="n">
        <f aca="false">SUMIFS(Ventas!$U$2:$U$1620,Ventas!$J$2:$J$1620,$A115,Ventas!$B$2:$B$1620,"&gt;="&amp;$G$6,Ventas!$B$2:$B$1620,"&lt;="&amp;$G$7,Ventas!$E$2:$E$1620,$G$8,Ventas!$F$2:$F$1620,$H$8)</f>
        <v>494551.337505</v>
      </c>
      <c r="D115" s="19" t="n">
        <f aca="false">IFERROR(C115/B115,0)</f>
        <v>0.317498666910451</v>
      </c>
      <c r="E115" s="19" t="n">
        <f aca="false">IFERROR(B115/$B$118,0)</f>
        <v>0.24076444458717</v>
      </c>
    </row>
    <row r="116" customFormat="false" ht="15" hidden="false" customHeight="false" outlineLevel="0" collapsed="false">
      <c r="A116" s="26" t="s">
        <v>54</v>
      </c>
      <c r="B116" s="18" t="n">
        <f aca="false">SUMIFS(Ventas!$P$2:$P$1620,Ventas!$J$2:$J$1620,$A116,Ventas!$B$2:$B$1620,"&gt;="&amp;$G$6,Ventas!$B$2:$B$1620,"&lt;="&amp;$G$7,Ventas!$E$2:$E$1620,$G$8,Ventas!$F$2:$F$1620,$H$8)</f>
        <v>599495.596</v>
      </c>
      <c r="C116" s="18" t="n">
        <f aca="false">SUMIFS(Ventas!$U$2:$U$1620,Ventas!$J$2:$J$1620,$A116,Ventas!$B$2:$B$1620,"&gt;="&amp;$G$6,Ventas!$B$2:$B$1620,"&lt;="&amp;$G$7,Ventas!$E$2:$E$1620,$G$8,Ventas!$F$2:$F$1620,$H$8)</f>
        <v>169585.55893</v>
      </c>
      <c r="D116" s="19" t="n">
        <f aca="false">IFERROR(C116/B116,0)</f>
        <v>0.28288040823239</v>
      </c>
      <c r="E116" s="19" t="n">
        <f aca="false">IFERROR(B116/$B$118,0)</f>
        <v>0.0926635372200755</v>
      </c>
    </row>
    <row r="117" customFormat="false" ht="15" hidden="false" customHeight="false" outlineLevel="0" collapsed="false">
      <c r="A117" s="26" t="s">
        <v>55</v>
      </c>
      <c r="B117" s="18" t="n">
        <f aca="false">SUMIFS(Ventas!$P$2:$P$1620,Ventas!$J$2:$J$1620,$A117,Ventas!$B$2:$B$1620,"&gt;="&amp;$G$6,Ventas!$B$2:$B$1620,"&lt;="&amp;$G$7,Ventas!$E$2:$E$1620,$G$8,Ventas!$F$2:$F$1620,$H$8)</f>
        <v>1884668.4915</v>
      </c>
      <c r="C117" s="18" t="n">
        <f aca="false">SUMIFS(Ventas!$U$2:$U$1620,Ventas!$J$2:$J$1620,$A117,Ventas!$B$2:$B$1620,"&gt;="&amp;$G$6,Ventas!$B$2:$B$1620,"&lt;="&amp;$G$7,Ventas!$E$2:$E$1620,$G$8,Ventas!$F$2:$F$1620,$H$8)</f>
        <v>577770.7122875</v>
      </c>
      <c r="D117" s="19" t="n">
        <f aca="false">IFERROR(C117/B117,0)</f>
        <v>0.306563575978105</v>
      </c>
      <c r="E117" s="19" t="n">
        <f aca="false">IFERROR(B117/$B$118,0)</f>
        <v>0.291311646115268</v>
      </c>
    </row>
    <row r="118" customFormat="false" ht="15" hidden="false" customHeight="false" outlineLevel="0" collapsed="false">
      <c r="A118" s="22" t="s">
        <v>38</v>
      </c>
      <c r="B118" s="23" t="n">
        <f aca="false">SUM(B113:B117)</f>
        <v>6469595.42</v>
      </c>
      <c r="C118" s="23" t="n">
        <f aca="false">SUM(C113:C117)</f>
        <v>1994724.8121875</v>
      </c>
      <c r="D118" s="24" t="n">
        <f aca="false">IFERROR(C118/B118,0)</f>
        <v>0.308322960354065</v>
      </c>
      <c r="E118" s="24" t="n">
        <f aca="false">IFERROR(B118/B118,0)</f>
        <v>1</v>
      </c>
    </row>
    <row r="120" customFormat="false" ht="15" hidden="false" customHeight="false" outlineLevel="0" collapsed="false">
      <c r="A120" s="3" t="s">
        <v>56</v>
      </c>
      <c r="B120" s="3"/>
      <c r="C120" s="3"/>
      <c r="D120" s="3"/>
      <c r="E120" s="3"/>
    </row>
    <row r="121" customFormat="false" ht="25.5" hidden="false" customHeight="true" outlineLevel="0" collapsed="false">
      <c r="A121" s="16" t="s">
        <v>57</v>
      </c>
      <c r="B121" s="16" t="s">
        <v>32</v>
      </c>
      <c r="C121" s="16" t="s">
        <v>34</v>
      </c>
      <c r="D121" s="16" t="s">
        <v>35</v>
      </c>
      <c r="E121" s="16" t="s">
        <v>40</v>
      </c>
    </row>
    <row r="122" customFormat="false" ht="15" hidden="false" customHeight="false" outlineLevel="0" collapsed="false">
      <c r="A122" s="26" t="s">
        <v>58</v>
      </c>
      <c r="B122" s="18" t="n">
        <f aca="false">SUMIFS(Ventas!$P$2:$P$1620,Ventas!$G$2:$G$1620,$A122,Ventas!$B$2:$B$1620,"&gt;="&amp;$G$6,Ventas!$B$2:$B$1620,"&lt;="&amp;$G$7,Ventas!$E$2:$E$1620,$G$8,Ventas!$F$2:$F$1620,$H$8)</f>
        <v>2044959.4775</v>
      </c>
      <c r="C122" s="18" t="n">
        <f aca="false">SUMIFS(Ventas!$U$2:$U$1620,Ventas!$G$2:$G$1620,$A122,Ventas!$B$2:$B$1620,"&gt;="&amp;$G$6,Ventas!$B$2:$B$1620,"&lt;="&amp;$G$7,Ventas!$E$2:$E$1620,$G$8,Ventas!$F$2:$F$1620,$H$8)</f>
        <v>660233.7042475</v>
      </c>
      <c r="D122" s="19" t="n">
        <f aca="false">IFERROR(C122/B122,0)</f>
        <v>0.322859064696308</v>
      </c>
      <c r="E122" s="19" t="n">
        <f aca="false">IFERROR(B122/$B$127,0)</f>
        <v>0.316087690920864</v>
      </c>
    </row>
    <row r="123" customFormat="false" ht="15" hidden="false" customHeight="false" outlineLevel="0" collapsed="false">
      <c r="A123" s="26" t="s">
        <v>59</v>
      </c>
      <c r="B123" s="18" t="n">
        <f aca="false">SUMIFS(Ventas!$P$2:$P$1620,Ventas!$G$2:$G$1620,$A123,Ventas!$B$2:$B$1620,"&gt;="&amp;$G$6,Ventas!$B$2:$B$1620,"&lt;="&amp;$G$7,Ventas!$E$2:$E$1620,$G$8,Ventas!$F$2:$F$1620,$H$8)</f>
        <v>1268568.031</v>
      </c>
      <c r="C123" s="18" t="n">
        <f aca="false">SUMIFS(Ventas!$U$2:$U$1620,Ventas!$G$2:$G$1620,$A123,Ventas!$B$2:$B$1620,"&gt;="&amp;$G$6,Ventas!$B$2:$B$1620,"&lt;="&amp;$G$7,Ventas!$E$2:$E$1620,$G$8,Ventas!$F$2:$F$1620,$H$8)</f>
        <v>382779.32569</v>
      </c>
      <c r="D123" s="19" t="n">
        <f aca="false">IFERROR(C123/B123,0)</f>
        <v>0.301741267583622</v>
      </c>
      <c r="E123" s="19" t="n">
        <f aca="false">IFERROR(B123/$B$127,0)</f>
        <v>0.196081508756849</v>
      </c>
    </row>
    <row r="124" customFormat="false" ht="15" hidden="false" customHeight="false" outlineLevel="0" collapsed="false">
      <c r="A124" s="26" t="s">
        <v>60</v>
      </c>
      <c r="B124" s="18" t="n">
        <f aca="false">SUMIFS(Ventas!$P$2:$P$1620,Ventas!$G$2:$G$1620,$A124,Ventas!$B$2:$B$1620,"&gt;="&amp;$G$6,Ventas!$B$2:$B$1620,"&lt;="&amp;$G$7,Ventas!$E$2:$E$1620,$G$8,Ventas!$F$2:$F$1620,$H$8)</f>
        <v>44588.633</v>
      </c>
      <c r="C124" s="18" t="n">
        <f aca="false">SUMIFS(Ventas!$U$2:$U$1620,Ventas!$G$2:$G$1620,$A124,Ventas!$B$2:$B$1620,"&gt;="&amp;$G$6,Ventas!$B$2:$B$1620,"&lt;="&amp;$G$7,Ventas!$E$2:$E$1620,$G$8,Ventas!$F$2:$F$1620,$H$8)</f>
        <v>18973.41847</v>
      </c>
      <c r="D124" s="19" t="n">
        <f aca="false">IFERROR(C124/B124,0)</f>
        <v>0.425521420896667</v>
      </c>
      <c r="E124" s="19" t="n">
        <f aca="false">IFERROR(B124/$B$127,0)</f>
        <v>0.00689202803349332</v>
      </c>
    </row>
    <row r="125" customFormat="false" ht="15" hidden="false" customHeight="false" outlineLevel="0" collapsed="false">
      <c r="A125" s="26" t="s">
        <v>61</v>
      </c>
      <c r="B125" s="18" t="n">
        <f aca="false">SUMIFS(Ventas!$P$2:$P$1620,Ventas!$G$2:$G$1620,$A125,Ventas!$B$2:$B$1620,"&gt;="&amp;$G$6,Ventas!$B$2:$B$1620,"&lt;="&amp;$G$7,Ventas!$E$2:$E$1620,$G$8,Ventas!$F$2:$F$1620,$H$8)</f>
        <v>1760409.374</v>
      </c>
      <c r="C125" s="18" t="n">
        <f aca="false">SUMIFS(Ventas!$U$2:$U$1620,Ventas!$G$2:$G$1620,$A125,Ventas!$B$2:$B$1620,"&gt;="&amp;$G$6,Ventas!$B$2:$B$1620,"&lt;="&amp;$G$7,Ventas!$E$2:$E$1620,$G$8,Ventas!$F$2:$F$1620,$H$8)</f>
        <v>501447.08694</v>
      </c>
      <c r="D125" s="19" t="n">
        <f aca="false">IFERROR(C125/B125,0)</f>
        <v>0.284846862523012</v>
      </c>
      <c r="E125" s="19" t="n">
        <f aca="false">IFERROR(B125/$B$127,0)</f>
        <v>0.272105017348983</v>
      </c>
    </row>
    <row r="126" customFormat="false" ht="15" hidden="false" customHeight="false" outlineLevel="0" collapsed="false">
      <c r="A126" s="26" t="s">
        <v>62</v>
      </c>
      <c r="B126" s="18" t="n">
        <f aca="false">SUMIFS(Ventas!$P$2:$P$1620,Ventas!$G$2:$G$1620,$A126,Ventas!$B$2:$B$1620,"&gt;="&amp;$G$6,Ventas!$B$2:$B$1620,"&lt;="&amp;$G$7,Ventas!$E$2:$E$1620,$G$8,Ventas!$F$2:$F$1620,$H$8)</f>
        <v>1351069.9045</v>
      </c>
      <c r="C126" s="18" t="n">
        <f aca="false">SUMIFS(Ventas!$U$2:$U$1620,Ventas!$G$2:$G$1620,$A126,Ventas!$B$2:$B$1620,"&gt;="&amp;$G$6,Ventas!$B$2:$B$1620,"&lt;="&amp;$G$7,Ventas!$E$2:$E$1620,$G$8,Ventas!$F$2:$F$1620,$H$8)</f>
        <v>431291.27684</v>
      </c>
      <c r="D126" s="19" t="n">
        <f aca="false">IFERROR(C126/B126,0)</f>
        <v>0.319222029447552</v>
      </c>
      <c r="E126" s="19" t="n">
        <f aca="false">IFERROR(B126/$B$127,0)</f>
        <v>0.20883375493981</v>
      </c>
    </row>
    <row r="127" customFormat="false" ht="15" hidden="false" customHeight="false" outlineLevel="0" collapsed="false">
      <c r="A127" s="22" t="s">
        <v>38</v>
      </c>
      <c r="B127" s="23" t="n">
        <f aca="false">SUM(B122:B126)</f>
        <v>6469595.42</v>
      </c>
      <c r="C127" s="23" t="n">
        <f aca="false">SUM(C122:C126)</f>
        <v>1994724.8121875</v>
      </c>
      <c r="D127" s="24" t="n">
        <f aca="false">IFERROR(C127/B127,0)</f>
        <v>0.308322960354065</v>
      </c>
      <c r="E127" s="24" t="n">
        <f aca="false">IFERROR(B127/B127,0)</f>
        <v>1</v>
      </c>
    </row>
    <row r="129" customFormat="false" ht="15" hidden="false" customHeight="false" outlineLevel="0" collapsed="false">
      <c r="A129" s="3" t="s">
        <v>63</v>
      </c>
      <c r="B129" s="3"/>
      <c r="C129" s="3"/>
      <c r="D129" s="3"/>
    </row>
    <row r="130" customFormat="false" ht="25.5" hidden="false" customHeight="true" outlineLevel="0" collapsed="false">
      <c r="A130" s="16" t="s">
        <v>64</v>
      </c>
      <c r="B130" s="16" t="s">
        <v>65</v>
      </c>
      <c r="C130" s="16" t="s">
        <v>66</v>
      </c>
      <c r="D130" s="16" t="s">
        <v>40</v>
      </c>
    </row>
    <row r="131" customFormat="false" ht="15" hidden="false" customHeight="false" outlineLevel="0" collapsed="false">
      <c r="A131" s="26" t="s">
        <v>67</v>
      </c>
      <c r="B131" s="18" t="n">
        <f aca="false">SUMIFS(Ventas!$P$2:$P$1620,Ventas!$B$2:$B$1620,"&gt;="&amp;$G$6,Ventas!$B$2:$B$1620,"&lt;="&amp;$G$7,Ventas!$E$2:$E$1620,$G$8,Ventas!$F$2:$F$1620,$H$8,Ventas!$X$2:$X$1620,$A131)</f>
        <v>5702077.4825</v>
      </c>
      <c r="C131" s="20" t="n">
        <f aca="false">COUNTIFS(Ventas!$B$2:$B$1620,"&gt;="&amp;$G$6,Ventas!$B$2:$B$1620,"&lt;="&amp;$G$7,Ventas!$E$2:$E$1620,$G$8,Ventas!$F$2:$F$1620,$H$8,Ventas!$X$2:$X$1620,$A131)</f>
        <v>1432</v>
      </c>
      <c r="D131" s="19" t="n">
        <f aca="false">IFERROR(B131/$B$134,0)</f>
        <v>0.881365388764913</v>
      </c>
    </row>
    <row r="132" customFormat="false" ht="15" hidden="false" customHeight="false" outlineLevel="0" collapsed="false">
      <c r="A132" s="26" t="s">
        <v>68</v>
      </c>
      <c r="B132" s="18" t="n">
        <f aca="false">SUMIFS(Ventas!$P$2:$P$1620,Ventas!$B$2:$B$1620,"&gt;="&amp;$G$6,Ventas!$B$2:$B$1620,"&lt;="&amp;$G$7,Ventas!$E$2:$E$1620,$G$8,Ventas!$F$2:$F$1620,$H$8,Ventas!$X$2:$X$1620,$A132)</f>
        <v>366504.402</v>
      </c>
      <c r="C132" s="20" t="n">
        <f aca="false">COUNTIFS(Ventas!$B$2:$B$1620,"&gt;="&amp;$G$6,Ventas!$B$2:$B$1620,"&lt;="&amp;$G$7,Ventas!$E$2:$E$1620,$G$8,Ventas!$F$2:$F$1620,$H$8,Ventas!$X$2:$X$1620,$A132)</f>
        <v>89</v>
      </c>
      <c r="D132" s="19" t="n">
        <f aca="false">IFERROR(B132/$B$134,0)</f>
        <v>0.0566502815410983</v>
      </c>
    </row>
    <row r="133" customFormat="false" ht="15" hidden="false" customHeight="false" outlineLevel="0" collapsed="false">
      <c r="A133" s="26" t="s">
        <v>69</v>
      </c>
      <c r="B133" s="18" t="n">
        <f aca="false">SUMIFS(Ventas!$P$2:$P$1620,Ventas!$B$2:$B$1620,"&gt;="&amp;$G$6,Ventas!$B$2:$B$1620,"&lt;="&amp;$G$7,Ventas!$E$2:$E$1620,$G$8,Ventas!$F$2:$F$1620,$H$8,Ventas!$X$2:$X$1620,$A133)</f>
        <v>401013.5355</v>
      </c>
      <c r="C133" s="20" t="n">
        <f aca="false">COUNTIFS(Ventas!$B$2:$B$1620,"&gt;="&amp;$G$6,Ventas!$B$2:$B$1620,"&lt;="&amp;$G$7,Ventas!$E$2:$E$1620,$G$8,Ventas!$F$2:$F$1620,$H$8,Ventas!$X$2:$X$1620,$A133)</f>
        <v>98</v>
      </c>
      <c r="D133" s="19" t="n">
        <f aca="false">IFERROR(B133/$B$134,0)</f>
        <v>0.0619843296939888</v>
      </c>
    </row>
    <row r="134" customFormat="false" ht="15" hidden="false" customHeight="false" outlineLevel="0" collapsed="false">
      <c r="A134" s="22" t="s">
        <v>38</v>
      </c>
      <c r="B134" s="23" t="n">
        <f aca="false">SUM(B131:B133)</f>
        <v>6469595.42</v>
      </c>
      <c r="C134" s="25" t="n">
        <f aca="false">SUM(C131:C133)</f>
        <v>1619</v>
      </c>
      <c r="D134" s="24" t="n">
        <f aca="false">IFERROR(B134/B134,0)</f>
        <v>1</v>
      </c>
    </row>
    <row r="136" customFormat="false" ht="15" hidden="false" customHeight="false" outlineLevel="0" collapsed="false">
      <c r="A136" s="3" t="s">
        <v>70</v>
      </c>
      <c r="B136" s="3"/>
      <c r="C136" s="3"/>
      <c r="D136" s="3"/>
      <c r="E136" s="3"/>
    </row>
    <row r="137" customFormat="false" ht="25.5" hidden="false" customHeight="true" outlineLevel="0" collapsed="false">
      <c r="A137" s="16" t="s">
        <v>71</v>
      </c>
      <c r="B137" s="16" t="s">
        <v>72</v>
      </c>
      <c r="C137" s="16" t="s">
        <v>32</v>
      </c>
      <c r="D137" s="16" t="s">
        <v>34</v>
      </c>
      <c r="E137" s="16" t="s">
        <v>35</v>
      </c>
    </row>
    <row r="138" customFormat="false" ht="15" hidden="false" customHeight="false" outlineLevel="0" collapsed="false">
      <c r="A138" s="26" t="n">
        <v>1</v>
      </c>
      <c r="B138" s="26" t="str">
        <f aca="false">IFERROR(INDEX($H$156:$H$193,MATCH(LARGE($I$156:$I$193,A138),$I$156:$I$193,0)),"—")</f>
        <v>Hanseatic Fasteners GmbH</v>
      </c>
      <c r="C138" s="21" t="n">
        <f aca="false">IFERROR(LARGE($I$156:$I$193,A138),0)</f>
        <v>313935.4745</v>
      </c>
      <c r="D138" s="18" t="n">
        <f aca="false">IFERROR(SUMIFS(Ventas!$U$2:$U$1620,Ventas!$D$2:$D$1620,$B138,Ventas!$B$2:$B$1620,"&gt;="&amp;$G$6,Ventas!$B$2:$B$1620,"&lt;="&amp;$G$7,Ventas!$E$2:$E$1620,$G$8,Ventas!$F$2:$F$1620,$H$8),0)</f>
        <v>86703.112365</v>
      </c>
      <c r="E138" s="19" t="n">
        <f aca="false">IFERROR(D138/C138,0)</f>
        <v>0.276181315612996</v>
      </c>
    </row>
    <row r="139" customFormat="false" ht="15" hidden="false" customHeight="false" outlineLevel="0" collapsed="false">
      <c r="A139" s="26" t="n">
        <v>2</v>
      </c>
      <c r="B139" s="26" t="str">
        <f aca="false">IFERROR(INDEX($H$156:$H$193,MATCH(LARGE($I$156:$I$193,A139),$I$156:$I$193,0)),"—")</f>
        <v>Montajes Industriales Vigo SL</v>
      </c>
      <c r="C139" s="21" t="n">
        <f aca="false">IFERROR(LARGE($I$156:$I$193,A139),0)</f>
        <v>290874.7215</v>
      </c>
      <c r="D139" s="18" t="n">
        <f aca="false">IFERROR(SUMIFS(Ventas!$U$2:$U$1620,Ventas!$D$2:$D$1620,$B139,Ventas!$B$2:$B$1620,"&gt;="&amp;$G$6,Ventas!$B$2:$B$1620,"&lt;="&amp;$G$7,Ventas!$E$2:$E$1620,$G$8,Ventas!$F$2:$F$1620,$H$8),0)</f>
        <v>94487.01254</v>
      </c>
      <c r="E139" s="19" t="n">
        <f aca="false">IFERROR(D139/C139,0)</f>
        <v>0.32483748347998</v>
      </c>
    </row>
    <row r="140" customFormat="false" ht="15" hidden="false" customHeight="false" outlineLevel="0" collapsed="false">
      <c r="A140" s="26" t="n">
        <v>3</v>
      </c>
      <c r="B140" s="26" t="str">
        <f aca="false">IFERROR(INDEX($H$156:$H$193,MATCH(LARGE($I$156:$I$193,A140),$I$156:$I$193,0)),"—")</f>
        <v>Bayern Befestigung GmbH</v>
      </c>
      <c r="C140" s="21" t="n">
        <f aca="false">IFERROR(LARGE($I$156:$I$193,A140),0)</f>
        <v>279795.1545</v>
      </c>
      <c r="D140" s="18" t="n">
        <f aca="false">IFERROR(SUMIFS(Ventas!$U$2:$U$1620,Ventas!$D$2:$D$1620,$B140,Ventas!$B$2:$B$1620,"&gt;="&amp;$G$6,Ventas!$B$2:$B$1620,"&lt;="&amp;$G$7,Ventas!$E$2:$E$1620,$G$8,Ventas!$F$2:$F$1620,$H$8),0)</f>
        <v>76639.395365</v>
      </c>
      <c r="E140" s="19" t="n">
        <f aca="false">IFERROR(D140/C140,0)</f>
        <v>0.27391251825628</v>
      </c>
    </row>
    <row r="141" customFormat="false" ht="15" hidden="false" customHeight="false" outlineLevel="0" collapsed="false">
      <c r="A141" s="26" t="n">
        <v>4</v>
      </c>
      <c r="B141" s="26" t="str">
        <f aca="false">IFERROR(INDEX($H$156:$H$193,MATCH(LARGE($I$156:$I$193,A141),$I$156:$I$193,0)),"—")</f>
        <v>Schrauben Nord GmbH</v>
      </c>
      <c r="C141" s="21" t="n">
        <f aca="false">IFERROR(LARGE($I$156:$I$193,A141),0)</f>
        <v>279560.7735</v>
      </c>
      <c r="D141" s="18" t="n">
        <f aca="false">IFERROR(SUMIFS(Ventas!$U$2:$U$1620,Ventas!$D$2:$D$1620,$B141,Ventas!$B$2:$B$1620,"&gt;="&amp;$G$6,Ventas!$B$2:$B$1620,"&lt;="&amp;$G$7,Ventas!$E$2:$E$1620,$G$8,Ventas!$F$2:$F$1620,$H$8),0)</f>
        <v>77428.641195</v>
      </c>
      <c r="E141" s="19" t="n">
        <f aca="false">IFERROR(D141/C141,0)</f>
        <v>0.276965327522962</v>
      </c>
    </row>
    <row r="142" customFormat="false" ht="15" hidden="false" customHeight="false" outlineLevel="0" collapsed="false">
      <c r="A142" s="26" t="n">
        <v>5</v>
      </c>
      <c r="B142" s="26" t="str">
        <f aca="false">IFERROR(INDEX($H$156:$H$193,MATCH(LARGE($I$156:$I$193,A142),$I$156:$I$193,0)),"—")</f>
        <v>Aceros del Norte SA</v>
      </c>
      <c r="C142" s="21" t="n">
        <f aca="false">IFERROR(LARGE($I$156:$I$193,A142),0)</f>
        <v>268007.8985</v>
      </c>
      <c r="D142" s="18" t="n">
        <f aca="false">IFERROR(SUMIFS(Ventas!$U$2:$U$1620,Ventas!$D$2:$D$1620,$B142,Ventas!$B$2:$B$1620,"&gt;="&amp;$G$6,Ventas!$B$2:$B$1620,"&lt;="&amp;$G$7,Ventas!$E$2:$E$1620,$G$8,Ventas!$F$2:$F$1620,$H$8),0)</f>
        <v>80096.428845</v>
      </c>
      <c r="E142" s="19" t="n">
        <f aca="false">IFERROR(D142/C142,0)</f>
        <v>0.298858463848594</v>
      </c>
    </row>
    <row r="143" customFormat="false" ht="15" hidden="false" customHeight="false" outlineLevel="0" collapsed="false">
      <c r="A143" s="26" t="n">
        <v>6</v>
      </c>
      <c r="B143" s="26" t="str">
        <f aca="false">IFERROR(INDEX($H$156:$H$193,MATCH(LARGE($I$156:$I$193,A143),$I$156:$I$193,0)),"—")</f>
        <v>Suministros Torres SA</v>
      </c>
      <c r="C143" s="21" t="n">
        <f aca="false">IFERROR(LARGE($I$156:$I$193,A143),0)</f>
        <v>265223.265</v>
      </c>
      <c r="D143" s="18" t="n">
        <f aca="false">IFERROR(SUMIFS(Ventas!$U$2:$U$1620,Ventas!$D$2:$D$1620,$B143,Ventas!$B$2:$B$1620,"&gt;="&amp;$G$6,Ventas!$B$2:$B$1620,"&lt;="&amp;$G$7,Ventas!$E$2:$E$1620,$G$8,Ventas!$F$2:$F$1620,$H$8),0)</f>
        <v>80529.70215</v>
      </c>
      <c r="E143" s="19" t="n">
        <f aca="false">IFERROR(D143/C143,0)</f>
        <v>0.303629857471214</v>
      </c>
    </row>
    <row r="144" customFormat="false" ht="15" hidden="false" customHeight="false" outlineLevel="0" collapsed="false">
      <c r="A144" s="26" t="n">
        <v>7</v>
      </c>
      <c r="B144" s="26" t="str">
        <f aca="false">IFERROR(INDEX($H$156:$H$193,MATCH(LARGE($I$156:$I$193,A144),$I$156:$I$193,0)),"—")</f>
        <v>Grupo Ferretero Andalucía SA</v>
      </c>
      <c r="C144" s="21" t="n">
        <f aca="false">IFERROR(LARGE($I$156:$I$193,A144),0)</f>
        <v>263571.548</v>
      </c>
      <c r="D144" s="18" t="n">
        <f aca="false">IFERROR(SUMIFS(Ventas!$U$2:$U$1620,Ventas!$D$2:$D$1620,$B144,Ventas!$B$2:$B$1620,"&gt;="&amp;$G$6,Ventas!$B$2:$B$1620,"&lt;="&amp;$G$7,Ventas!$E$2:$E$1620,$G$8,Ventas!$F$2:$F$1620,$H$8),0)</f>
        <v>79923.79856</v>
      </c>
      <c r="E144" s="19" t="n">
        <f aca="false">IFERROR(D144/C144,0)</f>
        <v>0.303233786675639</v>
      </c>
    </row>
    <row r="145" customFormat="false" ht="15" hidden="false" customHeight="false" outlineLevel="0" collapsed="false">
      <c r="A145" s="26" t="n">
        <v>8</v>
      </c>
      <c r="B145" s="26" t="str">
        <f aca="false">IFERROR(INDEX($H$156:$H$193,MATCH(LARGE($I$156:$I$193,A145),$I$156:$I$193,0)),"—")</f>
        <v>Distribuciones Metálicas Levante SL</v>
      </c>
      <c r="C145" s="21" t="n">
        <f aca="false">IFERROR(LARGE($I$156:$I$193,A145),0)</f>
        <v>249578.961</v>
      </c>
      <c r="D145" s="18" t="n">
        <f aca="false">IFERROR(SUMIFS(Ventas!$U$2:$U$1620,Ventas!$D$2:$D$1620,$B145,Ventas!$B$2:$B$1620,"&gt;="&amp;$G$6,Ventas!$B$2:$B$1620,"&lt;="&amp;$G$7,Ventas!$E$2:$E$1620,$G$8,Ventas!$F$2:$F$1620,$H$8),0)</f>
        <v>76627.56457</v>
      </c>
      <c r="E145" s="19" t="n">
        <f aca="false">IFERROR(D145/C145,0)</f>
        <v>0.307027340217191</v>
      </c>
    </row>
    <row r="146" customFormat="false" ht="15" hidden="false" customHeight="false" outlineLevel="0" collapsed="false">
      <c r="A146" s="26" t="n">
        <v>9</v>
      </c>
      <c r="B146" s="26" t="str">
        <f aca="false">IFERROR(INDEX($H$156:$H$193,MATCH(LARGE($I$156:$I$193,A146),$I$156:$I$193,0)),"—")</f>
        <v>Stahlhandel Ruhr GmbH</v>
      </c>
      <c r="C146" s="21" t="n">
        <f aca="false">IFERROR(LARGE($I$156:$I$193,A146),0)</f>
        <v>236461.493</v>
      </c>
      <c r="D146" s="18" t="n">
        <f aca="false">IFERROR(SUMIFS(Ventas!$U$2:$U$1620,Ventas!$D$2:$D$1620,$B146,Ventas!$B$2:$B$1620,"&gt;="&amp;$G$6,Ventas!$B$2:$B$1620,"&lt;="&amp;$G$7,Ventas!$E$2:$E$1620,$G$8,Ventas!$F$2:$F$1620,$H$8),0)</f>
        <v>64314.10391</v>
      </c>
      <c r="E146" s="19" t="n">
        <f aca="false">IFERROR(D146/C146,0)</f>
        <v>0.271985527512507</v>
      </c>
    </row>
    <row r="147" customFormat="false" ht="15" hidden="false" customHeight="false" outlineLevel="0" collapsed="false">
      <c r="A147" s="26" t="n">
        <v>10</v>
      </c>
      <c r="B147" s="26" t="str">
        <f aca="false">IFERROR(INDEX($H$156:$H$193,MATCH(LARGE($I$156:$I$193,A147),$I$156:$I$193,0)),"—")</f>
        <v>Groupe Boulonnerie Paris SAS</v>
      </c>
      <c r="C147" s="21" t="n">
        <f aca="false">IFERROR(LARGE($I$156:$I$193,A147),0)</f>
        <v>215208.772</v>
      </c>
      <c r="D147" s="18" t="n">
        <f aca="false">IFERROR(SUMIFS(Ventas!$U$2:$U$1620,Ventas!$D$2:$D$1620,$B147,Ventas!$B$2:$B$1620,"&gt;="&amp;$G$6,Ventas!$B$2:$B$1620,"&lt;="&amp;$G$7,Ventas!$E$2:$E$1620,$G$8,Ventas!$F$2:$F$1620,$H$8),0)</f>
        <v>60258.15514</v>
      </c>
      <c r="E147" s="19" t="n">
        <f aca="false">IFERROR(D147/C147,0)</f>
        <v>0.279998601265194</v>
      </c>
    </row>
    <row r="154" customFormat="false" ht="15" hidden="false" customHeight="false" outlineLevel="0" collapsed="false">
      <c r="H154" s="6" t="s">
        <v>73</v>
      </c>
      <c r="I154" s="6"/>
      <c r="J154" s="6"/>
    </row>
    <row r="156" customFormat="false" ht="15" hidden="false" customHeight="false" outlineLevel="0" collapsed="false">
      <c r="H156" s="7" t="str">
        <f aca="false">Clientes!$A$2</f>
        <v>Ferretería Industrial Bierzo SL</v>
      </c>
      <c r="I156" s="27" t="n">
        <f aca="false">SUMIFS(Ventas!$P$2:$P$1620,Ventas!$D$2:$D$1620,$H156,Ventas!$B$2:$B$1620,"&gt;="&amp;$G$6,Ventas!$B$2:$B$1620,"&lt;="&amp;$G$7,Ventas!$E$2:$E$1620,$G$8,Ventas!$F$2:$F$1620,$H$8)</f>
        <v>126441.114</v>
      </c>
    </row>
    <row r="157" customFormat="false" ht="15" hidden="false" customHeight="false" outlineLevel="0" collapsed="false">
      <c r="H157" s="7" t="str">
        <f aca="false">Clientes!$A$3</f>
        <v>Suministros Torres SA</v>
      </c>
      <c r="I157" s="27" t="n">
        <f aca="false">SUMIFS(Ventas!$P$2:$P$1620,Ventas!$D$2:$D$1620,$H157,Ventas!$B$2:$B$1620,"&gt;="&amp;$G$6,Ventas!$B$2:$B$1620,"&lt;="&amp;$G$7,Ventas!$E$2:$E$1620,$G$8,Ventas!$F$2:$F$1620,$H$8)</f>
        <v>265223.265</v>
      </c>
    </row>
    <row r="158" customFormat="false" ht="15" hidden="false" customHeight="false" outlineLevel="0" collapsed="false">
      <c r="H158" s="7" t="str">
        <f aca="false">Clientes!$A$4</f>
        <v>Distribuciones Metálicas Levante SL</v>
      </c>
      <c r="I158" s="27" t="n">
        <f aca="false">SUMIFS(Ventas!$P$2:$P$1620,Ventas!$D$2:$D$1620,$H158,Ventas!$B$2:$B$1620,"&gt;="&amp;$G$6,Ventas!$B$2:$B$1620,"&lt;="&amp;$G$7,Ventas!$E$2:$E$1620,$G$8,Ventas!$F$2:$F$1620,$H$8)</f>
        <v>249578.961</v>
      </c>
    </row>
    <row r="159" customFormat="false" ht="15" hidden="false" customHeight="false" outlineLevel="0" collapsed="false">
      <c r="H159" s="7" t="str">
        <f aca="false">Clientes!$A$5</f>
        <v>Construcciones Álvarez e Hijos SL</v>
      </c>
      <c r="I159" s="27" t="n">
        <f aca="false">SUMIFS(Ventas!$P$2:$P$1620,Ventas!$D$2:$D$1620,$H159,Ventas!$B$2:$B$1620,"&gt;="&amp;$G$6,Ventas!$B$2:$B$1620,"&lt;="&amp;$G$7,Ventas!$E$2:$E$1620,$G$8,Ventas!$F$2:$F$1620,$H$8)</f>
        <v>205836.4825</v>
      </c>
    </row>
    <row r="160" customFormat="false" ht="15" hidden="false" customHeight="false" outlineLevel="0" collapsed="false">
      <c r="H160" s="7" t="str">
        <f aca="false">Clientes!$A$6</f>
        <v>Aceros del Norte SA</v>
      </c>
      <c r="I160" s="27" t="n">
        <f aca="false">SUMIFS(Ventas!$P$2:$P$1620,Ventas!$D$2:$D$1620,$H160,Ventas!$B$2:$B$1620,"&gt;="&amp;$G$6,Ventas!$B$2:$B$1620,"&lt;="&amp;$G$7,Ventas!$E$2:$E$1620,$G$8,Ventas!$F$2:$F$1620,$H$8)</f>
        <v>268007.8985</v>
      </c>
    </row>
    <row r="161" customFormat="false" ht="15" hidden="false" customHeight="false" outlineLevel="0" collapsed="false">
      <c r="H161" s="7" t="str">
        <f aca="false">Clientes!$A$7</f>
        <v>Bricolaje Ponferrada SL</v>
      </c>
      <c r="I161" s="27" t="n">
        <f aca="false">SUMIFS(Ventas!$P$2:$P$1620,Ventas!$D$2:$D$1620,$H161,Ventas!$B$2:$B$1620,"&gt;="&amp;$G$6,Ventas!$B$2:$B$1620,"&lt;="&amp;$G$7,Ventas!$E$2:$E$1620,$G$8,Ventas!$F$2:$F$1620,$H$8)</f>
        <v>133078.6125</v>
      </c>
    </row>
    <row r="162" customFormat="false" ht="15" hidden="false" customHeight="false" outlineLevel="0" collapsed="false">
      <c r="H162" s="7" t="str">
        <f aca="false">Clientes!$A$8</f>
        <v>Montajes Industriales Vigo SL</v>
      </c>
      <c r="I162" s="27" t="n">
        <f aca="false">SUMIFS(Ventas!$P$2:$P$1620,Ventas!$D$2:$D$1620,$H162,Ventas!$B$2:$B$1620,"&gt;="&amp;$G$6,Ventas!$B$2:$B$1620,"&lt;="&amp;$G$7,Ventas!$E$2:$E$1620,$G$8,Ventas!$F$2:$F$1620,$H$8)</f>
        <v>290874.7215</v>
      </c>
    </row>
    <row r="163" customFormat="false" ht="15" hidden="false" customHeight="false" outlineLevel="0" collapsed="false">
      <c r="H163" s="7" t="str">
        <f aca="false">Clientes!$A$9</f>
        <v>Talleres Gómez Maquinaria SL</v>
      </c>
      <c r="I163" s="27" t="n">
        <f aca="false">SUMIFS(Ventas!$P$2:$P$1620,Ventas!$D$2:$D$1620,$H163,Ventas!$B$2:$B$1620,"&gt;="&amp;$G$6,Ventas!$B$2:$B$1620,"&lt;="&amp;$G$7,Ventas!$E$2:$E$1620,$G$8,Ventas!$F$2:$F$1620,$H$8)</f>
        <v>124848.0675</v>
      </c>
    </row>
    <row r="164" customFormat="false" ht="15" hidden="false" customHeight="false" outlineLevel="0" collapsed="false">
      <c r="H164" s="7" t="str">
        <f aca="false">Clientes!$A$10</f>
        <v>Suministros Ebro SL</v>
      </c>
      <c r="I164" s="27" t="n">
        <f aca="false">SUMIFS(Ventas!$P$2:$P$1620,Ventas!$D$2:$D$1620,$H164,Ventas!$B$2:$B$1620,"&gt;="&amp;$G$6,Ventas!$B$2:$B$1620,"&lt;="&amp;$G$7,Ventas!$E$2:$E$1620,$G$8,Ventas!$F$2:$F$1620,$H$8)</f>
        <v>193539.608</v>
      </c>
    </row>
    <row r="165" customFormat="false" ht="15" hidden="false" customHeight="false" outlineLevel="0" collapsed="false">
      <c r="H165" s="7" t="str">
        <f aca="false">Clientes!$A$11</f>
        <v>Grupo Ferretero Andalucía SA</v>
      </c>
      <c r="I165" s="27" t="n">
        <f aca="false">SUMIFS(Ventas!$P$2:$P$1620,Ventas!$D$2:$D$1620,$H165,Ventas!$B$2:$B$1620,"&gt;="&amp;$G$6,Ventas!$B$2:$B$1620,"&lt;="&amp;$G$7,Ventas!$E$2:$E$1620,$G$8,Ventas!$F$2:$F$1620,$H$8)</f>
        <v>263571.548</v>
      </c>
    </row>
    <row r="166" customFormat="false" ht="15" hidden="false" customHeight="false" outlineLevel="0" collapsed="false">
      <c r="H166" s="7" t="str">
        <f aca="false">Clientes!$A$12</f>
        <v>Naval Cádiz Servicios SA</v>
      </c>
      <c r="I166" s="27" t="n">
        <f aca="false">SUMIFS(Ventas!$P$2:$P$1620,Ventas!$D$2:$D$1620,$H166,Ventas!$B$2:$B$1620,"&gt;="&amp;$G$6,Ventas!$B$2:$B$1620,"&lt;="&amp;$G$7,Ventas!$E$2:$E$1620,$G$8,Ventas!$F$2:$F$1620,$H$8)</f>
        <v>166170.888</v>
      </c>
    </row>
    <row r="167" customFormat="false" ht="15" hidden="false" customHeight="false" outlineLevel="0" collapsed="false">
      <c r="H167" s="7" t="str">
        <f aca="false">Clientes!$A$13</f>
        <v>Carpintería Roble Sur SL</v>
      </c>
      <c r="I167" s="27" t="n">
        <f aca="false">SUMIFS(Ventas!$P$2:$P$1620,Ventas!$D$2:$D$1620,$H167,Ventas!$B$2:$B$1620,"&gt;="&amp;$G$6,Ventas!$B$2:$B$1620,"&lt;="&amp;$G$7,Ventas!$E$2:$E$1620,$G$8,Ventas!$F$2:$F$1620,$H$8)</f>
        <v>148026.528</v>
      </c>
    </row>
    <row r="168" customFormat="false" ht="15" hidden="false" customHeight="false" outlineLevel="0" collapsed="false">
      <c r="H168" s="7" t="str">
        <f aca="false">Clientes!$A$14</f>
        <v>Estructuras Duero SA</v>
      </c>
      <c r="I168" s="27" t="n">
        <f aca="false">SUMIFS(Ventas!$P$2:$P$1620,Ventas!$D$2:$D$1620,$H168,Ventas!$B$2:$B$1620,"&gt;="&amp;$G$6,Ventas!$B$2:$B$1620,"&lt;="&amp;$G$7,Ventas!$E$2:$E$1620,$G$8,Ventas!$F$2:$F$1620,$H$8)</f>
        <v>171898.919</v>
      </c>
    </row>
    <row r="169" customFormat="false" ht="15" hidden="false" customHeight="false" outlineLevel="0" collapsed="false">
      <c r="H169" s="7" t="str">
        <f aca="false">Clientes!$A$15</f>
        <v>Herrajes Toledo SL</v>
      </c>
      <c r="I169" s="27" t="n">
        <f aca="false">SUMIFS(Ventas!$P$2:$P$1620,Ventas!$D$2:$D$1620,$H169,Ventas!$B$2:$B$1620,"&gt;="&amp;$G$6,Ventas!$B$2:$B$1620,"&lt;="&amp;$G$7,Ventas!$E$2:$E$1620,$G$8,Ventas!$F$2:$F$1620,$H$8)</f>
        <v>91241.0485</v>
      </c>
    </row>
    <row r="170" customFormat="false" ht="15" hidden="false" customHeight="false" outlineLevel="0" collapsed="false">
      <c r="H170" s="7" t="str">
        <f aca="false">Clientes!$A$16</f>
        <v>Almacenes Ibéricos de Tornillería SL</v>
      </c>
      <c r="I170" s="27" t="n">
        <f aca="false">SUMIFS(Ventas!$P$2:$P$1620,Ventas!$D$2:$D$1620,$H170,Ventas!$B$2:$B$1620,"&gt;="&amp;$G$6,Ventas!$B$2:$B$1620,"&lt;="&amp;$G$7,Ventas!$E$2:$E$1620,$G$8,Ventas!$F$2:$F$1620,$H$8)</f>
        <v>195346.822</v>
      </c>
    </row>
    <row r="171" customFormat="false" ht="15" hidden="false" customHeight="false" outlineLevel="0" collapsed="false">
      <c r="H171" s="7" t="str">
        <f aca="false">Clientes!$A$17</f>
        <v>Instalaciones Meseta SL</v>
      </c>
      <c r="I171" s="27" t="n">
        <f aca="false">SUMIFS(Ventas!$P$2:$P$1620,Ventas!$D$2:$D$1620,$H171,Ventas!$B$2:$B$1620,"&gt;="&amp;$G$6,Ventas!$B$2:$B$1620,"&lt;="&amp;$G$7,Ventas!$E$2:$E$1620,$G$8,Ventas!$F$2:$F$1620,$H$8)</f>
        <v>122471.7855</v>
      </c>
    </row>
    <row r="172" customFormat="false" ht="15" hidden="false" customHeight="false" outlineLevel="0" collapsed="false">
      <c r="H172" s="7" t="str">
        <f aca="false">Clientes!$A$18</f>
        <v>Ferretería Casa Manolo SL</v>
      </c>
      <c r="I172" s="27" t="n">
        <f aca="false">SUMIFS(Ventas!$P$2:$P$1620,Ventas!$D$2:$D$1620,$H172,Ventas!$B$2:$B$1620,"&gt;="&amp;$G$6,Ventas!$B$2:$B$1620,"&lt;="&amp;$G$7,Ventas!$E$2:$E$1620,$G$8,Ventas!$F$2:$F$1620,$H$8)</f>
        <v>99938.6045</v>
      </c>
    </row>
    <row r="173" customFormat="false" ht="15" hidden="false" customHeight="false" outlineLevel="0" collapsed="false">
      <c r="H173" s="7" t="str">
        <f aca="false">Clientes!$A$19</f>
        <v>Metalúrgica Cantábrica SA</v>
      </c>
      <c r="I173" s="27" t="n">
        <f aca="false">SUMIFS(Ventas!$P$2:$P$1620,Ventas!$D$2:$D$1620,$H173,Ventas!$B$2:$B$1620,"&gt;="&amp;$G$6,Ventas!$B$2:$B$1620,"&lt;="&amp;$G$7,Ventas!$E$2:$E$1620,$G$8,Ventas!$F$2:$F$1620,$H$8)</f>
        <v>142739.0035</v>
      </c>
    </row>
    <row r="174" customFormat="false" ht="15" hidden="false" customHeight="false" outlineLevel="0" collapsed="false">
      <c r="H174" s="7" t="str">
        <f aca="false">Clientes!$A$20</f>
        <v>Suministros Canarios del Tornillo SL</v>
      </c>
      <c r="I174" s="27" t="n">
        <f aca="false">SUMIFS(Ventas!$P$2:$P$1620,Ventas!$D$2:$D$1620,$H174,Ventas!$B$2:$B$1620,"&gt;="&amp;$G$6,Ventas!$B$2:$B$1620,"&lt;="&amp;$G$7,Ventas!$E$2:$E$1620,$G$8,Ventas!$F$2:$F$1620,$H$8)</f>
        <v>137195.5045</v>
      </c>
    </row>
    <row r="175" customFormat="false" ht="15" hidden="false" customHeight="false" outlineLevel="0" collapsed="false">
      <c r="H175" s="7" t="str">
        <f aca="false">Clientes!$A$21</f>
        <v>Tornillo Directo (tienda online)</v>
      </c>
      <c r="I175" s="27" t="n">
        <f aca="false">SUMIFS(Ventas!$P$2:$P$1620,Ventas!$D$2:$D$1620,$H175,Ventas!$B$2:$B$1620,"&gt;="&amp;$G$6,Ventas!$B$2:$B$1620,"&lt;="&amp;$G$7,Ventas!$E$2:$E$1620,$G$8,Ventas!$F$2:$F$1620,$H$8)</f>
        <v>27049.9245</v>
      </c>
    </row>
    <row r="176" customFormat="false" ht="15" hidden="false" customHeight="false" outlineLevel="0" collapsed="false">
      <c r="H176" s="7" t="str">
        <f aca="false">Clientes!$A$22</f>
        <v>Mundo Fijación Online SL</v>
      </c>
      <c r="I176" s="27" t="n">
        <f aca="false">SUMIFS(Ventas!$P$2:$P$1620,Ventas!$D$2:$D$1620,$H176,Ventas!$B$2:$B$1620,"&gt;="&amp;$G$6,Ventas!$B$2:$B$1620,"&lt;="&amp;$G$7,Ventas!$E$2:$E$1620,$G$8,Ventas!$F$2:$F$1620,$H$8)</f>
        <v>17538.7085</v>
      </c>
    </row>
    <row r="177" customFormat="false" ht="15" hidden="false" customHeight="false" outlineLevel="0" collapsed="false">
      <c r="H177" s="7" t="str">
        <f aca="false">Clientes!$A$23</f>
        <v>Schrauben Nord GmbH</v>
      </c>
      <c r="I177" s="27" t="n">
        <f aca="false">SUMIFS(Ventas!$P$2:$P$1620,Ventas!$D$2:$D$1620,$H177,Ventas!$B$2:$B$1620,"&gt;="&amp;$G$6,Ventas!$B$2:$B$1620,"&lt;="&amp;$G$7,Ventas!$E$2:$E$1620,$G$8,Ventas!$F$2:$F$1620,$H$8)</f>
        <v>279560.7735</v>
      </c>
    </row>
    <row r="178" customFormat="false" ht="15" hidden="false" customHeight="false" outlineLevel="0" collapsed="false">
      <c r="H178" s="7" t="str">
        <f aca="false">Clientes!$A$24</f>
        <v>Bauteile Müller GmbH</v>
      </c>
      <c r="I178" s="27" t="n">
        <f aca="false">SUMIFS(Ventas!$P$2:$P$1620,Ventas!$D$2:$D$1620,$H178,Ventas!$B$2:$B$1620,"&gt;="&amp;$G$6,Ventas!$B$2:$B$1620,"&lt;="&amp;$G$7,Ventas!$E$2:$E$1620,$G$8,Ventas!$F$2:$F$1620,$H$8)</f>
        <v>131264.8085</v>
      </c>
    </row>
    <row r="179" customFormat="false" ht="15" hidden="false" customHeight="false" outlineLevel="0" collapsed="false">
      <c r="H179" s="7" t="str">
        <f aca="false">Clientes!$A$25</f>
        <v>Industrietechnik Weber AG</v>
      </c>
      <c r="I179" s="27" t="n">
        <f aca="false">SUMIFS(Ventas!$P$2:$P$1620,Ventas!$D$2:$D$1620,$H179,Ventas!$B$2:$B$1620,"&gt;="&amp;$G$6,Ventas!$B$2:$B$1620,"&lt;="&amp;$G$7,Ventas!$E$2:$E$1620,$G$8,Ventas!$F$2:$F$1620,$H$8)</f>
        <v>105813.6665</v>
      </c>
    </row>
    <row r="180" customFormat="false" ht="15" hidden="false" customHeight="false" outlineLevel="0" collapsed="false">
      <c r="H180" s="7" t="str">
        <f aca="false">Clientes!$A$26</f>
        <v>Metallbau Schmidt GmbH</v>
      </c>
      <c r="I180" s="27" t="n">
        <f aca="false">SUMIFS(Ventas!$P$2:$P$1620,Ventas!$D$2:$D$1620,$H180,Ventas!$B$2:$B$1620,"&gt;="&amp;$G$6,Ventas!$B$2:$B$1620,"&lt;="&amp;$G$7,Ventas!$E$2:$E$1620,$G$8,Ventas!$F$2:$F$1620,$H$8)</f>
        <v>164024.7335</v>
      </c>
    </row>
    <row r="181" customFormat="false" ht="15" hidden="false" customHeight="false" outlineLevel="0" collapsed="false">
      <c r="H181" s="7" t="str">
        <f aca="false">Clientes!$A$27</f>
        <v>Hanseatic Fasteners GmbH</v>
      </c>
      <c r="I181" s="27" t="n">
        <f aca="false">SUMIFS(Ventas!$P$2:$P$1620,Ventas!$D$2:$D$1620,$H181,Ventas!$B$2:$B$1620,"&gt;="&amp;$G$6,Ventas!$B$2:$B$1620,"&lt;="&amp;$G$7,Ventas!$E$2:$E$1620,$G$8,Ventas!$F$2:$F$1620,$H$8)</f>
        <v>313935.4745</v>
      </c>
    </row>
    <row r="182" customFormat="false" ht="15" hidden="false" customHeight="false" outlineLevel="0" collapsed="false">
      <c r="H182" s="7" t="str">
        <f aca="false">Clientes!$A$28</f>
        <v>Werkzeug Krause Handel GmbH</v>
      </c>
      <c r="I182" s="27" t="n">
        <f aca="false">SUMIFS(Ventas!$P$2:$P$1620,Ventas!$D$2:$D$1620,$H182,Ventas!$B$2:$B$1620,"&gt;="&amp;$G$6,Ventas!$B$2:$B$1620,"&lt;="&amp;$G$7,Ventas!$E$2:$E$1620,$G$8,Ventas!$F$2:$F$1620,$H$8)</f>
        <v>100962.849</v>
      </c>
    </row>
    <row r="183" customFormat="false" ht="15" hidden="false" customHeight="false" outlineLevel="0" collapsed="false">
      <c r="H183" s="7" t="str">
        <f aca="false">Clientes!$A$29</f>
        <v>Bayern Befestigung GmbH</v>
      </c>
      <c r="I183" s="27" t="n">
        <f aca="false">SUMIFS(Ventas!$P$2:$P$1620,Ventas!$D$2:$D$1620,$H183,Ventas!$B$2:$B$1620,"&gt;="&amp;$G$6,Ventas!$B$2:$B$1620,"&lt;="&amp;$G$7,Ventas!$E$2:$E$1620,$G$8,Ventas!$F$2:$F$1620,$H$8)</f>
        <v>279795.1545</v>
      </c>
    </row>
    <row r="184" customFormat="false" ht="15" hidden="false" customHeight="false" outlineLevel="0" collapsed="false">
      <c r="H184" s="7" t="str">
        <f aca="false">Clientes!$A$30</f>
        <v>Stahlhandel Ruhr GmbH</v>
      </c>
      <c r="I184" s="27" t="n">
        <f aca="false">SUMIFS(Ventas!$P$2:$P$1620,Ventas!$D$2:$D$1620,$H184,Ventas!$B$2:$B$1620,"&gt;="&amp;$G$6,Ventas!$B$2:$B$1620,"&lt;="&amp;$G$7,Ventas!$E$2:$E$1620,$G$8,Ventas!$F$2:$F$1620,$H$8)</f>
        <v>236461.493</v>
      </c>
    </row>
    <row r="185" customFormat="false" ht="15" hidden="false" customHeight="false" outlineLevel="0" collapsed="false">
      <c r="H185" s="7" t="str">
        <f aca="false">Clientes!$A$31</f>
        <v>Fischer Montagebau GmbH</v>
      </c>
      <c r="I185" s="27" t="n">
        <f aca="false">SUMIFS(Ventas!$P$2:$P$1620,Ventas!$D$2:$D$1620,$H185,Ventas!$B$2:$B$1620,"&gt;="&amp;$G$6,Ventas!$B$2:$B$1620,"&lt;="&amp;$G$7,Ventas!$E$2:$E$1620,$G$8,Ventas!$F$2:$F$1620,$H$8)</f>
        <v>148590.421</v>
      </c>
    </row>
    <row r="186" customFormat="false" ht="15" hidden="false" customHeight="false" outlineLevel="0" collapsed="false">
      <c r="H186" s="7" t="str">
        <f aca="false">Clientes!$A$32</f>
        <v>Visserie Lyonnaise SARL</v>
      </c>
      <c r="I186" s="27" t="n">
        <f aca="false">SUMIFS(Ventas!$P$2:$P$1620,Ventas!$D$2:$D$1620,$H186,Ventas!$B$2:$B$1620,"&gt;="&amp;$G$6,Ventas!$B$2:$B$1620,"&lt;="&amp;$G$7,Ventas!$E$2:$E$1620,$G$8,Ventas!$F$2:$F$1620,$H$8)</f>
        <v>169924.637</v>
      </c>
    </row>
    <row r="187" customFormat="false" ht="15" hidden="false" customHeight="false" outlineLevel="0" collapsed="false">
      <c r="H187" s="7" t="str">
        <f aca="false">Clientes!$A$33</f>
        <v>Fixations Atlantique SAS</v>
      </c>
      <c r="I187" s="27" t="n">
        <f aca="false">SUMIFS(Ventas!$P$2:$P$1620,Ventas!$D$2:$D$1620,$H187,Ventas!$B$2:$B$1620,"&gt;="&amp;$G$6,Ventas!$B$2:$B$1620,"&lt;="&amp;$G$7,Ventas!$E$2:$E$1620,$G$8,Ventas!$F$2:$F$1620,$H$8)</f>
        <v>178211.46</v>
      </c>
    </row>
    <row r="188" customFormat="false" ht="15" hidden="false" customHeight="false" outlineLevel="0" collapsed="false">
      <c r="H188" s="7" t="str">
        <f aca="false">Clientes!$A$34</f>
        <v>Métallerie Dupont SARL</v>
      </c>
      <c r="I188" s="27" t="n">
        <f aca="false">SUMIFS(Ventas!$P$2:$P$1620,Ventas!$D$2:$D$1620,$H188,Ventas!$B$2:$B$1620,"&gt;="&amp;$G$6,Ventas!$B$2:$B$1620,"&lt;="&amp;$G$7,Ventas!$E$2:$E$1620,$G$8,Ventas!$F$2:$F$1620,$H$8)</f>
        <v>193214.43</v>
      </c>
    </row>
    <row r="189" customFormat="false" ht="15" hidden="false" customHeight="false" outlineLevel="0" collapsed="false">
      <c r="H189" s="7" t="str">
        <f aca="false">Clientes!$A$35</f>
        <v>Groupe Boulonnerie Paris SAS</v>
      </c>
      <c r="I189" s="27" t="n">
        <f aca="false">SUMIFS(Ventas!$P$2:$P$1620,Ventas!$D$2:$D$1620,$H189,Ventas!$B$2:$B$1620,"&gt;="&amp;$G$6,Ventas!$B$2:$B$1620,"&lt;="&amp;$G$7,Ventas!$E$2:$E$1620,$G$8,Ventas!$F$2:$F$1620,$H$8)</f>
        <v>215208.772</v>
      </c>
    </row>
    <row r="190" customFormat="false" ht="15" hidden="false" customHeight="false" outlineLevel="0" collapsed="false">
      <c r="H190" s="7" t="str">
        <f aca="false">Clientes!$A$36</f>
        <v>Quincaillerie Provence SAS</v>
      </c>
      <c r="I190" s="27" t="n">
        <f aca="false">SUMIFS(Ventas!$P$2:$P$1620,Ventas!$D$2:$D$1620,$H190,Ventas!$B$2:$B$1620,"&gt;="&amp;$G$6,Ventas!$B$2:$B$1620,"&lt;="&amp;$G$7,Ventas!$E$2:$E$1620,$G$8,Ventas!$F$2:$F$1620,$H$8)</f>
        <v>145569.788</v>
      </c>
    </row>
    <row r="191" customFormat="false" ht="15" hidden="false" customHeight="false" outlineLevel="0" collapsed="false">
      <c r="H191" s="7" t="str">
        <f aca="false">Clientes!$A$37</f>
        <v>Construction Bernard SAS</v>
      </c>
      <c r="I191" s="27" t="n">
        <f aca="false">SUMIFS(Ventas!$P$2:$P$1620,Ventas!$D$2:$D$1620,$H191,Ventas!$B$2:$B$1620,"&gt;="&amp;$G$6,Ventas!$B$2:$B$1620,"&lt;="&amp;$G$7,Ventas!$E$2:$E$1620,$G$8,Ventas!$F$2:$F$1620,$H$8)</f>
        <v>177238.686</v>
      </c>
    </row>
    <row r="192" customFormat="false" ht="15" hidden="false" customHeight="false" outlineLevel="0" collapsed="false">
      <c r="H192" s="7" t="str">
        <f aca="false">Clientes!$A$38</f>
        <v>Industrie Nord Fixations SAS</v>
      </c>
      <c r="I192" s="27" t="n">
        <f aca="false">SUMIFS(Ventas!$P$2:$P$1620,Ventas!$D$2:$D$1620,$H192,Ventas!$B$2:$B$1620,"&gt;="&amp;$G$6,Ventas!$B$2:$B$1620,"&lt;="&amp;$G$7,Ventas!$E$2:$E$1620,$G$8,Ventas!$F$2:$F$1620,$H$8)</f>
        <v>84280.518</v>
      </c>
    </row>
    <row r="193" customFormat="false" ht="15" hidden="false" customHeight="false" outlineLevel="0" collapsed="false">
      <c r="H193" s="7" t="str">
        <f aca="false">Clientes!$A$39</f>
        <v>Ets Moreau Quincaillerie SARL</v>
      </c>
      <c r="I193" s="27" t="n">
        <f aca="false">SUMIFS(Ventas!$P$2:$P$1620,Ventas!$D$2:$D$1620,$H193,Ventas!$B$2:$B$1620,"&gt;="&amp;$G$6,Ventas!$B$2:$B$1620,"&lt;="&amp;$G$7,Ventas!$E$2:$E$1620,$G$8,Ventas!$F$2:$F$1620,$H$8)</f>
        <v>104919.74</v>
      </c>
    </row>
  </sheetData>
  <mergeCells count="44">
    <mergeCell ref="A1:M1"/>
    <mergeCell ref="A2:M2"/>
    <mergeCell ref="A4:D4"/>
    <mergeCell ref="B5:D5"/>
    <mergeCell ref="F5:I5"/>
    <mergeCell ref="B6:D6"/>
    <mergeCell ref="B7:D7"/>
    <mergeCell ref="A10:M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4:B14"/>
    <mergeCell ref="C14:D14"/>
    <mergeCell ref="E14:F14"/>
    <mergeCell ref="G14:H14"/>
    <mergeCell ref="I14:J14"/>
    <mergeCell ref="K14:L14"/>
    <mergeCell ref="A15:B15"/>
    <mergeCell ref="C15:D15"/>
    <mergeCell ref="E15:F15"/>
    <mergeCell ref="G15:H15"/>
    <mergeCell ref="I15:J15"/>
    <mergeCell ref="K15:L15"/>
    <mergeCell ref="A17:M17"/>
    <mergeCell ref="A19:M19"/>
    <mergeCell ref="A38:M38"/>
    <mergeCell ref="A56:M56"/>
    <mergeCell ref="A74:G74"/>
    <mergeCell ref="A96:E96"/>
    <mergeCell ref="A103:E103"/>
    <mergeCell ref="A111:E111"/>
    <mergeCell ref="A120:E120"/>
    <mergeCell ref="A129:D129"/>
    <mergeCell ref="A136:E136"/>
    <mergeCell ref="H154:J154"/>
  </mergeCells>
  <conditionalFormatting sqref="E76:E93">
    <cfRule type="colorScale" priority="2">
      <colorScale>
        <cfvo type="num" val="0.24"/>
        <cfvo type="num" val="0.3"/>
        <cfvo type="num" val="0.36"/>
        <color rgb="FFF8696B"/>
        <color rgb="FFFFEB84"/>
        <color rgb="FF63BE7B"/>
      </colorScale>
    </cfRule>
  </conditionalFormatting>
  <conditionalFormatting sqref="B76:B93">
    <cfRule type="colorScale" priority="3">
      <colorScale>
        <cfvo type="min" val="0"/>
        <cfvo type="max" val="0"/>
        <color rgb="FFFFFFFF"/>
        <color rgb="FF9DC3E6"/>
      </colorScale>
    </cfRule>
  </conditionalFormatting>
  <dataValidations count="3">
    <dataValidation allowBlank="false" error="Elige un valor de la lista" errorStyle="stop" operator="between" showDropDown="false" showErrorMessage="false" showInputMessage="false" sqref="B5" type="list">
      <formula1>"Todo el histórico,2025,2026,Últimos 6 meses,Últimos 12 meses"</formula1>
      <formula2>0</formula2>
    </dataValidation>
    <dataValidation allowBlank="false" error="Elige un valor de la lista" errorStyle="stop" operator="between" showDropDown="false" showErrorMessage="false" showInputMessage="false" sqref="B6" type="list">
      <formula1>"Todos,España,Alemania,Francia"</formula1>
      <formula2>0</formula2>
    </dataValidation>
    <dataValidation allowBlank="false" error="Elige un valor de la lista" errorStyle="stop" operator="between" showDropDown="false" showErrorMessage="false" showInputMessage="false" sqref="B7" type="list">
      <formula1>"Todos,Distribuidor,OEM / Industria,Ferretería,Ecommerce"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28" t="s">
        <v>74</v>
      </c>
    </row>
    <row r="2" customFormat="false" ht="15" hidden="false" customHeight="false" outlineLevel="0" collapsed="false">
      <c r="A2" s="29" t="s">
        <v>75</v>
      </c>
    </row>
    <row r="3" customFormat="false" ht="15" hidden="false" customHeight="false" outlineLevel="0" collapsed="false">
      <c r="A3" s="4"/>
      <c r="B3" s="30"/>
    </row>
    <row r="4" customFormat="false" ht="15" hidden="false" customHeight="false" outlineLevel="0" collapsed="false">
      <c r="A4" s="3" t="s">
        <v>76</v>
      </c>
      <c r="B4" s="3"/>
    </row>
    <row r="5" customFormat="false" ht="15" hidden="false" customHeight="false" outlineLevel="0" collapsed="false">
      <c r="A5" s="4" t="s">
        <v>77</v>
      </c>
      <c r="B5" s="30" t="s">
        <v>78</v>
      </c>
    </row>
    <row r="6" customFormat="false" ht="15" hidden="false" customHeight="false" outlineLevel="0" collapsed="false">
      <c r="A6" s="4" t="s">
        <v>79</v>
      </c>
      <c r="B6" s="30" t="s">
        <v>80</v>
      </c>
    </row>
    <row r="7" customFormat="false" ht="15" hidden="false" customHeight="false" outlineLevel="0" collapsed="false">
      <c r="A7" s="4" t="s">
        <v>3</v>
      </c>
      <c r="B7" s="30" t="s">
        <v>81</v>
      </c>
    </row>
    <row r="8" customFormat="false" ht="15" hidden="false" customHeight="false" outlineLevel="0" collapsed="false">
      <c r="A8" s="4" t="s">
        <v>82</v>
      </c>
      <c r="B8" s="30" t="s">
        <v>83</v>
      </c>
    </row>
    <row r="9" customFormat="false" ht="15" hidden="false" customHeight="false" outlineLevel="0" collapsed="false">
      <c r="A9" s="4" t="s">
        <v>84</v>
      </c>
      <c r="B9" s="30" t="s">
        <v>85</v>
      </c>
    </row>
    <row r="10" customFormat="false" ht="15" hidden="false" customHeight="false" outlineLevel="0" collapsed="false">
      <c r="A10" s="4" t="s">
        <v>86</v>
      </c>
      <c r="B10" s="30" t="s">
        <v>87</v>
      </c>
    </row>
    <row r="11" customFormat="false" ht="15" hidden="false" customHeight="false" outlineLevel="0" collapsed="false">
      <c r="A11" s="4"/>
      <c r="B11" s="30"/>
    </row>
    <row r="12" customFormat="false" ht="15" hidden="false" customHeight="false" outlineLevel="0" collapsed="false">
      <c r="A12" s="3" t="s">
        <v>88</v>
      </c>
      <c r="B12" s="3"/>
    </row>
    <row r="13" customFormat="false" ht="15" hidden="false" customHeight="false" outlineLevel="0" collapsed="false">
      <c r="A13" s="4" t="s">
        <v>89</v>
      </c>
      <c r="B13" s="30" t="s">
        <v>90</v>
      </c>
    </row>
    <row r="14" customFormat="false" ht="15" hidden="false" customHeight="false" outlineLevel="0" collapsed="false">
      <c r="A14" s="4" t="s">
        <v>91</v>
      </c>
      <c r="B14" s="30" t="s">
        <v>92</v>
      </c>
    </row>
    <row r="15" customFormat="false" ht="15" hidden="false" customHeight="false" outlineLevel="0" collapsed="false">
      <c r="A15" s="4" t="s">
        <v>93</v>
      </c>
      <c r="B15" s="30" t="s">
        <v>94</v>
      </c>
    </row>
    <row r="16" customFormat="false" ht="15" hidden="false" customHeight="false" outlineLevel="0" collapsed="false">
      <c r="A16" s="4" t="s">
        <v>95</v>
      </c>
      <c r="B16" s="30" t="s">
        <v>96</v>
      </c>
    </row>
    <row r="17" customFormat="false" ht="15" hidden="false" customHeight="false" outlineLevel="0" collapsed="false">
      <c r="A17" s="4" t="s">
        <v>97</v>
      </c>
      <c r="B17" s="30" t="s">
        <v>98</v>
      </c>
    </row>
    <row r="18" customFormat="false" ht="15" hidden="false" customHeight="false" outlineLevel="0" collapsed="false">
      <c r="A18" s="4" t="s">
        <v>99</v>
      </c>
      <c r="B18" s="30" t="s">
        <v>100</v>
      </c>
    </row>
    <row r="19" customFormat="false" ht="15" hidden="false" customHeight="false" outlineLevel="0" collapsed="false">
      <c r="A19" s="4" t="s">
        <v>101</v>
      </c>
      <c r="B19" s="30" t="s">
        <v>102</v>
      </c>
    </row>
    <row r="20" customFormat="false" ht="15" hidden="false" customHeight="false" outlineLevel="0" collapsed="false">
      <c r="A20" s="4"/>
      <c r="B20" s="30"/>
    </row>
    <row r="21" customFormat="false" ht="15" hidden="false" customHeight="false" outlineLevel="0" collapsed="false">
      <c r="A21" s="3" t="s">
        <v>103</v>
      </c>
      <c r="B21" s="3"/>
    </row>
    <row r="22" customFormat="false" ht="15" hidden="false" customHeight="false" outlineLevel="0" collapsed="false">
      <c r="A22" s="31" t="s">
        <v>104</v>
      </c>
      <c r="B22" s="30" t="s">
        <v>105</v>
      </c>
    </row>
    <row r="23" customFormat="false" ht="15" hidden="false" customHeight="false" outlineLevel="0" collapsed="false">
      <c r="A23" s="26" t="s">
        <v>106</v>
      </c>
      <c r="B23" s="30" t="s">
        <v>107</v>
      </c>
    </row>
    <row r="24" customFormat="false" ht="15" hidden="false" customHeight="false" outlineLevel="0" collapsed="false">
      <c r="A24" s="32" t="s">
        <v>108</v>
      </c>
      <c r="B24" s="30" t="s">
        <v>109</v>
      </c>
    </row>
    <row r="25" customFormat="false" ht="15" hidden="false" customHeight="false" outlineLevel="0" collapsed="false">
      <c r="A25" s="33" t="s">
        <v>110</v>
      </c>
      <c r="B25" s="30" t="s">
        <v>111</v>
      </c>
    </row>
    <row r="26" customFormat="false" ht="15" hidden="false" customHeight="false" outlineLevel="0" collapsed="false">
      <c r="A26" s="4"/>
      <c r="B26" s="30"/>
    </row>
    <row r="27" customFormat="false" ht="15" hidden="false" customHeight="false" outlineLevel="0" collapsed="false">
      <c r="A27" s="3" t="s">
        <v>112</v>
      </c>
      <c r="B27" s="3"/>
    </row>
    <row r="28" customFormat="false" ht="15" hidden="false" customHeight="false" outlineLevel="0" collapsed="false">
      <c r="A28" s="4" t="s">
        <v>113</v>
      </c>
      <c r="B28" s="30" t="s">
        <v>114</v>
      </c>
    </row>
    <row r="29" customFormat="false" ht="23.85" hidden="false" customHeight="false" outlineLevel="0" collapsed="false">
      <c r="A29" s="4" t="s">
        <v>115</v>
      </c>
      <c r="B29" s="30" t="s">
        <v>116</v>
      </c>
    </row>
    <row r="30" customFormat="false" ht="23.85" hidden="false" customHeight="false" outlineLevel="0" collapsed="false">
      <c r="A30" s="4" t="s">
        <v>117</v>
      </c>
      <c r="B30" s="30" t="s">
        <v>118</v>
      </c>
    </row>
    <row r="31" customFormat="false" ht="15" hidden="false" customHeight="false" outlineLevel="0" collapsed="false">
      <c r="A31" s="4" t="s">
        <v>119</v>
      </c>
      <c r="B31" s="30" t="s">
        <v>120</v>
      </c>
    </row>
    <row r="32" customFormat="false" ht="23.85" hidden="false" customHeight="false" outlineLevel="0" collapsed="false">
      <c r="A32" s="4" t="s">
        <v>121</v>
      </c>
      <c r="B32" s="30" t="s">
        <v>122</v>
      </c>
    </row>
    <row r="33" customFormat="false" ht="15" hidden="false" customHeight="false" outlineLevel="0" collapsed="false">
      <c r="A33" s="4" t="s">
        <v>123</v>
      </c>
      <c r="B33" s="30" t="s">
        <v>124</v>
      </c>
    </row>
  </sheetData>
  <mergeCells count="4">
    <mergeCell ref="A4:B4"/>
    <mergeCell ref="A12:B12"/>
    <mergeCell ref="A21:B21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28" t="s">
        <v>125</v>
      </c>
    </row>
    <row r="2" customFormat="false" ht="15" hidden="false" customHeight="false" outlineLevel="0" collapsed="false">
      <c r="A2" s="34" t="s">
        <v>126</v>
      </c>
    </row>
    <row r="4" customFormat="false" ht="15" hidden="false" customHeight="false" outlineLevel="0" collapsed="false">
      <c r="A4" s="35" t="s">
        <v>127</v>
      </c>
    </row>
    <row r="5" customFormat="false" ht="15" hidden="false" customHeight="false" outlineLevel="0" collapsed="false">
      <c r="A5" s="4" t="s">
        <v>128</v>
      </c>
      <c r="B5" s="31" t="s">
        <v>129</v>
      </c>
    </row>
    <row r="6" customFormat="false" ht="15" hidden="false" customHeight="false" outlineLevel="0" collapsed="false">
      <c r="A6" s="4" t="s">
        <v>77</v>
      </c>
      <c r="B6" s="31" t="s">
        <v>130</v>
      </c>
    </row>
    <row r="7" customFormat="false" ht="15" hidden="false" customHeight="false" outlineLevel="0" collapsed="false">
      <c r="A7" s="4" t="s">
        <v>82</v>
      </c>
      <c r="B7" s="31" t="s">
        <v>131</v>
      </c>
    </row>
    <row r="8" customFormat="false" ht="15" hidden="false" customHeight="false" outlineLevel="0" collapsed="false">
      <c r="A8" s="4" t="s">
        <v>132</v>
      </c>
      <c r="B8" s="31" t="s">
        <v>133</v>
      </c>
    </row>
    <row r="9" customFormat="false" ht="15" hidden="false" customHeight="false" outlineLevel="0" collapsed="false">
      <c r="A9" s="4" t="s">
        <v>134</v>
      </c>
      <c r="B9" s="36" t="n">
        <v>46233</v>
      </c>
    </row>
    <row r="11" customFormat="false" ht="15" hidden="false" customHeight="false" outlineLevel="0" collapsed="false">
      <c r="A11" s="35" t="s">
        <v>135</v>
      </c>
    </row>
    <row r="12" customFormat="false" ht="15" hidden="false" customHeight="false" outlineLevel="0" collapsed="false">
      <c r="A12" s="37" t="s">
        <v>9</v>
      </c>
      <c r="B12" s="37" t="s">
        <v>136</v>
      </c>
      <c r="C12" s="37" t="s">
        <v>137</v>
      </c>
    </row>
    <row r="13" customFormat="false" ht="15" hidden="false" customHeight="false" outlineLevel="0" collapsed="false">
      <c r="A13" s="26" t="s">
        <v>45</v>
      </c>
      <c r="B13" s="38" t="n">
        <v>0.03</v>
      </c>
      <c r="C13" s="39" t="n">
        <v>60</v>
      </c>
    </row>
    <row r="14" customFormat="false" ht="15" hidden="false" customHeight="false" outlineLevel="0" collapsed="false">
      <c r="A14" s="26" t="s">
        <v>46</v>
      </c>
      <c r="B14" s="38" t="n">
        <v>0.04</v>
      </c>
      <c r="C14" s="39" t="n">
        <v>75</v>
      </c>
    </row>
    <row r="15" customFormat="false" ht="15" hidden="false" customHeight="false" outlineLevel="0" collapsed="false">
      <c r="A15" s="26" t="s">
        <v>47</v>
      </c>
      <c r="B15" s="38" t="n">
        <v>0.035</v>
      </c>
      <c r="C15" s="39" t="n">
        <v>45</v>
      </c>
    </row>
    <row r="16" customFormat="false" ht="15" hidden="false" customHeight="false" outlineLevel="0" collapsed="false">
      <c r="A16" s="26" t="s">
        <v>48</v>
      </c>
      <c r="B16" s="38" t="n">
        <v>0.01</v>
      </c>
      <c r="C16" s="39" t="n">
        <v>0</v>
      </c>
    </row>
    <row r="18" customFormat="false" ht="15" hidden="false" customHeight="false" outlineLevel="0" collapsed="false">
      <c r="A18" s="35" t="s">
        <v>138</v>
      </c>
    </row>
    <row r="19" customFormat="false" ht="15" hidden="false" customHeight="false" outlineLevel="0" collapsed="false">
      <c r="A19" s="37" t="s">
        <v>6</v>
      </c>
      <c r="B19" s="37" t="s">
        <v>139</v>
      </c>
      <c r="C19" s="37" t="s">
        <v>140</v>
      </c>
    </row>
    <row r="20" customFormat="false" ht="15" hidden="false" customHeight="false" outlineLevel="0" collapsed="false">
      <c r="A20" s="26" t="s">
        <v>41</v>
      </c>
      <c r="B20" s="40" t="n">
        <v>0.85</v>
      </c>
      <c r="C20" s="34" t="s">
        <v>141</v>
      </c>
    </row>
    <row r="21" customFormat="false" ht="15" hidden="false" customHeight="false" outlineLevel="0" collapsed="false">
      <c r="A21" s="26" t="s">
        <v>42</v>
      </c>
      <c r="B21" s="40" t="n">
        <v>2.4</v>
      </c>
      <c r="C21" s="34" t="s">
        <v>142</v>
      </c>
    </row>
    <row r="22" customFormat="false" ht="15" hidden="false" customHeight="false" outlineLevel="0" collapsed="false">
      <c r="A22" s="26" t="s">
        <v>43</v>
      </c>
      <c r="B22" s="40" t="n">
        <v>1.9</v>
      </c>
      <c r="C22" s="34" t="s">
        <v>143</v>
      </c>
    </row>
    <row r="24" customFormat="false" ht="15" hidden="false" customHeight="false" outlineLevel="0" collapsed="false">
      <c r="A24" s="35" t="s">
        <v>144</v>
      </c>
    </row>
    <row r="25" customFormat="false" ht="15" hidden="false" customHeight="false" outlineLevel="0" collapsed="false">
      <c r="A25" s="37" t="s">
        <v>31</v>
      </c>
      <c r="B25" s="37" t="s">
        <v>145</v>
      </c>
      <c r="C25" s="37" t="s">
        <v>146</v>
      </c>
    </row>
    <row r="26" customFormat="false" ht="15" hidden="false" customHeight="false" outlineLevel="0" collapsed="false">
      <c r="A26" s="41" t="n">
        <v>45658</v>
      </c>
      <c r="B26" s="42" t="n">
        <v>1.013</v>
      </c>
      <c r="C26" s="43" t="n">
        <v>300000</v>
      </c>
    </row>
    <row r="27" customFormat="false" ht="15" hidden="false" customHeight="false" outlineLevel="0" collapsed="false">
      <c r="A27" s="41" t="n">
        <v>45689</v>
      </c>
      <c r="B27" s="42" t="n">
        <v>1.041</v>
      </c>
      <c r="C27" s="43" t="n">
        <v>340000</v>
      </c>
    </row>
    <row r="28" customFormat="false" ht="15" hidden="false" customHeight="false" outlineLevel="0" collapsed="false">
      <c r="A28" s="41" t="n">
        <v>45717</v>
      </c>
      <c r="B28" s="42" t="n">
        <v>1.03</v>
      </c>
      <c r="C28" s="43" t="n">
        <v>380000</v>
      </c>
    </row>
    <row r="29" customFormat="false" ht="15" hidden="false" customHeight="false" outlineLevel="0" collapsed="false">
      <c r="A29" s="41" t="n">
        <v>45748</v>
      </c>
      <c r="B29" s="42" t="n">
        <v>1.014</v>
      </c>
      <c r="C29" s="43" t="n">
        <v>380000</v>
      </c>
    </row>
    <row r="30" customFormat="false" ht="15" hidden="false" customHeight="false" outlineLevel="0" collapsed="false">
      <c r="A30" s="41" t="n">
        <v>45778</v>
      </c>
      <c r="B30" s="42" t="n">
        <v>1.03</v>
      </c>
      <c r="C30" s="43" t="n">
        <v>375000</v>
      </c>
    </row>
    <row r="31" customFormat="false" ht="15" hidden="false" customHeight="false" outlineLevel="0" collapsed="false">
      <c r="A31" s="41" t="n">
        <v>45809</v>
      </c>
      <c r="B31" s="42" t="n">
        <v>1.027</v>
      </c>
      <c r="C31" s="43" t="n">
        <v>385000</v>
      </c>
    </row>
    <row r="32" customFormat="false" ht="15" hidden="false" customHeight="false" outlineLevel="0" collapsed="false">
      <c r="A32" s="41" t="n">
        <v>45839</v>
      </c>
      <c r="B32" s="42" t="n">
        <v>1.034</v>
      </c>
      <c r="C32" s="43" t="n">
        <v>360000</v>
      </c>
    </row>
    <row r="33" customFormat="false" ht="15" hidden="false" customHeight="false" outlineLevel="0" collapsed="false">
      <c r="A33" s="41" t="n">
        <v>45870</v>
      </c>
      <c r="B33" s="42" t="n">
        <v>1.019</v>
      </c>
      <c r="C33" s="43" t="n">
        <v>250000</v>
      </c>
    </row>
    <row r="34" customFormat="false" ht="15" hidden="false" customHeight="false" outlineLevel="0" collapsed="false">
      <c r="A34" s="41" t="n">
        <v>45901</v>
      </c>
      <c r="B34" s="42" t="n">
        <v>1.012</v>
      </c>
      <c r="C34" s="43" t="n">
        <v>340000</v>
      </c>
    </row>
    <row r="35" customFormat="false" ht="15" hidden="false" customHeight="false" outlineLevel="0" collapsed="false">
      <c r="A35" s="41" t="n">
        <v>45931</v>
      </c>
      <c r="B35" s="42" t="n">
        <v>1.019</v>
      </c>
      <c r="C35" s="43" t="n">
        <v>370000</v>
      </c>
    </row>
    <row r="36" customFormat="false" ht="15" hidden="false" customHeight="false" outlineLevel="0" collapsed="false">
      <c r="A36" s="41" t="n">
        <v>45962</v>
      </c>
      <c r="B36" s="42" t="n">
        <v>1.02</v>
      </c>
      <c r="C36" s="43" t="n">
        <v>390000</v>
      </c>
    </row>
    <row r="37" customFormat="false" ht="15" hidden="false" customHeight="false" outlineLevel="0" collapsed="false">
      <c r="A37" s="41" t="n">
        <v>45992</v>
      </c>
      <c r="B37" s="42" t="n">
        <v>1.015</v>
      </c>
      <c r="C37" s="43" t="n">
        <v>360000</v>
      </c>
    </row>
    <row r="38" customFormat="false" ht="15" hidden="false" customHeight="false" outlineLevel="0" collapsed="false">
      <c r="A38" s="41" t="n">
        <v>46023</v>
      </c>
      <c r="B38" s="42" t="n">
        <v>1.032</v>
      </c>
      <c r="C38" s="43" t="n">
        <v>335000</v>
      </c>
    </row>
    <row r="39" customFormat="false" ht="15" hidden="false" customHeight="false" outlineLevel="0" collapsed="false">
      <c r="A39" s="41" t="n">
        <v>46054</v>
      </c>
      <c r="B39" s="42" t="n">
        <v>1.02</v>
      </c>
      <c r="C39" s="43" t="n">
        <v>355000</v>
      </c>
    </row>
    <row r="40" customFormat="false" ht="15" hidden="false" customHeight="false" outlineLevel="0" collapsed="false">
      <c r="A40" s="41" t="n">
        <v>46082</v>
      </c>
      <c r="B40" s="42" t="n">
        <v>1.012</v>
      </c>
      <c r="C40" s="43" t="n">
        <v>400000</v>
      </c>
    </row>
    <row r="41" customFormat="false" ht="15" hidden="false" customHeight="false" outlineLevel="0" collapsed="false">
      <c r="A41" s="41" t="n">
        <v>46113</v>
      </c>
      <c r="B41" s="42" t="n">
        <v>1.006</v>
      </c>
      <c r="C41" s="43" t="n">
        <v>400000</v>
      </c>
    </row>
    <row r="42" customFormat="false" ht="15" hidden="false" customHeight="false" outlineLevel="0" collapsed="false">
      <c r="A42" s="41" t="n">
        <v>46143</v>
      </c>
      <c r="B42" s="42" t="n">
        <v>0.994</v>
      </c>
      <c r="C42" s="43" t="n">
        <v>400000</v>
      </c>
    </row>
    <row r="43" customFormat="false" ht="15" hidden="false" customHeight="false" outlineLevel="0" collapsed="false">
      <c r="A43" s="41" t="n">
        <v>46174</v>
      </c>
      <c r="B43" s="42" t="n">
        <v>1.008</v>
      </c>
      <c r="C43" s="43" t="n">
        <v>370000</v>
      </c>
    </row>
    <row r="45" customFormat="false" ht="15" hidden="false" customHeight="false" outlineLevel="0" collapsed="false">
      <c r="A45" s="35" t="s">
        <v>147</v>
      </c>
    </row>
    <row r="46" customFormat="false" ht="15" hidden="false" customHeight="false" outlineLevel="0" collapsed="false">
      <c r="A46" s="44" t="s">
        <v>148</v>
      </c>
      <c r="B46" s="44"/>
      <c r="C46" s="44"/>
      <c r="D46" s="44"/>
      <c r="E46" s="44"/>
      <c r="F46" s="44"/>
    </row>
    <row r="47" customFormat="false" ht="15" hidden="false" customHeight="false" outlineLevel="0" collapsed="false">
      <c r="A47" s="44" t="s">
        <v>149</v>
      </c>
      <c r="B47" s="44"/>
      <c r="C47" s="44"/>
      <c r="D47" s="44"/>
      <c r="E47" s="44"/>
      <c r="F47" s="44"/>
    </row>
    <row r="48" customFormat="false" ht="15" hidden="false" customHeight="false" outlineLevel="0" collapsed="false">
      <c r="A48" s="44" t="s">
        <v>150</v>
      </c>
      <c r="B48" s="44"/>
      <c r="C48" s="44"/>
      <c r="D48" s="44"/>
      <c r="E48" s="44"/>
      <c r="F48" s="44"/>
    </row>
    <row r="49" customFormat="false" ht="15" hidden="false" customHeight="false" outlineLevel="0" collapsed="false">
      <c r="A49" s="44" t="s">
        <v>151</v>
      </c>
      <c r="B49" s="44"/>
      <c r="C49" s="44"/>
      <c r="D49" s="44"/>
      <c r="E49" s="44"/>
      <c r="F49" s="44"/>
    </row>
    <row r="50" customFormat="false" ht="15" hidden="false" customHeight="false" outlineLevel="0" collapsed="false">
      <c r="A50" s="44" t="s">
        <v>152</v>
      </c>
      <c r="B50" s="44"/>
      <c r="C50" s="44"/>
      <c r="D50" s="44"/>
      <c r="E50" s="44"/>
      <c r="F50" s="44"/>
    </row>
    <row r="51" customFormat="false" ht="15" hidden="false" customHeight="false" outlineLevel="0" collapsed="false">
      <c r="A51" s="44" t="s">
        <v>153</v>
      </c>
      <c r="B51" s="44"/>
      <c r="C51" s="44"/>
      <c r="D51" s="44"/>
      <c r="E51" s="44"/>
      <c r="F51" s="44"/>
    </row>
  </sheetData>
  <mergeCells count="6"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2" min="11" style="0" width="11"/>
  </cols>
  <sheetData>
    <row r="1" customFormat="false" ht="30" hidden="false" customHeight="true" outlineLevel="0" collapsed="false">
      <c r="A1" s="45" t="s">
        <v>154</v>
      </c>
      <c r="B1" s="45" t="s">
        <v>155</v>
      </c>
      <c r="C1" s="45" t="s">
        <v>50</v>
      </c>
      <c r="D1" s="45" t="s">
        <v>156</v>
      </c>
      <c r="E1" s="45" t="s">
        <v>157</v>
      </c>
      <c r="F1" s="45" t="s">
        <v>158</v>
      </c>
      <c r="G1" s="45" t="s">
        <v>159</v>
      </c>
      <c r="H1" s="45" t="s">
        <v>160</v>
      </c>
      <c r="I1" s="45" t="s">
        <v>32</v>
      </c>
      <c r="J1" s="45" t="s">
        <v>161</v>
      </c>
      <c r="K1" s="45" t="s">
        <v>35</v>
      </c>
      <c r="L1" s="45" t="s">
        <v>162</v>
      </c>
    </row>
    <row r="2" customFormat="false" ht="15" hidden="false" customHeight="false" outlineLevel="0" collapsed="false">
      <c r="A2" s="31" t="s">
        <v>163</v>
      </c>
      <c r="B2" s="31" t="s">
        <v>164</v>
      </c>
      <c r="C2" s="31" t="s">
        <v>55</v>
      </c>
      <c r="D2" s="46" t="n">
        <v>500</v>
      </c>
      <c r="E2" s="40" t="n">
        <v>16.6</v>
      </c>
      <c r="F2" s="40" t="n">
        <v>32</v>
      </c>
      <c r="G2" s="19" t="n">
        <f aca="false">IFERROR((F2-E2)/F2,0)</f>
        <v>0.48125</v>
      </c>
      <c r="H2" s="20" t="n">
        <f aca="false">SUMIFS(Ventas!$L$2:$L$1620,Ventas!$H$2:$H$1620,$A2)</f>
        <v>13487</v>
      </c>
      <c r="I2" s="18" t="n">
        <f aca="false">SUMIFS(Ventas!$P$2:$P$1620,Ventas!$H$2:$H$1620,$A2)</f>
        <v>369121.472</v>
      </c>
      <c r="J2" s="18" t="n">
        <f aca="false">SUMIFS(Ventas!$U$2:$U$1620,Ventas!$H$2:$H$1620,$A2)</f>
        <v>109209.72772</v>
      </c>
      <c r="K2" s="19" t="n">
        <f aca="false">IFERROR(J2/I2,0)</f>
        <v>0.295863925575156</v>
      </c>
      <c r="L2" s="19" t="n">
        <f aca="false">IFERROR(I2/$I$14,0)</f>
        <v>0.0570547998811338</v>
      </c>
    </row>
    <row r="3" customFormat="false" ht="15" hidden="false" customHeight="false" outlineLevel="0" collapsed="false">
      <c r="A3" s="31" t="s">
        <v>165</v>
      </c>
      <c r="B3" s="31" t="s">
        <v>166</v>
      </c>
      <c r="C3" s="31" t="s">
        <v>55</v>
      </c>
      <c r="D3" s="46" t="n">
        <v>250</v>
      </c>
      <c r="E3" s="40" t="n">
        <v>19.4</v>
      </c>
      <c r="F3" s="40" t="n">
        <v>37.5</v>
      </c>
      <c r="G3" s="19" t="n">
        <f aca="false">IFERROR((F3-E3)/F3,0)</f>
        <v>0.482666666666667</v>
      </c>
      <c r="H3" s="20" t="n">
        <f aca="false">SUMIFS(Ventas!$L$2:$L$1620,Ventas!$H$2:$H$1620,$A3)</f>
        <v>13362</v>
      </c>
      <c r="I3" s="18" t="n">
        <f aca="false">SUMIFS(Ventas!$P$2:$P$1620,Ventas!$H$2:$H$1620,$A3)</f>
        <v>428897.4375</v>
      </c>
      <c r="J3" s="18" t="n">
        <f aca="false">SUMIFS(Ventas!$U$2:$U$1620,Ventas!$H$2:$H$1620,$A3)</f>
        <v>130678.5160375</v>
      </c>
      <c r="K3" s="19" t="n">
        <f aca="false">IFERROR(J3/I3,0)</f>
        <v>0.304684767526735</v>
      </c>
      <c r="L3" s="19" t="n">
        <f aca="false">IFERROR(I3/$I$14,0)</f>
        <v>0.0662943213070347</v>
      </c>
    </row>
    <row r="4" customFormat="false" ht="15" hidden="false" customHeight="false" outlineLevel="0" collapsed="false">
      <c r="A4" s="31" t="s">
        <v>167</v>
      </c>
      <c r="B4" s="31" t="s">
        <v>168</v>
      </c>
      <c r="C4" s="31" t="s">
        <v>55</v>
      </c>
      <c r="D4" s="46" t="n">
        <v>500</v>
      </c>
      <c r="E4" s="40" t="n">
        <v>21.8</v>
      </c>
      <c r="F4" s="40" t="n">
        <v>42</v>
      </c>
      <c r="G4" s="19" t="n">
        <f aca="false">IFERROR((F4-E4)/F4,0)</f>
        <v>0.480952380952381</v>
      </c>
      <c r="H4" s="20" t="n">
        <f aca="false">SUMIFS(Ventas!$L$2:$L$1620,Ventas!$H$2:$H$1620,$A4)</f>
        <v>11699</v>
      </c>
      <c r="I4" s="18" t="n">
        <f aca="false">SUMIFS(Ventas!$P$2:$P$1620,Ventas!$H$2:$H$1620,$A4)</f>
        <v>421242.99</v>
      </c>
      <c r="J4" s="18" t="n">
        <f aca="false">SUMIFS(Ventas!$U$2:$U$1620,Ventas!$H$2:$H$1620,$A4)</f>
        <v>129140.73197</v>
      </c>
      <c r="K4" s="19" t="n">
        <f aca="false">IFERROR(J4/I4,0)</f>
        <v>0.306570637460341</v>
      </c>
      <c r="L4" s="19" t="n">
        <f aca="false">IFERROR(I4/$I$14,0)</f>
        <v>0.0651111797034134</v>
      </c>
    </row>
    <row r="5" customFormat="false" ht="15" hidden="false" customHeight="false" outlineLevel="0" collapsed="false">
      <c r="A5" s="31" t="s">
        <v>169</v>
      </c>
      <c r="B5" s="31" t="s">
        <v>170</v>
      </c>
      <c r="C5" s="31" t="s">
        <v>53</v>
      </c>
      <c r="D5" s="46" t="n">
        <v>100</v>
      </c>
      <c r="E5" s="40" t="n">
        <v>42</v>
      </c>
      <c r="F5" s="40" t="n">
        <v>79</v>
      </c>
      <c r="G5" s="19" t="n">
        <f aca="false">IFERROR((F5-E5)/F5,0)</f>
        <v>0.468354430379747</v>
      </c>
      <c r="H5" s="20" t="n">
        <f aca="false">SUMIFS(Ventas!$L$2:$L$1620,Ventas!$H$2:$H$1620,$A5)</f>
        <v>11987</v>
      </c>
      <c r="I5" s="18" t="n">
        <f aca="false">SUMIFS(Ventas!$P$2:$P$1620,Ventas!$H$2:$H$1620,$A5)</f>
        <v>819582.34</v>
      </c>
      <c r="J5" s="18" t="n">
        <f aca="false">SUMIFS(Ventas!$U$2:$U$1620,Ventas!$H$2:$H$1620,$A5)</f>
        <v>258905.898365</v>
      </c>
      <c r="K5" s="19" t="n">
        <f aca="false">IFERROR(J5/I5,0)</f>
        <v>0.315899801312215</v>
      </c>
      <c r="L5" s="19" t="n">
        <f aca="false">IFERROR(I5/$I$14,0)</f>
        <v>0.126682162761887</v>
      </c>
    </row>
    <row r="6" customFormat="false" ht="15" hidden="false" customHeight="false" outlineLevel="0" collapsed="false">
      <c r="A6" s="31" t="s">
        <v>171</v>
      </c>
      <c r="B6" s="31" t="s">
        <v>172</v>
      </c>
      <c r="C6" s="31" t="s">
        <v>53</v>
      </c>
      <c r="D6" s="46" t="n">
        <v>200</v>
      </c>
      <c r="E6" s="40" t="n">
        <v>46.5</v>
      </c>
      <c r="F6" s="40" t="n">
        <v>88</v>
      </c>
      <c r="G6" s="19" t="n">
        <f aca="false">IFERROR((F6-E6)/F6,0)</f>
        <v>0.471590909090909</v>
      </c>
      <c r="H6" s="20" t="n">
        <f aca="false">SUMIFS(Ventas!$L$2:$L$1620,Ventas!$H$2:$H$1620,$A6)</f>
        <v>9755</v>
      </c>
      <c r="I6" s="18" t="n">
        <f aca="false">SUMIFS(Ventas!$P$2:$P$1620,Ventas!$H$2:$H$1620,$A6)</f>
        <v>738066.208</v>
      </c>
      <c r="J6" s="18" t="n">
        <f aca="false">SUMIFS(Ventas!$U$2:$U$1620,Ventas!$H$2:$H$1620,$A6)</f>
        <v>235645.43914</v>
      </c>
      <c r="K6" s="19" t="n">
        <f aca="false">IFERROR(J6/I6,0)</f>
        <v>0.319274120107122</v>
      </c>
      <c r="L6" s="19" t="n">
        <f aca="false">IFERROR(I6/$I$14,0)</f>
        <v>0.114082281825283</v>
      </c>
    </row>
    <row r="7" customFormat="false" ht="15" hidden="false" customHeight="false" outlineLevel="0" collapsed="false">
      <c r="A7" s="31" t="s">
        <v>173</v>
      </c>
      <c r="B7" s="31" t="s">
        <v>174</v>
      </c>
      <c r="C7" s="31" t="s">
        <v>55</v>
      </c>
      <c r="D7" s="46" t="n">
        <v>100</v>
      </c>
      <c r="E7" s="40" t="n">
        <v>33.5</v>
      </c>
      <c r="F7" s="40" t="n">
        <v>64</v>
      </c>
      <c r="G7" s="19" t="n">
        <f aca="false">IFERROR((F7-E7)/F7,0)</f>
        <v>0.4765625</v>
      </c>
      <c r="H7" s="20" t="n">
        <f aca="false">SUMIFS(Ventas!$L$2:$L$1620,Ventas!$H$2:$H$1620,$A7)</f>
        <v>12208</v>
      </c>
      <c r="I7" s="18" t="n">
        <f aca="false">SUMIFS(Ventas!$P$2:$P$1620,Ventas!$H$2:$H$1620,$A7)</f>
        <v>665406.592</v>
      </c>
      <c r="J7" s="18" t="n">
        <f aca="false">SUMIFS(Ventas!$U$2:$U$1620,Ventas!$H$2:$H$1620,$A7)</f>
        <v>208741.73656</v>
      </c>
      <c r="K7" s="19" t="n">
        <f aca="false">IFERROR(J7/I7,0)</f>
        <v>0.313705543452145</v>
      </c>
      <c r="L7" s="19" t="n">
        <f aca="false">IFERROR(I7/$I$14,0)</f>
        <v>0.102851345223686</v>
      </c>
    </row>
    <row r="8" customFormat="false" ht="15" hidden="false" customHeight="false" outlineLevel="0" collapsed="false">
      <c r="A8" s="31" t="s">
        <v>175</v>
      </c>
      <c r="B8" s="31" t="s">
        <v>176</v>
      </c>
      <c r="C8" s="31" t="s">
        <v>54</v>
      </c>
      <c r="D8" s="46" t="n">
        <v>500</v>
      </c>
      <c r="E8" s="40" t="n">
        <v>13.4</v>
      </c>
      <c r="F8" s="40" t="n">
        <v>26</v>
      </c>
      <c r="G8" s="19" t="n">
        <f aca="false">IFERROR((F8-E8)/F8,0)</f>
        <v>0.484615384615385</v>
      </c>
      <c r="H8" s="20" t="n">
        <f aca="false">SUMIFS(Ventas!$L$2:$L$1620,Ventas!$H$2:$H$1620,$A8)</f>
        <v>11094</v>
      </c>
      <c r="I8" s="18" t="n">
        <f aca="false">SUMIFS(Ventas!$P$2:$P$1620,Ventas!$H$2:$H$1620,$A8)</f>
        <v>248299.09</v>
      </c>
      <c r="J8" s="18" t="n">
        <f aca="false">SUMIFS(Ventas!$U$2:$U$1620,Ventas!$H$2:$H$1620,$A8)</f>
        <v>70315.58083</v>
      </c>
      <c r="K8" s="19" t="n">
        <f aca="false">IFERROR(J8/I8,0)</f>
        <v>0.283189039597366</v>
      </c>
      <c r="L8" s="19" t="n">
        <f aca="false">IFERROR(I8/$I$14,0)</f>
        <v>0.0383793844716182</v>
      </c>
    </row>
    <row r="9" customFormat="false" ht="15" hidden="false" customHeight="false" outlineLevel="0" collapsed="false">
      <c r="A9" s="31" t="s">
        <v>177</v>
      </c>
      <c r="B9" s="31" t="s">
        <v>178</v>
      </c>
      <c r="C9" s="31" t="s">
        <v>54</v>
      </c>
      <c r="D9" s="46" t="n">
        <v>200</v>
      </c>
      <c r="E9" s="40" t="n">
        <v>17.8</v>
      </c>
      <c r="F9" s="40" t="n">
        <v>34</v>
      </c>
      <c r="G9" s="19" t="n">
        <f aca="false">IFERROR((F9-E9)/F9,0)</f>
        <v>0.476470588235294</v>
      </c>
      <c r="H9" s="20" t="n">
        <f aca="false">SUMIFS(Ventas!$L$2:$L$1620,Ventas!$H$2:$H$1620,$A9)</f>
        <v>12193</v>
      </c>
      <c r="I9" s="18" t="n">
        <f aca="false">SUMIFS(Ventas!$P$2:$P$1620,Ventas!$H$2:$H$1620,$A9)</f>
        <v>351196.506</v>
      </c>
      <c r="J9" s="18" t="n">
        <f aca="false">SUMIFS(Ventas!$U$2:$U$1620,Ventas!$H$2:$H$1620,$A9)</f>
        <v>99269.9781</v>
      </c>
      <c r="K9" s="19" t="n">
        <f aca="false">IFERROR(J9/I9,0)</f>
        <v>0.282662203080118</v>
      </c>
      <c r="L9" s="19" t="n">
        <f aca="false">IFERROR(I9/$I$14,0)</f>
        <v>0.0542841527484573</v>
      </c>
    </row>
    <row r="10" customFormat="false" ht="15" hidden="false" customHeight="false" outlineLevel="0" collapsed="false">
      <c r="A10" s="31" t="s">
        <v>179</v>
      </c>
      <c r="B10" s="31" t="s">
        <v>180</v>
      </c>
      <c r="C10" s="31" t="s">
        <v>51</v>
      </c>
      <c r="D10" s="46" t="n">
        <v>500</v>
      </c>
      <c r="E10" s="40" t="n">
        <v>15.2</v>
      </c>
      <c r="F10" s="40" t="n">
        <v>29.5</v>
      </c>
      <c r="G10" s="19" t="n">
        <f aca="false">IFERROR((F10-E10)/F10,0)</f>
        <v>0.484745762711864</v>
      </c>
      <c r="H10" s="20" t="n">
        <f aca="false">SUMIFS(Ventas!$L$2:$L$1620,Ventas!$H$2:$H$1620,$A10)</f>
        <v>11639</v>
      </c>
      <c r="I10" s="18" t="n">
        <f aca="false">SUMIFS(Ventas!$P$2:$P$1620,Ventas!$H$2:$H$1620,$A10)</f>
        <v>295570.3235</v>
      </c>
      <c r="J10" s="18" t="n">
        <f aca="false">SUMIFS(Ventas!$U$2:$U$1620,Ventas!$H$2:$H$1620,$A10)</f>
        <v>88469.04814</v>
      </c>
      <c r="K10" s="19" t="n">
        <f aca="false">IFERROR(J10/I10,0)</f>
        <v>0.299316410025176</v>
      </c>
      <c r="L10" s="19" t="n">
        <f aca="false">IFERROR(I10/$I$14,0)</f>
        <v>0.0456860598401994</v>
      </c>
    </row>
    <row r="11" customFormat="false" ht="15" hidden="false" customHeight="false" outlineLevel="0" collapsed="false">
      <c r="A11" s="31" t="s">
        <v>181</v>
      </c>
      <c r="B11" s="31" t="s">
        <v>182</v>
      </c>
      <c r="C11" s="31" t="s">
        <v>51</v>
      </c>
      <c r="D11" s="46" t="n">
        <v>250</v>
      </c>
      <c r="E11" s="40" t="n">
        <v>20.3</v>
      </c>
      <c r="F11" s="40" t="n">
        <v>39</v>
      </c>
      <c r="G11" s="19" t="n">
        <f aca="false">IFERROR((F11-E11)/F11,0)</f>
        <v>0.479487179487179</v>
      </c>
      <c r="H11" s="20" t="n">
        <f aca="false">SUMIFS(Ventas!$L$2:$L$1620,Ventas!$H$2:$H$1620,$A11)</f>
        <v>11802</v>
      </c>
      <c r="I11" s="18" t="n">
        <f aca="false">SUMIFS(Ventas!$P$2:$P$1620,Ventas!$H$2:$H$1620,$A11)</f>
        <v>393928.197</v>
      </c>
      <c r="J11" s="18" t="n">
        <f aca="false">SUMIFS(Ventas!$U$2:$U$1620,Ventas!$H$2:$H$1620,$A11)</f>
        <v>119737.115285</v>
      </c>
      <c r="K11" s="19" t="n">
        <f aca="false">IFERROR(J11/I11,0)</f>
        <v>0.303956701238627</v>
      </c>
      <c r="L11" s="19" t="n">
        <f aca="false">IFERROR(I11/$I$14,0)</f>
        <v>0.060889154796638</v>
      </c>
    </row>
    <row r="12" customFormat="false" ht="15" hidden="false" customHeight="false" outlineLevel="0" collapsed="false">
      <c r="A12" s="31" t="s">
        <v>183</v>
      </c>
      <c r="B12" s="31" t="s">
        <v>184</v>
      </c>
      <c r="C12" s="31" t="s">
        <v>52</v>
      </c>
      <c r="D12" s="46" t="n">
        <v>50</v>
      </c>
      <c r="E12" s="40" t="n">
        <v>60</v>
      </c>
      <c r="F12" s="40" t="n">
        <v>112</v>
      </c>
      <c r="G12" s="19" t="n">
        <f aca="false">IFERROR((F12-E12)/F12,0)</f>
        <v>0.464285714285714</v>
      </c>
      <c r="H12" s="20" t="n">
        <f aca="false">SUMIFS(Ventas!$L$2:$L$1620,Ventas!$H$2:$H$1620,$A12)</f>
        <v>12668</v>
      </c>
      <c r="I12" s="18" t="n">
        <f aca="false">SUMIFS(Ventas!$P$2:$P$1620,Ventas!$H$2:$H$1620,$A12)</f>
        <v>1220648.688</v>
      </c>
      <c r="J12" s="18" t="n">
        <f aca="false">SUMIFS(Ventas!$U$2:$U$1620,Ventas!$H$2:$H$1620,$A12)</f>
        <v>386774.87264</v>
      </c>
      <c r="K12" s="19" t="n">
        <f aca="false">IFERROR(J12/I12,0)</f>
        <v>0.3168601059767</v>
      </c>
      <c r="L12" s="19" t="n">
        <f aca="false">IFERROR(I12/$I$14,0)</f>
        <v>0.188674655640213</v>
      </c>
    </row>
    <row r="13" customFormat="false" ht="15" hidden="false" customHeight="false" outlineLevel="0" collapsed="false">
      <c r="A13" s="31" t="s">
        <v>185</v>
      </c>
      <c r="B13" s="31" t="s">
        <v>186</v>
      </c>
      <c r="C13" s="31" t="s">
        <v>52</v>
      </c>
      <c r="D13" s="46" t="n">
        <v>25</v>
      </c>
      <c r="E13" s="40" t="n">
        <v>28.5</v>
      </c>
      <c r="F13" s="40" t="n">
        <v>54</v>
      </c>
      <c r="G13" s="19" t="n">
        <f aca="false">IFERROR((F13-E13)/F13,0)</f>
        <v>0.472222222222222</v>
      </c>
      <c r="H13" s="20" t="n">
        <f aca="false">SUMIFS(Ventas!$L$2:$L$1620,Ventas!$H$2:$H$1620,$A13)</f>
        <v>11216</v>
      </c>
      <c r="I13" s="18" t="n">
        <f aca="false">SUMIFS(Ventas!$P$2:$P$1620,Ventas!$H$2:$H$1620,$A13)</f>
        <v>517635.576</v>
      </c>
      <c r="J13" s="18" t="n">
        <f aca="false">SUMIFS(Ventas!$U$2:$U$1620,Ventas!$H$2:$H$1620,$A13)</f>
        <v>157836.1674</v>
      </c>
      <c r="K13" s="19" t="n">
        <f aca="false">IFERROR(J13/I13,0)</f>
        <v>0.304917541834489</v>
      </c>
      <c r="L13" s="19" t="n">
        <f aca="false">IFERROR(I13/$I$14,0)</f>
        <v>0.0800105018004356</v>
      </c>
    </row>
    <row r="14" customFormat="false" ht="15" hidden="false" customHeight="false" outlineLevel="0" collapsed="false">
      <c r="A14" s="22" t="s">
        <v>38</v>
      </c>
      <c r="B14" s="47"/>
      <c r="C14" s="47"/>
      <c r="D14" s="47"/>
      <c r="E14" s="47"/>
      <c r="F14" s="47"/>
      <c r="G14" s="47"/>
      <c r="H14" s="25" t="n">
        <f aca="false">SUM(H2:H13)</f>
        <v>143110</v>
      </c>
      <c r="I14" s="23" t="n">
        <f aca="false">SUM(I2:I13)</f>
        <v>6469595.42</v>
      </c>
      <c r="J14" s="23" t="n">
        <f aca="false">SUM(J2:J13)</f>
        <v>1994724.8121875</v>
      </c>
      <c r="K14" s="24" t="n">
        <f aca="false">IFERROR(J14/I14,0)</f>
        <v>0.308322960354065</v>
      </c>
      <c r="L14" s="24" t="n">
        <f aca="false">SUM(L2:L13)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45" t="s">
        <v>72</v>
      </c>
      <c r="B1" s="45" t="s">
        <v>6</v>
      </c>
      <c r="C1" s="45" t="s">
        <v>9</v>
      </c>
      <c r="D1" s="45" t="s">
        <v>187</v>
      </c>
      <c r="E1" s="45" t="s">
        <v>188</v>
      </c>
      <c r="F1" s="45" t="s">
        <v>32</v>
      </c>
      <c r="G1" s="45" t="s">
        <v>161</v>
      </c>
      <c r="H1" s="45" t="s">
        <v>35</v>
      </c>
      <c r="I1" s="45" t="s">
        <v>36</v>
      </c>
      <c r="J1" s="45" t="s">
        <v>37</v>
      </c>
      <c r="K1" s="45" t="s">
        <v>189</v>
      </c>
      <c r="L1" s="45" t="s">
        <v>190</v>
      </c>
    </row>
    <row r="2" customFormat="false" ht="15" hidden="false" customHeight="false" outlineLevel="0" collapsed="false">
      <c r="A2" s="31" t="s">
        <v>191</v>
      </c>
      <c r="B2" s="31" t="s">
        <v>41</v>
      </c>
      <c r="C2" s="31" t="s">
        <v>47</v>
      </c>
      <c r="D2" s="31" t="s">
        <v>58</v>
      </c>
      <c r="E2" s="36" t="n">
        <v>43815</v>
      </c>
      <c r="F2" s="18" t="n">
        <f aca="false">SUMIFS(Ventas!$P$2:$P$1620,Ventas!$D$2:$D$1620,$A2)</f>
        <v>126441.114</v>
      </c>
      <c r="G2" s="18" t="n">
        <f aca="false">SUMIFS(Ventas!$U$2:$U$1620,Ventas!$D$2:$D$1620,$A2)</f>
        <v>46502.20471</v>
      </c>
      <c r="H2" s="19" t="n">
        <f aca="false">IFERROR(G2/F2,0)</f>
        <v>0.367777562526063</v>
      </c>
      <c r="I2" s="20" t="n">
        <f aca="false">SUMIFS(Ventas!$Y$2:$Y$1620,Ventas!$D$2:$D$1620,$A2)</f>
        <v>20</v>
      </c>
      <c r="J2" s="21" t="n">
        <f aca="false">IFERROR(F2/I2,0)</f>
        <v>6322.0557</v>
      </c>
      <c r="K2" s="48" t="n">
        <f aca="false">_xlfn.MAXIFS(Ventas!$B$2:$B$1620,Ventas!$D$2:$D$1620,$A2)</f>
        <v>46188</v>
      </c>
      <c r="L2" s="18" t="n">
        <f aca="false">SUMIFS(Ventas!$P$2:$P$1620,Ventas!$D$2:$D$1620,$A2,Ventas!$X$2:$X$1620,"Pendiente")+SUMIFS(Ventas!$P$2:$P$1620,Ventas!$D$2:$D$1620,$A2,Ventas!$X$2:$X$1620,"Vencido")</f>
        <v>7201.571</v>
      </c>
    </row>
    <row r="3" customFormat="false" ht="15" hidden="false" customHeight="false" outlineLevel="0" collapsed="false">
      <c r="A3" s="31" t="s">
        <v>192</v>
      </c>
      <c r="B3" s="31" t="s">
        <v>41</v>
      </c>
      <c r="C3" s="31" t="s">
        <v>45</v>
      </c>
      <c r="D3" s="31" t="s">
        <v>58</v>
      </c>
      <c r="E3" s="36" t="n">
        <v>43923</v>
      </c>
      <c r="F3" s="18" t="n">
        <f aca="false">SUMIFS(Ventas!$P$2:$P$1620,Ventas!$D$2:$D$1620,$A3)</f>
        <v>265223.265</v>
      </c>
      <c r="G3" s="18" t="n">
        <f aca="false">SUMIFS(Ventas!$U$2:$U$1620,Ventas!$D$2:$D$1620,$A3)</f>
        <v>80529.70215</v>
      </c>
      <c r="H3" s="19" t="n">
        <f aca="false">IFERROR(G3/F3,0)</f>
        <v>0.303629857471214</v>
      </c>
      <c r="I3" s="20" t="n">
        <f aca="false">SUMIFS(Ventas!$Y$2:$Y$1620,Ventas!$D$2:$D$1620,$A3)</f>
        <v>29</v>
      </c>
      <c r="J3" s="21" t="n">
        <f aca="false">IFERROR(F3/I3,0)</f>
        <v>9145.62982758621</v>
      </c>
      <c r="K3" s="48" t="n">
        <f aca="false">_xlfn.MAXIFS(Ventas!$B$2:$B$1620,Ventas!$D$2:$D$1620,$A3)</f>
        <v>46182</v>
      </c>
      <c r="L3" s="18" t="n">
        <f aca="false">SUMIFS(Ventas!$P$2:$P$1620,Ventas!$D$2:$D$1620,$A3,Ventas!$X$2:$X$1620,"Pendiente")+SUMIFS(Ventas!$P$2:$P$1620,Ventas!$D$2:$D$1620,$A3,Ventas!$X$2:$X$1620,"Vencido")</f>
        <v>39261.903</v>
      </c>
    </row>
    <row r="4" customFormat="false" ht="15" hidden="false" customHeight="false" outlineLevel="0" collapsed="false">
      <c r="A4" s="31" t="s">
        <v>193</v>
      </c>
      <c r="B4" s="31" t="s">
        <v>41</v>
      </c>
      <c r="C4" s="31" t="s">
        <v>45</v>
      </c>
      <c r="D4" s="31" t="s">
        <v>62</v>
      </c>
      <c r="E4" s="36" t="n">
        <v>45221</v>
      </c>
      <c r="F4" s="18" t="n">
        <f aca="false">SUMIFS(Ventas!$P$2:$P$1620,Ventas!$D$2:$D$1620,$A4)</f>
        <v>249578.961</v>
      </c>
      <c r="G4" s="18" t="n">
        <f aca="false">SUMIFS(Ventas!$U$2:$U$1620,Ventas!$D$2:$D$1620,$A4)</f>
        <v>76627.56457</v>
      </c>
      <c r="H4" s="19" t="n">
        <f aca="false">IFERROR(G4/F4,0)</f>
        <v>0.307027340217191</v>
      </c>
      <c r="I4" s="20" t="n">
        <f aca="false">SUMIFS(Ventas!$Y$2:$Y$1620,Ventas!$D$2:$D$1620,$A4)</f>
        <v>33</v>
      </c>
      <c r="J4" s="21" t="n">
        <f aca="false">IFERROR(F4/I4,0)</f>
        <v>7562.99881818182</v>
      </c>
      <c r="K4" s="48" t="n">
        <f aca="false">_xlfn.MAXIFS(Ventas!$B$2:$B$1620,Ventas!$D$2:$D$1620,$A4)</f>
        <v>46195</v>
      </c>
      <c r="L4" s="18" t="n">
        <f aca="false">SUMIFS(Ventas!$P$2:$P$1620,Ventas!$D$2:$D$1620,$A4,Ventas!$X$2:$X$1620,"Pendiente")+SUMIFS(Ventas!$P$2:$P$1620,Ventas!$D$2:$D$1620,$A4,Ventas!$X$2:$X$1620,"Vencido")</f>
        <v>24377.751</v>
      </c>
    </row>
    <row r="5" customFormat="false" ht="15" hidden="false" customHeight="false" outlineLevel="0" collapsed="false">
      <c r="A5" s="31" t="s">
        <v>194</v>
      </c>
      <c r="B5" s="31" t="s">
        <v>41</v>
      </c>
      <c r="C5" s="31" t="s">
        <v>46</v>
      </c>
      <c r="D5" s="31" t="s">
        <v>58</v>
      </c>
      <c r="E5" s="36" t="n">
        <v>44579</v>
      </c>
      <c r="F5" s="18" t="n">
        <f aca="false">SUMIFS(Ventas!$P$2:$P$1620,Ventas!$D$2:$D$1620,$A5)</f>
        <v>205836.4825</v>
      </c>
      <c r="G5" s="18" t="n">
        <f aca="false">SUMIFS(Ventas!$U$2:$U$1620,Ventas!$D$2:$D$1620,$A5)</f>
        <v>68540.2532</v>
      </c>
      <c r="H5" s="19" t="n">
        <f aca="false">IFERROR(G5/F5,0)</f>
        <v>0.332983989852236</v>
      </c>
      <c r="I5" s="20" t="n">
        <f aca="false">SUMIFS(Ventas!$Y$2:$Y$1620,Ventas!$D$2:$D$1620,$A5)</f>
        <v>19</v>
      </c>
      <c r="J5" s="21" t="n">
        <f aca="false">IFERROR(F5/I5,0)</f>
        <v>10833.4990789474</v>
      </c>
      <c r="K5" s="48" t="n">
        <f aca="false">_xlfn.MAXIFS(Ventas!$B$2:$B$1620,Ventas!$D$2:$D$1620,$A5)</f>
        <v>46202</v>
      </c>
      <c r="L5" s="18" t="n">
        <f aca="false">SUMIFS(Ventas!$P$2:$P$1620,Ventas!$D$2:$D$1620,$A5,Ventas!$X$2:$X$1620,"Pendiente")+SUMIFS(Ventas!$P$2:$P$1620,Ventas!$D$2:$D$1620,$A5,Ventas!$X$2:$X$1620,"Vencido")</f>
        <v>43385.6585</v>
      </c>
    </row>
    <row r="6" customFormat="false" ht="15" hidden="false" customHeight="false" outlineLevel="0" collapsed="false">
      <c r="A6" s="31" t="s">
        <v>195</v>
      </c>
      <c r="B6" s="31" t="s">
        <v>41</v>
      </c>
      <c r="C6" s="31" t="s">
        <v>45</v>
      </c>
      <c r="D6" s="31" t="s">
        <v>58</v>
      </c>
      <c r="E6" s="36" t="n">
        <v>44596</v>
      </c>
      <c r="F6" s="18" t="n">
        <f aca="false">SUMIFS(Ventas!$P$2:$P$1620,Ventas!$D$2:$D$1620,$A6)</f>
        <v>268007.8985</v>
      </c>
      <c r="G6" s="18" t="n">
        <f aca="false">SUMIFS(Ventas!$U$2:$U$1620,Ventas!$D$2:$D$1620,$A6)</f>
        <v>80096.428845</v>
      </c>
      <c r="H6" s="19" t="n">
        <f aca="false">IFERROR(G6/F6,0)</f>
        <v>0.298858463848594</v>
      </c>
      <c r="I6" s="20" t="n">
        <f aca="false">SUMIFS(Ventas!$Y$2:$Y$1620,Ventas!$D$2:$D$1620,$A6)</f>
        <v>30</v>
      </c>
      <c r="J6" s="21" t="n">
        <f aca="false">IFERROR(F6/I6,0)</f>
        <v>8933.59661666667</v>
      </c>
      <c r="K6" s="48" t="n">
        <f aca="false">_xlfn.MAXIFS(Ventas!$B$2:$B$1620,Ventas!$D$2:$D$1620,$A6)</f>
        <v>46189</v>
      </c>
      <c r="L6" s="18" t="n">
        <f aca="false">SUMIFS(Ventas!$P$2:$P$1620,Ventas!$D$2:$D$1620,$A6,Ventas!$X$2:$X$1620,"Pendiente")+SUMIFS(Ventas!$P$2:$P$1620,Ventas!$D$2:$D$1620,$A6,Ventas!$X$2:$X$1620,"Vencido")</f>
        <v>21557.422</v>
      </c>
    </row>
    <row r="7" customFormat="false" ht="15" hidden="false" customHeight="false" outlineLevel="0" collapsed="false">
      <c r="A7" s="31" t="s">
        <v>196</v>
      </c>
      <c r="B7" s="31" t="s">
        <v>41</v>
      </c>
      <c r="C7" s="31" t="s">
        <v>47</v>
      </c>
      <c r="D7" s="31" t="s">
        <v>58</v>
      </c>
      <c r="E7" s="36" t="n">
        <v>44391</v>
      </c>
      <c r="F7" s="18" t="n">
        <f aca="false">SUMIFS(Ventas!$P$2:$P$1620,Ventas!$D$2:$D$1620,$A7)</f>
        <v>133078.6125</v>
      </c>
      <c r="G7" s="18" t="n">
        <f aca="false">SUMIFS(Ventas!$U$2:$U$1620,Ventas!$D$2:$D$1620,$A7)</f>
        <v>50405.0575625</v>
      </c>
      <c r="H7" s="19" t="n">
        <f aca="false">IFERROR(G7/F7,0)</f>
        <v>0.378761520093997</v>
      </c>
      <c r="I7" s="20" t="n">
        <f aca="false">SUMIFS(Ventas!$Y$2:$Y$1620,Ventas!$D$2:$D$1620,$A7)</f>
        <v>26</v>
      </c>
      <c r="J7" s="21" t="n">
        <f aca="false">IFERROR(F7/I7,0)</f>
        <v>5118.40817307692</v>
      </c>
      <c r="K7" s="48" t="n">
        <f aca="false">_xlfn.MAXIFS(Ventas!$B$2:$B$1620,Ventas!$D$2:$D$1620,$A7)</f>
        <v>46191</v>
      </c>
      <c r="L7" s="18" t="n">
        <f aca="false">SUMIFS(Ventas!$P$2:$P$1620,Ventas!$D$2:$D$1620,$A7,Ventas!$X$2:$X$1620,"Pendiente")+SUMIFS(Ventas!$P$2:$P$1620,Ventas!$D$2:$D$1620,$A7,Ventas!$X$2:$X$1620,"Vencido")</f>
        <v>23024.984</v>
      </c>
    </row>
    <row r="8" customFormat="false" ht="15" hidden="false" customHeight="false" outlineLevel="0" collapsed="false">
      <c r="A8" s="31" t="s">
        <v>197</v>
      </c>
      <c r="B8" s="31" t="s">
        <v>41</v>
      </c>
      <c r="C8" s="31" t="s">
        <v>46</v>
      </c>
      <c r="D8" s="31" t="s">
        <v>58</v>
      </c>
      <c r="E8" s="36" t="n">
        <v>43310</v>
      </c>
      <c r="F8" s="18" t="n">
        <f aca="false">SUMIFS(Ventas!$P$2:$P$1620,Ventas!$D$2:$D$1620,$A8)</f>
        <v>290874.7215</v>
      </c>
      <c r="G8" s="18" t="n">
        <f aca="false">SUMIFS(Ventas!$U$2:$U$1620,Ventas!$D$2:$D$1620,$A8)</f>
        <v>94487.01254</v>
      </c>
      <c r="H8" s="19" t="n">
        <f aca="false">IFERROR(G8/F8,0)</f>
        <v>0.32483748347998</v>
      </c>
      <c r="I8" s="20" t="n">
        <f aca="false">SUMIFS(Ventas!$Y$2:$Y$1620,Ventas!$D$2:$D$1620,$A8)</f>
        <v>29</v>
      </c>
      <c r="J8" s="21" t="n">
        <f aca="false">IFERROR(F8/I8,0)</f>
        <v>10030.1628103448</v>
      </c>
      <c r="K8" s="48" t="n">
        <f aca="false">_xlfn.MAXIFS(Ventas!$B$2:$B$1620,Ventas!$D$2:$D$1620,$A8)</f>
        <v>46195</v>
      </c>
      <c r="L8" s="18" t="n">
        <f aca="false">SUMIFS(Ventas!$P$2:$P$1620,Ventas!$D$2:$D$1620,$A8,Ventas!$X$2:$X$1620,"Pendiente")+SUMIFS(Ventas!$P$2:$P$1620,Ventas!$D$2:$D$1620,$A8,Ventas!$X$2:$X$1620,"Vencido")</f>
        <v>30110.5095</v>
      </c>
    </row>
    <row r="9" customFormat="false" ht="15" hidden="false" customHeight="false" outlineLevel="0" collapsed="false">
      <c r="A9" s="31" t="s">
        <v>198</v>
      </c>
      <c r="B9" s="31" t="s">
        <v>41</v>
      </c>
      <c r="C9" s="31" t="s">
        <v>46</v>
      </c>
      <c r="D9" s="31" t="s">
        <v>58</v>
      </c>
      <c r="E9" s="36" t="n">
        <v>44385</v>
      </c>
      <c r="F9" s="18" t="n">
        <f aca="false">SUMIFS(Ventas!$P$2:$P$1620,Ventas!$D$2:$D$1620,$A9)</f>
        <v>124848.0675</v>
      </c>
      <c r="G9" s="18" t="n">
        <f aca="false">SUMIFS(Ventas!$U$2:$U$1620,Ventas!$D$2:$D$1620,$A9)</f>
        <v>40291.4573</v>
      </c>
      <c r="H9" s="19" t="n">
        <f aca="false">IFERROR(G9/F9,0)</f>
        <v>0.322723916411442</v>
      </c>
      <c r="I9" s="20" t="n">
        <f aca="false">SUMIFS(Ventas!$Y$2:$Y$1620,Ventas!$D$2:$D$1620,$A9)</f>
        <v>17</v>
      </c>
      <c r="J9" s="21" t="n">
        <f aca="false">IFERROR(F9/I9,0)</f>
        <v>7344.00397058824</v>
      </c>
      <c r="K9" s="48" t="n">
        <f aca="false">_xlfn.MAXIFS(Ventas!$B$2:$B$1620,Ventas!$D$2:$D$1620,$A9)</f>
        <v>46195</v>
      </c>
      <c r="L9" s="18" t="n">
        <f aca="false">SUMIFS(Ventas!$P$2:$P$1620,Ventas!$D$2:$D$1620,$A9,Ventas!$X$2:$X$1620,"Pendiente")+SUMIFS(Ventas!$P$2:$P$1620,Ventas!$D$2:$D$1620,$A9,Ventas!$X$2:$X$1620,"Vencido")</f>
        <v>9872.304</v>
      </c>
    </row>
    <row r="10" customFormat="false" ht="15" hidden="false" customHeight="false" outlineLevel="0" collapsed="false">
      <c r="A10" s="31" t="s">
        <v>199</v>
      </c>
      <c r="B10" s="31" t="s">
        <v>41</v>
      </c>
      <c r="C10" s="31" t="s">
        <v>45</v>
      </c>
      <c r="D10" s="31" t="s">
        <v>58</v>
      </c>
      <c r="E10" s="36" t="n">
        <v>45655</v>
      </c>
      <c r="F10" s="18" t="n">
        <f aca="false">SUMIFS(Ventas!$P$2:$P$1620,Ventas!$D$2:$D$1620,$A10)</f>
        <v>193539.608</v>
      </c>
      <c r="G10" s="18" t="n">
        <f aca="false">SUMIFS(Ventas!$U$2:$U$1620,Ventas!$D$2:$D$1620,$A10)</f>
        <v>58753.73286</v>
      </c>
      <c r="H10" s="19" t="n">
        <f aca="false">IFERROR(G10/F10,0)</f>
        <v>0.303574722854662</v>
      </c>
      <c r="I10" s="20" t="n">
        <f aca="false">SUMIFS(Ventas!$Y$2:$Y$1620,Ventas!$D$2:$D$1620,$A10)</f>
        <v>29</v>
      </c>
      <c r="J10" s="21" t="n">
        <f aca="false">IFERROR(F10/I10,0)</f>
        <v>6673.7795862069</v>
      </c>
      <c r="K10" s="48" t="n">
        <f aca="false">_xlfn.MAXIFS(Ventas!$B$2:$B$1620,Ventas!$D$2:$D$1620,$A10)</f>
        <v>46190</v>
      </c>
      <c r="L10" s="18" t="n">
        <f aca="false">SUMIFS(Ventas!$P$2:$P$1620,Ventas!$D$2:$D$1620,$A10,Ventas!$X$2:$X$1620,"Pendiente")+SUMIFS(Ventas!$P$2:$P$1620,Ventas!$D$2:$D$1620,$A10,Ventas!$X$2:$X$1620,"Vencido")</f>
        <v>38251.264</v>
      </c>
    </row>
    <row r="11" customFormat="false" ht="15" hidden="false" customHeight="false" outlineLevel="0" collapsed="false">
      <c r="A11" s="31" t="s">
        <v>200</v>
      </c>
      <c r="B11" s="31" t="s">
        <v>41</v>
      </c>
      <c r="C11" s="31" t="s">
        <v>45</v>
      </c>
      <c r="D11" s="31" t="s">
        <v>62</v>
      </c>
      <c r="E11" s="36" t="n">
        <v>45584</v>
      </c>
      <c r="F11" s="18" t="n">
        <f aca="false">SUMIFS(Ventas!$P$2:$P$1620,Ventas!$D$2:$D$1620,$A11)</f>
        <v>263571.548</v>
      </c>
      <c r="G11" s="18" t="n">
        <f aca="false">SUMIFS(Ventas!$U$2:$U$1620,Ventas!$D$2:$D$1620,$A11)</f>
        <v>79923.79856</v>
      </c>
      <c r="H11" s="19" t="n">
        <f aca="false">IFERROR(G11/F11,0)</f>
        <v>0.303233786675639</v>
      </c>
      <c r="I11" s="20" t="n">
        <f aca="false">SUMIFS(Ventas!$Y$2:$Y$1620,Ventas!$D$2:$D$1620,$A11)</f>
        <v>23</v>
      </c>
      <c r="J11" s="21" t="n">
        <f aca="false">IFERROR(F11/I11,0)</f>
        <v>11459.6325217391</v>
      </c>
      <c r="K11" s="48" t="n">
        <f aca="false">_xlfn.MAXIFS(Ventas!$B$2:$B$1620,Ventas!$D$2:$D$1620,$A11)</f>
        <v>46202</v>
      </c>
      <c r="L11" s="18" t="n">
        <f aca="false">SUMIFS(Ventas!$P$2:$P$1620,Ventas!$D$2:$D$1620,$A11,Ventas!$X$2:$X$1620,"Pendiente")+SUMIFS(Ventas!$P$2:$P$1620,Ventas!$D$2:$D$1620,$A11,Ventas!$X$2:$X$1620,"Vencido")</f>
        <v>34681.4755</v>
      </c>
    </row>
    <row r="12" customFormat="false" ht="15" hidden="false" customHeight="false" outlineLevel="0" collapsed="false">
      <c r="A12" s="31" t="s">
        <v>201</v>
      </c>
      <c r="B12" s="31" t="s">
        <v>41</v>
      </c>
      <c r="C12" s="31" t="s">
        <v>46</v>
      </c>
      <c r="D12" s="31" t="s">
        <v>62</v>
      </c>
      <c r="E12" s="36" t="n">
        <v>42462</v>
      </c>
      <c r="F12" s="18" t="n">
        <f aca="false">SUMIFS(Ventas!$P$2:$P$1620,Ventas!$D$2:$D$1620,$A12)</f>
        <v>166170.888</v>
      </c>
      <c r="G12" s="18" t="n">
        <f aca="false">SUMIFS(Ventas!$U$2:$U$1620,Ventas!$D$2:$D$1620,$A12)</f>
        <v>54725.61408</v>
      </c>
      <c r="H12" s="19" t="n">
        <f aca="false">IFERROR(G12/F12,0)</f>
        <v>0.329333343154548</v>
      </c>
      <c r="I12" s="20" t="n">
        <f aca="false">SUMIFS(Ventas!$Y$2:$Y$1620,Ventas!$D$2:$D$1620,$A12)</f>
        <v>23</v>
      </c>
      <c r="J12" s="21" t="n">
        <f aca="false">IFERROR(F12/I12,0)</f>
        <v>7224.8212173913</v>
      </c>
      <c r="K12" s="48" t="n">
        <f aca="false">_xlfn.MAXIFS(Ventas!$B$2:$B$1620,Ventas!$D$2:$D$1620,$A12)</f>
        <v>46188</v>
      </c>
      <c r="L12" s="18" t="n">
        <f aca="false">SUMIFS(Ventas!$P$2:$P$1620,Ventas!$D$2:$D$1620,$A12,Ventas!$X$2:$X$1620,"Pendiente")+SUMIFS(Ventas!$P$2:$P$1620,Ventas!$D$2:$D$1620,$A12,Ventas!$X$2:$X$1620,"Vencido")</f>
        <v>29845.655</v>
      </c>
    </row>
    <row r="13" customFormat="false" ht="15" hidden="false" customHeight="false" outlineLevel="0" collapsed="false">
      <c r="A13" s="31" t="s">
        <v>202</v>
      </c>
      <c r="B13" s="31" t="s">
        <v>41</v>
      </c>
      <c r="C13" s="31" t="s">
        <v>46</v>
      </c>
      <c r="D13" s="31" t="s">
        <v>62</v>
      </c>
      <c r="E13" s="36" t="n">
        <v>43210</v>
      </c>
      <c r="F13" s="18" t="n">
        <f aca="false">SUMIFS(Ventas!$P$2:$P$1620,Ventas!$D$2:$D$1620,$A13)</f>
        <v>148026.528</v>
      </c>
      <c r="G13" s="18" t="n">
        <f aca="false">SUMIFS(Ventas!$U$2:$U$1620,Ventas!$D$2:$D$1620,$A13)</f>
        <v>47098.57378</v>
      </c>
      <c r="H13" s="19" t="n">
        <f aca="false">IFERROR(G13/F13,0)</f>
        <v>0.318176575620283</v>
      </c>
      <c r="I13" s="20" t="n">
        <f aca="false">SUMIFS(Ventas!$Y$2:$Y$1620,Ventas!$D$2:$D$1620,$A13)</f>
        <v>17</v>
      </c>
      <c r="J13" s="21" t="n">
        <f aca="false">IFERROR(F13/I13,0)</f>
        <v>8707.44282352941</v>
      </c>
      <c r="K13" s="48" t="n">
        <f aca="false">_xlfn.MAXIFS(Ventas!$B$2:$B$1620,Ventas!$D$2:$D$1620,$A13)</f>
        <v>46176</v>
      </c>
      <c r="L13" s="18" t="n">
        <f aca="false">SUMIFS(Ventas!$P$2:$P$1620,Ventas!$D$2:$D$1620,$A13,Ventas!$X$2:$X$1620,"Pendiente")+SUMIFS(Ventas!$P$2:$P$1620,Ventas!$D$2:$D$1620,$A13,Ventas!$X$2:$X$1620,"Vencido")</f>
        <v>26975.388</v>
      </c>
    </row>
    <row r="14" customFormat="false" ht="15" hidden="false" customHeight="false" outlineLevel="0" collapsed="false">
      <c r="A14" s="31" t="s">
        <v>203</v>
      </c>
      <c r="B14" s="31" t="s">
        <v>41</v>
      </c>
      <c r="C14" s="31" t="s">
        <v>46</v>
      </c>
      <c r="D14" s="31" t="s">
        <v>58</v>
      </c>
      <c r="E14" s="36" t="n">
        <v>42437</v>
      </c>
      <c r="F14" s="18" t="n">
        <f aca="false">SUMIFS(Ventas!$P$2:$P$1620,Ventas!$D$2:$D$1620,$A14)</f>
        <v>171898.919</v>
      </c>
      <c r="G14" s="18" t="n">
        <f aca="false">SUMIFS(Ventas!$U$2:$U$1620,Ventas!$D$2:$D$1620,$A14)</f>
        <v>55519.26174</v>
      </c>
      <c r="H14" s="19" t="n">
        <f aca="false">IFERROR(G14/F14,0)</f>
        <v>0.322976212200613</v>
      </c>
      <c r="I14" s="20" t="n">
        <f aca="false">SUMIFS(Ventas!$Y$2:$Y$1620,Ventas!$D$2:$D$1620,$A14)</f>
        <v>19</v>
      </c>
      <c r="J14" s="21" t="n">
        <f aca="false">IFERROR(F14/I14,0)</f>
        <v>9047.31152631579</v>
      </c>
      <c r="K14" s="48" t="n">
        <f aca="false">_xlfn.MAXIFS(Ventas!$B$2:$B$1620,Ventas!$D$2:$D$1620,$A14)</f>
        <v>46182</v>
      </c>
      <c r="L14" s="18" t="n">
        <f aca="false">SUMIFS(Ventas!$P$2:$P$1620,Ventas!$D$2:$D$1620,$A14,Ventas!$X$2:$X$1620,"Pendiente")+SUMIFS(Ventas!$P$2:$P$1620,Ventas!$D$2:$D$1620,$A14,Ventas!$X$2:$X$1620,"Vencido")</f>
        <v>10778.136</v>
      </c>
    </row>
    <row r="15" customFormat="false" ht="15" hidden="false" customHeight="false" outlineLevel="0" collapsed="false">
      <c r="A15" s="31" t="s">
        <v>204</v>
      </c>
      <c r="B15" s="31" t="s">
        <v>41</v>
      </c>
      <c r="C15" s="31" t="s">
        <v>47</v>
      </c>
      <c r="D15" s="31" t="s">
        <v>62</v>
      </c>
      <c r="E15" s="36" t="n">
        <v>42666</v>
      </c>
      <c r="F15" s="18" t="n">
        <f aca="false">SUMIFS(Ventas!$P$2:$P$1620,Ventas!$D$2:$D$1620,$A15)</f>
        <v>91241.0485</v>
      </c>
      <c r="G15" s="18" t="n">
        <f aca="false">SUMIFS(Ventas!$U$2:$U$1620,Ventas!$D$2:$D$1620,$A15)</f>
        <v>34170.6596025</v>
      </c>
      <c r="H15" s="19" t="n">
        <f aca="false">IFERROR(G15/F15,0)</f>
        <v>0.374509720835793</v>
      </c>
      <c r="I15" s="20" t="n">
        <f aca="false">SUMIFS(Ventas!$Y$2:$Y$1620,Ventas!$D$2:$D$1620,$A15)</f>
        <v>19</v>
      </c>
      <c r="J15" s="21" t="n">
        <f aca="false">IFERROR(F15/I15,0)</f>
        <v>4802.16044736842</v>
      </c>
      <c r="K15" s="48" t="n">
        <f aca="false">_xlfn.MAXIFS(Ventas!$B$2:$B$1620,Ventas!$D$2:$D$1620,$A15)</f>
        <v>46202</v>
      </c>
      <c r="L15" s="18" t="n">
        <f aca="false">SUMIFS(Ventas!$P$2:$P$1620,Ventas!$D$2:$D$1620,$A15,Ventas!$X$2:$X$1620,"Pendiente")+SUMIFS(Ventas!$P$2:$P$1620,Ventas!$D$2:$D$1620,$A15,Ventas!$X$2:$X$1620,"Vencido")</f>
        <v>22712.771</v>
      </c>
    </row>
    <row r="16" customFormat="false" ht="15" hidden="false" customHeight="false" outlineLevel="0" collapsed="false">
      <c r="A16" s="31" t="s">
        <v>205</v>
      </c>
      <c r="B16" s="31" t="s">
        <v>41</v>
      </c>
      <c r="C16" s="31" t="s">
        <v>45</v>
      </c>
      <c r="D16" s="31" t="s">
        <v>62</v>
      </c>
      <c r="E16" s="36" t="n">
        <v>43082</v>
      </c>
      <c r="F16" s="18" t="n">
        <f aca="false">SUMIFS(Ventas!$P$2:$P$1620,Ventas!$D$2:$D$1620,$A16)</f>
        <v>195346.822</v>
      </c>
      <c r="G16" s="18" t="n">
        <f aca="false">SUMIFS(Ventas!$U$2:$U$1620,Ventas!$D$2:$D$1620,$A16)</f>
        <v>59688.67494</v>
      </c>
      <c r="H16" s="19" t="n">
        <f aca="false">IFERROR(G16/F16,0)</f>
        <v>0.305552321398912</v>
      </c>
      <c r="I16" s="20" t="n">
        <f aca="false">SUMIFS(Ventas!$Y$2:$Y$1620,Ventas!$D$2:$D$1620,$A16)</f>
        <v>31</v>
      </c>
      <c r="J16" s="21" t="n">
        <f aca="false">IFERROR(F16/I16,0)</f>
        <v>6301.51038709677</v>
      </c>
      <c r="K16" s="48" t="n">
        <f aca="false">_xlfn.MAXIFS(Ventas!$B$2:$B$1620,Ventas!$D$2:$D$1620,$A16)</f>
        <v>46174</v>
      </c>
      <c r="L16" s="18" t="n">
        <f aca="false">SUMIFS(Ventas!$P$2:$P$1620,Ventas!$D$2:$D$1620,$A16,Ventas!$X$2:$X$1620,"Pendiente")+SUMIFS(Ventas!$P$2:$P$1620,Ventas!$D$2:$D$1620,$A16,Ventas!$X$2:$X$1620,"Vencido")</f>
        <v>19076.812</v>
      </c>
    </row>
    <row r="17" customFormat="false" ht="15" hidden="false" customHeight="false" outlineLevel="0" collapsed="false">
      <c r="A17" s="31" t="s">
        <v>206</v>
      </c>
      <c r="B17" s="31" t="s">
        <v>41</v>
      </c>
      <c r="C17" s="31" t="s">
        <v>46</v>
      </c>
      <c r="D17" s="31" t="s">
        <v>58</v>
      </c>
      <c r="E17" s="36" t="n">
        <v>42408</v>
      </c>
      <c r="F17" s="18" t="n">
        <f aca="false">SUMIFS(Ventas!$P$2:$P$1620,Ventas!$D$2:$D$1620,$A17)</f>
        <v>122471.7855</v>
      </c>
      <c r="G17" s="18" t="n">
        <f aca="false">SUMIFS(Ventas!$U$2:$U$1620,Ventas!$D$2:$D$1620,$A17)</f>
        <v>39199.43138</v>
      </c>
      <c r="H17" s="19" t="n">
        <f aca="false">IFERROR(G17/F17,0)</f>
        <v>0.320069077297808</v>
      </c>
      <c r="I17" s="20" t="n">
        <f aca="false">SUMIFS(Ventas!$Y$2:$Y$1620,Ventas!$D$2:$D$1620,$A17)</f>
        <v>16</v>
      </c>
      <c r="J17" s="21" t="n">
        <f aca="false">IFERROR(F17/I17,0)</f>
        <v>7654.48659375</v>
      </c>
      <c r="K17" s="48" t="n">
        <f aca="false">_xlfn.MAXIFS(Ventas!$B$2:$B$1620,Ventas!$D$2:$D$1620,$A17)</f>
        <v>46188</v>
      </c>
      <c r="L17" s="18" t="n">
        <f aca="false">SUMIFS(Ventas!$P$2:$P$1620,Ventas!$D$2:$D$1620,$A17,Ventas!$X$2:$X$1620,"Pendiente")+SUMIFS(Ventas!$P$2:$P$1620,Ventas!$D$2:$D$1620,$A17,Ventas!$X$2:$X$1620,"Vencido")</f>
        <v>22631.3035</v>
      </c>
    </row>
    <row r="18" customFormat="false" ht="15" hidden="false" customHeight="false" outlineLevel="0" collapsed="false">
      <c r="A18" s="31" t="s">
        <v>207</v>
      </c>
      <c r="B18" s="31" t="s">
        <v>41</v>
      </c>
      <c r="C18" s="31" t="s">
        <v>47</v>
      </c>
      <c r="D18" s="31" t="s">
        <v>62</v>
      </c>
      <c r="E18" s="36" t="n">
        <v>45075</v>
      </c>
      <c r="F18" s="18" t="n">
        <f aca="false">SUMIFS(Ventas!$P$2:$P$1620,Ventas!$D$2:$D$1620,$A18)</f>
        <v>99938.6045</v>
      </c>
      <c r="G18" s="18" t="n">
        <f aca="false">SUMIFS(Ventas!$U$2:$U$1620,Ventas!$D$2:$D$1620,$A18)</f>
        <v>37602.9551425</v>
      </c>
      <c r="H18" s="19" t="n">
        <f aca="false">IFERROR(G18/F18,0)</f>
        <v>0.376260558476179</v>
      </c>
      <c r="I18" s="20" t="n">
        <f aca="false">SUMIFS(Ventas!$Y$2:$Y$1620,Ventas!$D$2:$D$1620,$A18)</f>
        <v>26</v>
      </c>
      <c r="J18" s="21" t="n">
        <f aca="false">IFERROR(F18/I18,0)</f>
        <v>3843.79248076923</v>
      </c>
      <c r="K18" s="48" t="n">
        <f aca="false">_xlfn.MAXIFS(Ventas!$B$2:$B$1620,Ventas!$D$2:$D$1620,$A18)</f>
        <v>46181</v>
      </c>
      <c r="L18" s="18" t="n">
        <f aca="false">SUMIFS(Ventas!$P$2:$P$1620,Ventas!$D$2:$D$1620,$A18,Ventas!$X$2:$X$1620,"Pendiente")+SUMIFS(Ventas!$P$2:$P$1620,Ventas!$D$2:$D$1620,$A18,Ventas!$X$2:$X$1620,"Vencido")</f>
        <v>1734.656</v>
      </c>
    </row>
    <row r="19" customFormat="false" ht="15" hidden="false" customHeight="false" outlineLevel="0" collapsed="false">
      <c r="A19" s="31" t="s">
        <v>208</v>
      </c>
      <c r="B19" s="31" t="s">
        <v>41</v>
      </c>
      <c r="C19" s="31" t="s">
        <v>46</v>
      </c>
      <c r="D19" s="31" t="s">
        <v>58</v>
      </c>
      <c r="E19" s="36" t="n">
        <v>43217</v>
      </c>
      <c r="F19" s="18" t="n">
        <f aca="false">SUMIFS(Ventas!$P$2:$P$1620,Ventas!$D$2:$D$1620,$A19)</f>
        <v>142739.0035</v>
      </c>
      <c r="G19" s="18" t="n">
        <f aca="false">SUMIFS(Ventas!$U$2:$U$1620,Ventas!$D$2:$D$1620,$A19)</f>
        <v>45909.16196</v>
      </c>
      <c r="H19" s="19" t="n">
        <f aca="false">IFERROR(G19/F19,0)</f>
        <v>0.321630113944294</v>
      </c>
      <c r="I19" s="20" t="n">
        <f aca="false">SUMIFS(Ventas!$Y$2:$Y$1620,Ventas!$D$2:$D$1620,$A19)</f>
        <v>18</v>
      </c>
      <c r="J19" s="21" t="n">
        <f aca="false">IFERROR(F19/I19,0)</f>
        <v>7929.94463888889</v>
      </c>
      <c r="K19" s="48" t="n">
        <f aca="false">_xlfn.MAXIFS(Ventas!$B$2:$B$1620,Ventas!$D$2:$D$1620,$A19)</f>
        <v>46196</v>
      </c>
      <c r="L19" s="18" t="n">
        <f aca="false">SUMIFS(Ventas!$P$2:$P$1620,Ventas!$D$2:$D$1620,$A19,Ventas!$X$2:$X$1620,"Pendiente")+SUMIFS(Ventas!$P$2:$P$1620,Ventas!$D$2:$D$1620,$A19,Ventas!$X$2:$X$1620,"Vencido")</f>
        <v>21765.134</v>
      </c>
    </row>
    <row r="20" customFormat="false" ht="15" hidden="false" customHeight="false" outlineLevel="0" collapsed="false">
      <c r="A20" s="31" t="s">
        <v>209</v>
      </c>
      <c r="B20" s="31" t="s">
        <v>41</v>
      </c>
      <c r="C20" s="31" t="s">
        <v>45</v>
      </c>
      <c r="D20" s="31" t="s">
        <v>62</v>
      </c>
      <c r="E20" s="36" t="n">
        <v>42587</v>
      </c>
      <c r="F20" s="18" t="n">
        <f aca="false">SUMIFS(Ventas!$P$2:$P$1620,Ventas!$D$2:$D$1620,$A20)</f>
        <v>137195.5045</v>
      </c>
      <c r="G20" s="18" t="n">
        <f aca="false">SUMIFS(Ventas!$U$2:$U$1620,Ventas!$D$2:$D$1620,$A20)</f>
        <v>41453.436165</v>
      </c>
      <c r="H20" s="19" t="n">
        <f aca="false">IFERROR(G20/F20,0)</f>
        <v>0.302148647771473</v>
      </c>
      <c r="I20" s="20" t="n">
        <f aca="false">SUMIFS(Ventas!$Y$2:$Y$1620,Ventas!$D$2:$D$1620,$A20)</f>
        <v>28</v>
      </c>
      <c r="J20" s="21" t="n">
        <f aca="false">IFERROR(F20/I20,0)</f>
        <v>4899.83944642857</v>
      </c>
      <c r="K20" s="48" t="n">
        <f aca="false">_xlfn.MAXIFS(Ventas!$B$2:$B$1620,Ventas!$D$2:$D$1620,$A20)</f>
        <v>46175</v>
      </c>
      <c r="L20" s="18" t="n">
        <f aca="false">SUMIFS(Ventas!$P$2:$P$1620,Ventas!$D$2:$D$1620,$A20,Ventas!$X$2:$X$1620,"Pendiente")+SUMIFS(Ventas!$P$2:$P$1620,Ventas!$D$2:$D$1620,$A20,Ventas!$X$2:$X$1620,"Vencido")</f>
        <v>8349.096</v>
      </c>
    </row>
    <row r="21" customFormat="false" ht="15" hidden="false" customHeight="false" outlineLevel="0" collapsed="false">
      <c r="A21" s="31" t="s">
        <v>210</v>
      </c>
      <c r="B21" s="31" t="s">
        <v>41</v>
      </c>
      <c r="C21" s="31" t="s">
        <v>48</v>
      </c>
      <c r="D21" s="31" t="s">
        <v>60</v>
      </c>
      <c r="E21" s="36" t="n">
        <v>45080</v>
      </c>
      <c r="F21" s="18" t="n">
        <f aca="false">SUMIFS(Ventas!$P$2:$P$1620,Ventas!$D$2:$D$1620,$A21)</f>
        <v>27049.9245</v>
      </c>
      <c r="G21" s="18" t="n">
        <f aca="false">SUMIFS(Ventas!$U$2:$U$1620,Ventas!$D$2:$D$1620,$A21)</f>
        <v>11573.661255</v>
      </c>
      <c r="H21" s="19" t="n">
        <f aca="false">IFERROR(G21/F21,0)</f>
        <v>0.427862978138811</v>
      </c>
      <c r="I21" s="20" t="n">
        <f aca="false">SUMIFS(Ventas!$Y$2:$Y$1620,Ventas!$D$2:$D$1620,$A21)</f>
        <v>15</v>
      </c>
      <c r="J21" s="21" t="n">
        <f aca="false">IFERROR(F21/I21,0)</f>
        <v>1803.3283</v>
      </c>
      <c r="K21" s="48" t="n">
        <f aca="false">_xlfn.MAXIFS(Ventas!$B$2:$B$1620,Ventas!$D$2:$D$1620,$A21)</f>
        <v>46197</v>
      </c>
      <c r="L21" s="18" t="n">
        <f aca="false">SUMIFS(Ventas!$P$2:$P$1620,Ventas!$D$2:$D$1620,$A21,Ventas!$X$2:$X$1620,"Pendiente")+SUMIFS(Ventas!$P$2:$P$1620,Ventas!$D$2:$D$1620,$A21,Ventas!$X$2:$X$1620,"Vencido")</f>
        <v>7454.516</v>
      </c>
    </row>
    <row r="22" customFormat="false" ht="15" hidden="false" customHeight="false" outlineLevel="0" collapsed="false">
      <c r="A22" s="31" t="s">
        <v>211</v>
      </c>
      <c r="B22" s="31" t="s">
        <v>41</v>
      </c>
      <c r="C22" s="31" t="s">
        <v>48</v>
      </c>
      <c r="D22" s="31" t="s">
        <v>60</v>
      </c>
      <c r="E22" s="36" t="n">
        <v>44723</v>
      </c>
      <c r="F22" s="18" t="n">
        <f aca="false">SUMIFS(Ventas!$P$2:$P$1620,Ventas!$D$2:$D$1620,$A22)</f>
        <v>17538.7085</v>
      </c>
      <c r="G22" s="18" t="n">
        <f aca="false">SUMIFS(Ventas!$U$2:$U$1620,Ventas!$D$2:$D$1620,$A22)</f>
        <v>7399.757215</v>
      </c>
      <c r="H22" s="19" t="n">
        <f aca="false">IFERROR(G22/F22,0)</f>
        <v>0.421910040582521</v>
      </c>
      <c r="I22" s="20" t="n">
        <f aca="false">SUMIFS(Ventas!$Y$2:$Y$1620,Ventas!$D$2:$D$1620,$A22)</f>
        <v>12</v>
      </c>
      <c r="J22" s="21" t="n">
        <f aca="false">IFERROR(F22/I22,0)</f>
        <v>1461.55904166667</v>
      </c>
      <c r="K22" s="48" t="n">
        <f aca="false">_xlfn.MAXIFS(Ventas!$B$2:$B$1620,Ventas!$D$2:$D$1620,$A22)</f>
        <v>46195</v>
      </c>
      <c r="L22" s="18" t="n">
        <f aca="false">SUMIFS(Ventas!$P$2:$P$1620,Ventas!$D$2:$D$1620,$A22,Ventas!$X$2:$X$1620,"Pendiente")+SUMIFS(Ventas!$P$2:$P$1620,Ventas!$D$2:$D$1620,$A22,Ventas!$X$2:$X$1620,"Vencido")</f>
        <v>2173.824</v>
      </c>
    </row>
    <row r="23" customFormat="false" ht="15" hidden="false" customHeight="false" outlineLevel="0" collapsed="false">
      <c r="A23" s="31" t="s">
        <v>212</v>
      </c>
      <c r="B23" s="31" t="s">
        <v>42</v>
      </c>
      <c r="C23" s="31" t="s">
        <v>45</v>
      </c>
      <c r="D23" s="31" t="s">
        <v>61</v>
      </c>
      <c r="E23" s="36" t="n">
        <v>42570</v>
      </c>
      <c r="F23" s="18" t="n">
        <f aca="false">SUMIFS(Ventas!$P$2:$P$1620,Ventas!$D$2:$D$1620,$A23)</f>
        <v>279560.7735</v>
      </c>
      <c r="G23" s="18" t="n">
        <f aca="false">SUMIFS(Ventas!$U$2:$U$1620,Ventas!$D$2:$D$1620,$A23)</f>
        <v>77428.641195</v>
      </c>
      <c r="H23" s="19" t="n">
        <f aca="false">IFERROR(G23/F23,0)</f>
        <v>0.276965327522962</v>
      </c>
      <c r="I23" s="20" t="n">
        <f aca="false">SUMIFS(Ventas!$Y$2:$Y$1620,Ventas!$D$2:$D$1620,$A23)</f>
        <v>30</v>
      </c>
      <c r="J23" s="21" t="n">
        <f aca="false">IFERROR(F23/I23,0)</f>
        <v>9318.69245</v>
      </c>
      <c r="K23" s="48" t="n">
        <f aca="false">_xlfn.MAXIFS(Ventas!$B$2:$B$1620,Ventas!$D$2:$D$1620,$A23)</f>
        <v>46188</v>
      </c>
      <c r="L23" s="18" t="n">
        <f aca="false">SUMIFS(Ventas!$P$2:$P$1620,Ventas!$D$2:$D$1620,$A23,Ventas!$X$2:$X$1620,"Pendiente")+SUMIFS(Ventas!$P$2:$P$1620,Ventas!$D$2:$D$1620,$A23,Ventas!$X$2:$X$1620,"Vencido")</f>
        <v>39936.644</v>
      </c>
    </row>
    <row r="24" customFormat="false" ht="15" hidden="false" customHeight="false" outlineLevel="0" collapsed="false">
      <c r="A24" s="31" t="s">
        <v>213</v>
      </c>
      <c r="B24" s="31" t="s">
        <v>42</v>
      </c>
      <c r="C24" s="31" t="s">
        <v>46</v>
      </c>
      <c r="D24" s="31" t="s">
        <v>61</v>
      </c>
      <c r="E24" s="36" t="n">
        <v>44558</v>
      </c>
      <c r="F24" s="18" t="n">
        <f aca="false">SUMIFS(Ventas!$P$2:$P$1620,Ventas!$D$2:$D$1620,$A24)</f>
        <v>131264.8085</v>
      </c>
      <c r="G24" s="18" t="n">
        <f aca="false">SUMIFS(Ventas!$U$2:$U$1620,Ventas!$D$2:$D$1620,$A24)</f>
        <v>38923.24766</v>
      </c>
      <c r="H24" s="19" t="n">
        <f aca="false">IFERROR(G24/F24,0)</f>
        <v>0.296524621524893</v>
      </c>
      <c r="I24" s="20" t="n">
        <f aca="false">SUMIFS(Ventas!$Y$2:$Y$1620,Ventas!$D$2:$D$1620,$A24)</f>
        <v>17</v>
      </c>
      <c r="J24" s="21" t="n">
        <f aca="false">IFERROR(F24/I24,0)</f>
        <v>7721.45932352941</v>
      </c>
      <c r="K24" s="48" t="n">
        <f aca="false">_xlfn.MAXIFS(Ventas!$B$2:$B$1620,Ventas!$D$2:$D$1620,$A24)</f>
        <v>46196</v>
      </c>
      <c r="L24" s="18" t="n">
        <f aca="false">SUMIFS(Ventas!$P$2:$P$1620,Ventas!$D$2:$D$1620,$A24,Ventas!$X$2:$X$1620,"Pendiente")+SUMIFS(Ventas!$P$2:$P$1620,Ventas!$D$2:$D$1620,$A24,Ventas!$X$2:$X$1620,"Vencido")</f>
        <v>29845.1375</v>
      </c>
    </row>
    <row r="25" customFormat="false" ht="15" hidden="false" customHeight="false" outlineLevel="0" collapsed="false">
      <c r="A25" s="31" t="s">
        <v>214</v>
      </c>
      <c r="B25" s="31" t="s">
        <v>42</v>
      </c>
      <c r="C25" s="31" t="s">
        <v>46</v>
      </c>
      <c r="D25" s="31" t="s">
        <v>61</v>
      </c>
      <c r="E25" s="36" t="n">
        <v>42660</v>
      </c>
      <c r="F25" s="18" t="n">
        <f aca="false">SUMIFS(Ventas!$P$2:$P$1620,Ventas!$D$2:$D$1620,$A25)</f>
        <v>105813.6665</v>
      </c>
      <c r="G25" s="18" t="n">
        <f aca="false">SUMIFS(Ventas!$U$2:$U$1620,Ventas!$D$2:$D$1620,$A25)</f>
        <v>30698.40924</v>
      </c>
      <c r="H25" s="19" t="n">
        <f aca="false">IFERROR(G25/F25,0)</f>
        <v>0.290117621432199</v>
      </c>
      <c r="I25" s="20" t="n">
        <f aca="false">SUMIFS(Ventas!$Y$2:$Y$1620,Ventas!$D$2:$D$1620,$A25)</f>
        <v>15</v>
      </c>
      <c r="J25" s="21" t="n">
        <f aca="false">IFERROR(F25/I25,0)</f>
        <v>7054.24443333333</v>
      </c>
      <c r="K25" s="48" t="n">
        <f aca="false">_xlfn.MAXIFS(Ventas!$B$2:$B$1620,Ventas!$D$2:$D$1620,$A25)</f>
        <v>46139</v>
      </c>
      <c r="L25" s="18" t="n">
        <f aca="false">SUMIFS(Ventas!$P$2:$P$1620,Ventas!$D$2:$D$1620,$A25,Ventas!$X$2:$X$1620,"Pendiente")+SUMIFS(Ventas!$P$2:$P$1620,Ventas!$D$2:$D$1620,$A25,Ventas!$X$2:$X$1620,"Vencido")</f>
        <v>13286.464</v>
      </c>
    </row>
    <row r="26" customFormat="false" ht="15" hidden="false" customHeight="false" outlineLevel="0" collapsed="false">
      <c r="A26" s="31" t="s">
        <v>215</v>
      </c>
      <c r="B26" s="31" t="s">
        <v>42</v>
      </c>
      <c r="C26" s="31" t="s">
        <v>46</v>
      </c>
      <c r="D26" s="31" t="s">
        <v>61</v>
      </c>
      <c r="E26" s="36" t="n">
        <v>43520</v>
      </c>
      <c r="F26" s="18" t="n">
        <f aca="false">SUMIFS(Ventas!$P$2:$P$1620,Ventas!$D$2:$D$1620,$A26)</f>
        <v>164024.7335</v>
      </c>
      <c r="G26" s="18" t="n">
        <f aca="false">SUMIFS(Ventas!$U$2:$U$1620,Ventas!$D$2:$D$1620,$A26)</f>
        <v>46934.88026</v>
      </c>
      <c r="H26" s="19" t="n">
        <f aca="false">IFERROR(G26/F26,0)</f>
        <v>0.286145139568235</v>
      </c>
      <c r="I26" s="20" t="n">
        <f aca="false">SUMIFS(Ventas!$Y$2:$Y$1620,Ventas!$D$2:$D$1620,$A26)</f>
        <v>24</v>
      </c>
      <c r="J26" s="21" t="n">
        <f aca="false">IFERROR(F26/I26,0)</f>
        <v>6834.36389583333</v>
      </c>
      <c r="K26" s="48" t="n">
        <f aca="false">_xlfn.MAXIFS(Ventas!$B$2:$B$1620,Ventas!$D$2:$D$1620,$A26)</f>
        <v>46155</v>
      </c>
      <c r="L26" s="18" t="n">
        <f aca="false">SUMIFS(Ventas!$P$2:$P$1620,Ventas!$D$2:$D$1620,$A26,Ventas!$X$2:$X$1620,"Pendiente")+SUMIFS(Ventas!$P$2:$P$1620,Ventas!$D$2:$D$1620,$A26,Ventas!$X$2:$X$1620,"Vencido")</f>
        <v>11087.404</v>
      </c>
    </row>
    <row r="27" customFormat="false" ht="15" hidden="false" customHeight="false" outlineLevel="0" collapsed="false">
      <c r="A27" s="31" t="s">
        <v>216</v>
      </c>
      <c r="B27" s="31" t="s">
        <v>42</v>
      </c>
      <c r="C27" s="31" t="s">
        <v>45</v>
      </c>
      <c r="D27" s="31" t="s">
        <v>61</v>
      </c>
      <c r="E27" s="36" t="n">
        <v>44604</v>
      </c>
      <c r="F27" s="18" t="n">
        <f aca="false">SUMIFS(Ventas!$P$2:$P$1620,Ventas!$D$2:$D$1620,$A27)</f>
        <v>313935.4745</v>
      </c>
      <c r="G27" s="18" t="n">
        <f aca="false">SUMIFS(Ventas!$U$2:$U$1620,Ventas!$D$2:$D$1620,$A27)</f>
        <v>86703.112365</v>
      </c>
      <c r="H27" s="19" t="n">
        <f aca="false">IFERROR(G27/F27,0)</f>
        <v>0.276181315612996</v>
      </c>
      <c r="I27" s="20" t="n">
        <f aca="false">SUMIFS(Ventas!$Y$2:$Y$1620,Ventas!$D$2:$D$1620,$A27)</f>
        <v>29</v>
      </c>
      <c r="J27" s="21" t="n">
        <f aca="false">IFERROR(F27/I27,0)</f>
        <v>10825.3611896552</v>
      </c>
      <c r="K27" s="48" t="n">
        <f aca="false">_xlfn.MAXIFS(Ventas!$B$2:$B$1620,Ventas!$D$2:$D$1620,$A27)</f>
        <v>46191</v>
      </c>
      <c r="L27" s="18" t="n">
        <f aca="false">SUMIFS(Ventas!$P$2:$P$1620,Ventas!$D$2:$D$1620,$A27,Ventas!$X$2:$X$1620,"Pendiente")+SUMIFS(Ventas!$P$2:$P$1620,Ventas!$D$2:$D$1620,$A27,Ventas!$X$2:$X$1620,"Vencido")</f>
        <v>55466.569</v>
      </c>
    </row>
    <row r="28" customFormat="false" ht="15" hidden="false" customHeight="false" outlineLevel="0" collapsed="false">
      <c r="A28" s="31" t="s">
        <v>217</v>
      </c>
      <c r="B28" s="31" t="s">
        <v>42</v>
      </c>
      <c r="C28" s="31" t="s">
        <v>47</v>
      </c>
      <c r="D28" s="31" t="s">
        <v>61</v>
      </c>
      <c r="E28" s="36" t="n">
        <v>43941</v>
      </c>
      <c r="F28" s="18" t="n">
        <f aca="false">SUMIFS(Ventas!$P$2:$P$1620,Ventas!$D$2:$D$1620,$A28)</f>
        <v>100962.849</v>
      </c>
      <c r="G28" s="18" t="n">
        <f aca="false">SUMIFS(Ventas!$U$2:$U$1620,Ventas!$D$2:$D$1620,$A28)</f>
        <v>33516.921585</v>
      </c>
      <c r="H28" s="19" t="n">
        <f aca="false">IFERROR(G28/F28,0)</f>
        <v>0.331972818883112</v>
      </c>
      <c r="I28" s="20" t="n">
        <f aca="false">SUMIFS(Ventas!$Y$2:$Y$1620,Ventas!$D$2:$D$1620,$A28)</f>
        <v>17</v>
      </c>
      <c r="J28" s="21" t="n">
        <f aca="false">IFERROR(F28/I28,0)</f>
        <v>5938.99111764706</v>
      </c>
      <c r="K28" s="48" t="n">
        <f aca="false">_xlfn.MAXIFS(Ventas!$B$2:$B$1620,Ventas!$D$2:$D$1620,$A28)</f>
        <v>46183</v>
      </c>
      <c r="L28" s="18" t="n">
        <f aca="false">SUMIFS(Ventas!$P$2:$P$1620,Ventas!$D$2:$D$1620,$A28,Ventas!$X$2:$X$1620,"Pendiente")+SUMIFS(Ventas!$P$2:$P$1620,Ventas!$D$2:$D$1620,$A28,Ventas!$X$2:$X$1620,"Vencido")</f>
        <v>7537.2</v>
      </c>
    </row>
    <row r="29" customFormat="false" ht="15" hidden="false" customHeight="false" outlineLevel="0" collapsed="false">
      <c r="A29" s="31" t="s">
        <v>218</v>
      </c>
      <c r="B29" s="31" t="s">
        <v>42</v>
      </c>
      <c r="C29" s="31" t="s">
        <v>45</v>
      </c>
      <c r="D29" s="31" t="s">
        <v>61</v>
      </c>
      <c r="E29" s="36" t="n">
        <v>43960</v>
      </c>
      <c r="F29" s="18" t="n">
        <f aca="false">SUMIFS(Ventas!$P$2:$P$1620,Ventas!$D$2:$D$1620,$A29)</f>
        <v>279795.1545</v>
      </c>
      <c r="G29" s="18" t="n">
        <f aca="false">SUMIFS(Ventas!$U$2:$U$1620,Ventas!$D$2:$D$1620,$A29)</f>
        <v>76639.395365</v>
      </c>
      <c r="H29" s="19" t="n">
        <f aca="false">IFERROR(G29/F29,0)</f>
        <v>0.27391251825628</v>
      </c>
      <c r="I29" s="20" t="n">
        <f aca="false">SUMIFS(Ventas!$Y$2:$Y$1620,Ventas!$D$2:$D$1620,$A29)</f>
        <v>33</v>
      </c>
      <c r="J29" s="21" t="n">
        <f aca="false">IFERROR(F29/I29,0)</f>
        <v>8478.64104545455</v>
      </c>
      <c r="K29" s="48" t="n">
        <f aca="false">_xlfn.MAXIFS(Ventas!$B$2:$B$1620,Ventas!$D$2:$D$1620,$A29)</f>
        <v>46184</v>
      </c>
      <c r="L29" s="18" t="n">
        <f aca="false">SUMIFS(Ventas!$P$2:$P$1620,Ventas!$D$2:$D$1620,$A29,Ventas!$X$2:$X$1620,"Pendiente")+SUMIFS(Ventas!$P$2:$P$1620,Ventas!$D$2:$D$1620,$A29,Ventas!$X$2:$X$1620,"Vencido")</f>
        <v>10401.048</v>
      </c>
    </row>
    <row r="30" customFormat="false" ht="15" hidden="false" customHeight="false" outlineLevel="0" collapsed="false">
      <c r="A30" s="31" t="s">
        <v>219</v>
      </c>
      <c r="B30" s="31" t="s">
        <v>42</v>
      </c>
      <c r="C30" s="31" t="s">
        <v>45</v>
      </c>
      <c r="D30" s="31" t="s">
        <v>61</v>
      </c>
      <c r="E30" s="36" t="n">
        <v>44538</v>
      </c>
      <c r="F30" s="18" t="n">
        <f aca="false">SUMIFS(Ventas!$P$2:$P$1620,Ventas!$D$2:$D$1620,$A30)</f>
        <v>236461.493</v>
      </c>
      <c r="G30" s="18" t="n">
        <f aca="false">SUMIFS(Ventas!$U$2:$U$1620,Ventas!$D$2:$D$1620,$A30)</f>
        <v>64314.10391</v>
      </c>
      <c r="H30" s="19" t="n">
        <f aca="false">IFERROR(G30/F30,0)</f>
        <v>0.271985527512507</v>
      </c>
      <c r="I30" s="20" t="n">
        <f aca="false">SUMIFS(Ventas!$Y$2:$Y$1620,Ventas!$D$2:$D$1620,$A30)</f>
        <v>31</v>
      </c>
      <c r="J30" s="21" t="n">
        <f aca="false">IFERROR(F30/I30,0)</f>
        <v>7627.79009677419</v>
      </c>
      <c r="K30" s="48" t="n">
        <f aca="false">_xlfn.MAXIFS(Ventas!$B$2:$B$1620,Ventas!$D$2:$D$1620,$A30)</f>
        <v>46162</v>
      </c>
      <c r="L30" s="18" t="n">
        <f aca="false">SUMIFS(Ventas!$P$2:$P$1620,Ventas!$D$2:$D$1620,$A30,Ventas!$X$2:$X$1620,"Pendiente")+SUMIFS(Ventas!$P$2:$P$1620,Ventas!$D$2:$D$1620,$A30,Ventas!$X$2:$X$1620,"Vencido")</f>
        <v>14156.192</v>
      </c>
    </row>
    <row r="31" customFormat="false" ht="15" hidden="false" customHeight="false" outlineLevel="0" collapsed="false">
      <c r="A31" s="31" t="s">
        <v>220</v>
      </c>
      <c r="B31" s="31" t="s">
        <v>42</v>
      </c>
      <c r="C31" s="31" t="s">
        <v>46</v>
      </c>
      <c r="D31" s="31" t="s">
        <v>61</v>
      </c>
      <c r="E31" s="36" t="n">
        <v>44212</v>
      </c>
      <c r="F31" s="18" t="n">
        <f aca="false">SUMIFS(Ventas!$P$2:$P$1620,Ventas!$D$2:$D$1620,$A31)</f>
        <v>148590.421</v>
      </c>
      <c r="G31" s="18" t="n">
        <f aca="false">SUMIFS(Ventas!$U$2:$U$1620,Ventas!$D$2:$D$1620,$A31)</f>
        <v>46288.37536</v>
      </c>
      <c r="H31" s="19" t="n">
        <f aca="false">IFERROR(G31/F31,0)</f>
        <v>0.311516550316524</v>
      </c>
      <c r="I31" s="20" t="n">
        <f aca="false">SUMIFS(Ventas!$Y$2:$Y$1620,Ventas!$D$2:$D$1620,$A31)</f>
        <v>15</v>
      </c>
      <c r="J31" s="21" t="n">
        <f aca="false">IFERROR(F31/I31,0)</f>
        <v>9906.02806666667</v>
      </c>
      <c r="K31" s="48" t="n">
        <f aca="false">_xlfn.MAXIFS(Ventas!$B$2:$B$1620,Ventas!$D$2:$D$1620,$A31)</f>
        <v>46153</v>
      </c>
      <c r="L31" s="18" t="n">
        <f aca="false">SUMIFS(Ventas!$P$2:$P$1620,Ventas!$D$2:$D$1620,$A31,Ventas!$X$2:$X$1620,"Pendiente")+SUMIFS(Ventas!$P$2:$P$1620,Ventas!$D$2:$D$1620,$A31,Ventas!$X$2:$X$1620,"Vencido")</f>
        <v>24958.8735</v>
      </c>
    </row>
    <row r="32" customFormat="false" ht="15" hidden="false" customHeight="false" outlineLevel="0" collapsed="false">
      <c r="A32" s="31" t="s">
        <v>221</v>
      </c>
      <c r="B32" s="31" t="s">
        <v>43</v>
      </c>
      <c r="C32" s="31" t="s">
        <v>45</v>
      </c>
      <c r="D32" s="31" t="s">
        <v>59</v>
      </c>
      <c r="E32" s="36" t="n">
        <v>45401</v>
      </c>
      <c r="F32" s="18" t="n">
        <f aca="false">SUMIFS(Ventas!$P$2:$P$1620,Ventas!$D$2:$D$1620,$A32)</f>
        <v>169924.637</v>
      </c>
      <c r="G32" s="18" t="n">
        <f aca="false">SUMIFS(Ventas!$U$2:$U$1620,Ventas!$D$2:$D$1620,$A32)</f>
        <v>48138.78899</v>
      </c>
      <c r="H32" s="19" t="n">
        <f aca="false">IFERROR(G32/F32,0)</f>
        <v>0.283294934977557</v>
      </c>
      <c r="I32" s="20" t="n">
        <f aca="false">SUMIFS(Ventas!$Y$2:$Y$1620,Ventas!$D$2:$D$1620,$A32)</f>
        <v>30</v>
      </c>
      <c r="J32" s="21" t="n">
        <f aca="false">IFERROR(F32/I32,0)</f>
        <v>5664.15456666667</v>
      </c>
      <c r="K32" s="48" t="n">
        <f aca="false">_xlfn.MAXIFS(Ventas!$B$2:$B$1620,Ventas!$D$2:$D$1620,$A32)</f>
        <v>46188</v>
      </c>
      <c r="L32" s="18" t="n">
        <f aca="false">SUMIFS(Ventas!$P$2:$P$1620,Ventas!$D$2:$D$1620,$A32,Ventas!$X$2:$X$1620,"Pendiente")+SUMIFS(Ventas!$P$2:$P$1620,Ventas!$D$2:$D$1620,$A32,Ventas!$X$2:$X$1620,"Vencido")</f>
        <v>32166.752</v>
      </c>
    </row>
    <row r="33" customFormat="false" ht="15" hidden="false" customHeight="false" outlineLevel="0" collapsed="false">
      <c r="A33" s="31" t="s">
        <v>222</v>
      </c>
      <c r="B33" s="31" t="s">
        <v>43</v>
      </c>
      <c r="C33" s="31" t="s">
        <v>45</v>
      </c>
      <c r="D33" s="31" t="s">
        <v>59</v>
      </c>
      <c r="E33" s="36" t="n">
        <v>44560</v>
      </c>
      <c r="F33" s="18" t="n">
        <f aca="false">SUMIFS(Ventas!$P$2:$P$1620,Ventas!$D$2:$D$1620,$A33)</f>
        <v>178211.46</v>
      </c>
      <c r="G33" s="18" t="n">
        <f aca="false">SUMIFS(Ventas!$U$2:$U$1620,Ventas!$D$2:$D$1620,$A33)</f>
        <v>49475.3993</v>
      </c>
      <c r="H33" s="19" t="n">
        <f aca="false">IFERROR(G33/F33,0)</f>
        <v>0.277621872914346</v>
      </c>
      <c r="I33" s="20" t="n">
        <f aca="false">SUMIFS(Ventas!$Y$2:$Y$1620,Ventas!$D$2:$D$1620,$A33)</f>
        <v>20</v>
      </c>
      <c r="J33" s="21" t="n">
        <f aca="false">IFERROR(F33/I33,0)</f>
        <v>8910.573</v>
      </c>
      <c r="K33" s="48" t="n">
        <f aca="false">_xlfn.MAXIFS(Ventas!$B$2:$B$1620,Ventas!$D$2:$D$1620,$A33)</f>
        <v>46149</v>
      </c>
      <c r="L33" s="18" t="n">
        <f aca="false">SUMIFS(Ventas!$P$2:$P$1620,Ventas!$D$2:$D$1620,$A33,Ventas!$X$2:$X$1620,"Pendiente")+SUMIFS(Ventas!$P$2:$P$1620,Ventas!$D$2:$D$1620,$A33,Ventas!$X$2:$X$1620,"Vencido")</f>
        <v>0</v>
      </c>
    </row>
    <row r="34" customFormat="false" ht="15" hidden="false" customHeight="false" outlineLevel="0" collapsed="false">
      <c r="A34" s="31" t="s">
        <v>223</v>
      </c>
      <c r="B34" s="31" t="s">
        <v>43</v>
      </c>
      <c r="C34" s="31" t="s">
        <v>46</v>
      </c>
      <c r="D34" s="31" t="s">
        <v>59</v>
      </c>
      <c r="E34" s="36" t="n">
        <v>45306</v>
      </c>
      <c r="F34" s="18" t="n">
        <f aca="false">SUMIFS(Ventas!$P$2:$P$1620,Ventas!$D$2:$D$1620,$A34)</f>
        <v>193214.43</v>
      </c>
      <c r="G34" s="18" t="n">
        <f aca="false">SUMIFS(Ventas!$U$2:$U$1620,Ventas!$D$2:$D$1620,$A34)</f>
        <v>57630.126</v>
      </c>
      <c r="H34" s="19" t="n">
        <f aca="false">IFERROR(G34/F34,0)</f>
        <v>0.29827029999778</v>
      </c>
      <c r="I34" s="20" t="n">
        <f aca="false">SUMIFS(Ventas!$Y$2:$Y$1620,Ventas!$D$2:$D$1620,$A34)</f>
        <v>24</v>
      </c>
      <c r="J34" s="21" t="n">
        <f aca="false">IFERROR(F34/I34,0)</f>
        <v>8050.60125</v>
      </c>
      <c r="K34" s="48" t="n">
        <f aca="false">_xlfn.MAXIFS(Ventas!$B$2:$B$1620,Ventas!$D$2:$D$1620,$A34)</f>
        <v>46183</v>
      </c>
      <c r="L34" s="18" t="n">
        <f aca="false">SUMIFS(Ventas!$P$2:$P$1620,Ventas!$D$2:$D$1620,$A34,Ventas!$X$2:$X$1620,"Pendiente")+SUMIFS(Ventas!$P$2:$P$1620,Ventas!$D$2:$D$1620,$A34,Ventas!$X$2:$X$1620,"Vencido")</f>
        <v>19754.524</v>
      </c>
    </row>
    <row r="35" customFormat="false" ht="15" hidden="false" customHeight="false" outlineLevel="0" collapsed="false">
      <c r="A35" s="31" t="s">
        <v>224</v>
      </c>
      <c r="B35" s="31" t="s">
        <v>43</v>
      </c>
      <c r="C35" s="31" t="s">
        <v>45</v>
      </c>
      <c r="D35" s="31" t="s">
        <v>59</v>
      </c>
      <c r="E35" s="36" t="n">
        <v>44106</v>
      </c>
      <c r="F35" s="18" t="n">
        <f aca="false">SUMIFS(Ventas!$P$2:$P$1620,Ventas!$D$2:$D$1620,$A35)</f>
        <v>215208.772</v>
      </c>
      <c r="G35" s="18" t="n">
        <f aca="false">SUMIFS(Ventas!$U$2:$U$1620,Ventas!$D$2:$D$1620,$A35)</f>
        <v>60258.15514</v>
      </c>
      <c r="H35" s="19" t="n">
        <f aca="false">IFERROR(G35/F35,0)</f>
        <v>0.279998601265194</v>
      </c>
      <c r="I35" s="20" t="n">
        <f aca="false">SUMIFS(Ventas!$Y$2:$Y$1620,Ventas!$D$2:$D$1620,$A35)</f>
        <v>29</v>
      </c>
      <c r="J35" s="21" t="n">
        <f aca="false">IFERROR(F35/I35,0)</f>
        <v>7420.99213793103</v>
      </c>
      <c r="K35" s="48" t="n">
        <f aca="false">_xlfn.MAXIFS(Ventas!$B$2:$B$1620,Ventas!$D$2:$D$1620,$A35)</f>
        <v>46202</v>
      </c>
      <c r="L35" s="18" t="n">
        <f aca="false">SUMIFS(Ventas!$P$2:$P$1620,Ventas!$D$2:$D$1620,$A35,Ventas!$X$2:$X$1620,"Pendiente")+SUMIFS(Ventas!$P$2:$P$1620,Ventas!$D$2:$D$1620,$A35,Ventas!$X$2:$X$1620,"Vencido")</f>
        <v>19608.158</v>
      </c>
    </row>
    <row r="36" customFormat="false" ht="15" hidden="false" customHeight="false" outlineLevel="0" collapsed="false">
      <c r="A36" s="31" t="s">
        <v>225</v>
      </c>
      <c r="B36" s="31" t="s">
        <v>43</v>
      </c>
      <c r="C36" s="31" t="s">
        <v>47</v>
      </c>
      <c r="D36" s="31" t="s">
        <v>59</v>
      </c>
      <c r="E36" s="36" t="n">
        <v>42728</v>
      </c>
      <c r="F36" s="18" t="n">
        <f aca="false">SUMIFS(Ventas!$P$2:$P$1620,Ventas!$D$2:$D$1620,$A36)</f>
        <v>145569.788</v>
      </c>
      <c r="G36" s="18" t="n">
        <f aca="false">SUMIFS(Ventas!$U$2:$U$1620,Ventas!$D$2:$D$1620,$A36)</f>
        <v>51202.38582</v>
      </c>
      <c r="H36" s="19" t="n">
        <f aca="false">IFERROR(G36/F36,0)</f>
        <v>0.351737723352321</v>
      </c>
      <c r="I36" s="20" t="n">
        <f aca="false">SUMIFS(Ventas!$Y$2:$Y$1620,Ventas!$D$2:$D$1620,$A36)</f>
        <v>23</v>
      </c>
      <c r="J36" s="21" t="n">
        <f aca="false">IFERROR(F36/I36,0)</f>
        <v>6329.1212173913</v>
      </c>
      <c r="K36" s="48" t="n">
        <f aca="false">_xlfn.MAXIFS(Ventas!$B$2:$B$1620,Ventas!$D$2:$D$1620,$A36)</f>
        <v>46167</v>
      </c>
      <c r="L36" s="18" t="n">
        <f aca="false">SUMIFS(Ventas!$P$2:$P$1620,Ventas!$D$2:$D$1620,$A36,Ventas!$X$2:$X$1620,"Pendiente")+SUMIFS(Ventas!$P$2:$P$1620,Ventas!$D$2:$D$1620,$A36,Ventas!$X$2:$X$1620,"Vencido")</f>
        <v>11216.336</v>
      </c>
    </row>
    <row r="37" customFormat="false" ht="15" hidden="false" customHeight="false" outlineLevel="0" collapsed="false">
      <c r="A37" s="31" t="s">
        <v>226</v>
      </c>
      <c r="B37" s="31" t="s">
        <v>43</v>
      </c>
      <c r="C37" s="31" t="s">
        <v>46</v>
      </c>
      <c r="D37" s="31" t="s">
        <v>59</v>
      </c>
      <c r="E37" s="36" t="n">
        <v>44651</v>
      </c>
      <c r="F37" s="18" t="n">
        <f aca="false">SUMIFS(Ventas!$P$2:$P$1620,Ventas!$D$2:$D$1620,$A37)</f>
        <v>177238.686</v>
      </c>
      <c r="G37" s="18" t="n">
        <f aca="false">SUMIFS(Ventas!$U$2:$U$1620,Ventas!$D$2:$D$1620,$A37)</f>
        <v>54406.83766</v>
      </c>
      <c r="H37" s="19" t="n">
        <f aca="false">IFERROR(G37/F37,0)</f>
        <v>0.306969312895944</v>
      </c>
      <c r="I37" s="20" t="n">
        <f aca="false">SUMIFS(Ventas!$Y$2:$Y$1620,Ventas!$D$2:$D$1620,$A37)</f>
        <v>21</v>
      </c>
      <c r="J37" s="21" t="n">
        <f aca="false">IFERROR(F37/I37,0)</f>
        <v>8439.93742857143</v>
      </c>
      <c r="K37" s="48" t="n">
        <f aca="false">_xlfn.MAXIFS(Ventas!$B$2:$B$1620,Ventas!$D$2:$D$1620,$A37)</f>
        <v>46199</v>
      </c>
      <c r="L37" s="18" t="n">
        <f aca="false">SUMIFS(Ventas!$P$2:$P$1620,Ventas!$D$2:$D$1620,$A37,Ventas!$X$2:$X$1620,"Pendiente")+SUMIFS(Ventas!$P$2:$P$1620,Ventas!$D$2:$D$1620,$A37,Ventas!$X$2:$X$1620,"Vencido")</f>
        <v>6631.531</v>
      </c>
    </row>
    <row r="38" customFormat="false" ht="15" hidden="false" customHeight="false" outlineLevel="0" collapsed="false">
      <c r="A38" s="31" t="s">
        <v>227</v>
      </c>
      <c r="B38" s="31" t="s">
        <v>43</v>
      </c>
      <c r="C38" s="31" t="s">
        <v>46</v>
      </c>
      <c r="D38" s="31" t="s">
        <v>59</v>
      </c>
      <c r="E38" s="36" t="n">
        <v>43143</v>
      </c>
      <c r="F38" s="18" t="n">
        <f aca="false">SUMIFS(Ventas!$P$2:$P$1620,Ventas!$D$2:$D$1620,$A38)</f>
        <v>84280.518</v>
      </c>
      <c r="G38" s="18" t="n">
        <f aca="false">SUMIFS(Ventas!$U$2:$U$1620,Ventas!$D$2:$D$1620,$A38)</f>
        <v>24989.61438</v>
      </c>
      <c r="H38" s="19" t="n">
        <f aca="false">IFERROR(G38/F38,0)</f>
        <v>0.296505230069896</v>
      </c>
      <c r="I38" s="20" t="n">
        <f aca="false">SUMIFS(Ventas!$Y$2:$Y$1620,Ventas!$D$2:$D$1620,$A38)</f>
        <v>12</v>
      </c>
      <c r="J38" s="21" t="n">
        <f aca="false">IFERROR(F38/I38,0)</f>
        <v>7023.3765</v>
      </c>
      <c r="K38" s="48" t="n">
        <f aca="false">_xlfn.MAXIFS(Ventas!$B$2:$B$1620,Ventas!$D$2:$D$1620,$A38)</f>
        <v>46202</v>
      </c>
      <c r="L38" s="18" t="n">
        <f aca="false">SUMIFS(Ventas!$P$2:$P$1620,Ventas!$D$2:$D$1620,$A38,Ventas!$X$2:$X$1620,"Pendiente")+SUMIFS(Ventas!$P$2:$P$1620,Ventas!$D$2:$D$1620,$A38,Ventas!$X$2:$X$1620,"Vencido")</f>
        <v>15888.858</v>
      </c>
    </row>
    <row r="39" customFormat="false" ht="15" hidden="false" customHeight="false" outlineLevel="0" collapsed="false">
      <c r="A39" s="31" t="s">
        <v>228</v>
      </c>
      <c r="B39" s="31" t="s">
        <v>43</v>
      </c>
      <c r="C39" s="31" t="s">
        <v>47</v>
      </c>
      <c r="D39" s="31" t="s">
        <v>59</v>
      </c>
      <c r="E39" s="36" t="n">
        <v>44162</v>
      </c>
      <c r="F39" s="18" t="n">
        <f aca="false">SUMIFS(Ventas!$P$2:$P$1620,Ventas!$D$2:$D$1620,$A39)</f>
        <v>104919.74</v>
      </c>
      <c r="G39" s="18" t="n">
        <f aca="false">SUMIFS(Ventas!$U$2:$U$1620,Ventas!$D$2:$D$1620,$A39)</f>
        <v>36678.0184</v>
      </c>
      <c r="H39" s="19" t="n">
        <f aca="false">IFERROR(G39/F39,0)</f>
        <v>0.34958167452569</v>
      </c>
      <c r="I39" s="20" t="n">
        <f aca="false">SUMIFS(Ventas!$Y$2:$Y$1620,Ventas!$D$2:$D$1620,$A39)</f>
        <v>19</v>
      </c>
      <c r="J39" s="21" t="n">
        <f aca="false">IFERROR(F39/I39,0)</f>
        <v>5522.09157894737</v>
      </c>
      <c r="K39" s="48" t="n">
        <f aca="false">_xlfn.MAXIFS(Ventas!$B$2:$B$1620,Ventas!$D$2:$D$1620,$A39)</f>
        <v>46195</v>
      </c>
      <c r="L39" s="18" t="n">
        <f aca="false">SUMIFS(Ventas!$P$2:$P$1620,Ventas!$D$2:$D$1620,$A39,Ventas!$X$2:$X$1620,"Pendiente")+SUMIFS(Ventas!$P$2:$P$1620,Ventas!$D$2:$D$1620,$A39,Ventas!$X$2:$X$1620,"Vencido")</f>
        <v>10354.1125</v>
      </c>
    </row>
    <row r="40" customFormat="false" ht="15" hidden="false" customHeight="false" outlineLevel="0" collapsed="false">
      <c r="A40" s="22" t="s">
        <v>38</v>
      </c>
      <c r="B40" s="47"/>
      <c r="C40" s="47"/>
      <c r="D40" s="47"/>
      <c r="E40" s="47"/>
      <c r="F40" s="23" t="n">
        <f aca="false">SUM(F2:F39)</f>
        <v>6469595.42</v>
      </c>
      <c r="G40" s="23" t="n">
        <f aca="false">SUM(G2:G39)</f>
        <v>1994724.8121875</v>
      </c>
      <c r="H40" s="24" t="n">
        <f aca="false">IFERROR(G40/F40,0)</f>
        <v>0.308322960354065</v>
      </c>
      <c r="I40" s="25" t="n">
        <f aca="false">SUM(I2:I39)</f>
        <v>868</v>
      </c>
      <c r="J40" s="23" t="n">
        <f aca="false">IFERROR(F40/I40,0)</f>
        <v>7453.45094470046</v>
      </c>
      <c r="K40" s="47"/>
      <c r="L40" s="23" t="n">
        <f aca="false">SUM(L2:L39)</f>
        <v>767517.9375</v>
      </c>
    </row>
  </sheetData>
  <autoFilter ref="A1:L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4"/>
    <col collapsed="false" customWidth="true" hidden="false" outlineLevel="0" max="10" min="10" style="0" width="14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8" min="16" style="0" width="13"/>
    <col collapsed="false" customWidth="true" hidden="false" outlineLevel="0" max="20" min="19" style="0" width="11"/>
    <col collapsed="false" customWidth="true" hidden="false" outlineLevel="0" max="21" min="21" style="0" width="13"/>
    <col collapsed="false" customWidth="true" hidden="false" outlineLevel="0" max="22" min="22" style="0" width="9"/>
    <col collapsed="false" customWidth="true" hidden="false" outlineLevel="0" max="23" min="23" style="0" width="11"/>
    <col collapsed="false" customWidth="true" hidden="false" outlineLevel="0" max="24" min="24" style="0" width="13"/>
    <col collapsed="false" customWidth="true" hidden="false" outlineLevel="0" max="25" min="25" style="0" width="11"/>
  </cols>
  <sheetData>
    <row r="1" customFormat="false" ht="30" hidden="false" customHeight="true" outlineLevel="0" collapsed="false">
      <c r="A1" s="45" t="s">
        <v>229</v>
      </c>
      <c r="B1" s="45" t="s">
        <v>230</v>
      </c>
      <c r="C1" s="45" t="s">
        <v>31</v>
      </c>
      <c r="D1" s="45" t="s">
        <v>72</v>
      </c>
      <c r="E1" s="45" t="s">
        <v>6</v>
      </c>
      <c r="F1" s="45" t="s">
        <v>9</v>
      </c>
      <c r="G1" s="45" t="s">
        <v>57</v>
      </c>
      <c r="H1" s="45" t="s">
        <v>154</v>
      </c>
      <c r="I1" s="45" t="s">
        <v>231</v>
      </c>
      <c r="J1" s="45" t="s">
        <v>50</v>
      </c>
      <c r="K1" s="45" t="s">
        <v>232</v>
      </c>
      <c r="L1" s="45" t="s">
        <v>233</v>
      </c>
      <c r="M1" s="45" t="s">
        <v>234</v>
      </c>
      <c r="N1" s="45" t="s">
        <v>235</v>
      </c>
      <c r="O1" s="45" t="s">
        <v>236</v>
      </c>
      <c r="P1" s="45" t="s">
        <v>32</v>
      </c>
      <c r="Q1" s="45" t="s">
        <v>237</v>
      </c>
      <c r="R1" s="45" t="s">
        <v>238</v>
      </c>
      <c r="S1" s="45" t="s">
        <v>239</v>
      </c>
      <c r="T1" s="45" t="s">
        <v>240</v>
      </c>
      <c r="U1" s="45" t="s">
        <v>241</v>
      </c>
      <c r="V1" s="45" t="s">
        <v>35</v>
      </c>
      <c r="W1" s="45" t="s">
        <v>242</v>
      </c>
      <c r="X1" s="45" t="s">
        <v>243</v>
      </c>
      <c r="Y1" s="45" t="s">
        <v>244</v>
      </c>
    </row>
    <row r="2" customFormat="false" ht="15" hidden="false" customHeight="false" outlineLevel="0" collapsed="false">
      <c r="A2" s="31" t="s">
        <v>245</v>
      </c>
      <c r="B2" s="36" t="n">
        <v>45660</v>
      </c>
      <c r="C2" s="49" t="n">
        <f aca="false">DATE(YEAR(B2),MONTH(B2),1)</f>
        <v>45658</v>
      </c>
      <c r="D2" s="31" t="s">
        <v>225</v>
      </c>
      <c r="E2" s="31" t="s">
        <v>43</v>
      </c>
      <c r="F2" s="31" t="s">
        <v>47</v>
      </c>
      <c r="G2" s="31" t="s">
        <v>59</v>
      </c>
      <c r="H2" s="31" t="s">
        <v>183</v>
      </c>
      <c r="I2" s="32" t="str">
        <f aca="false">INDEX(Productos!$B$2:$B$13,MATCH($H2,Productos!$A$2:$A$13,0))</f>
        <v>Tornillo estructural M16x90 clase 10.9</v>
      </c>
      <c r="J2" s="32" t="str">
        <f aca="false">INDEX(Productos!$C$2:$C$13,MATCH($H2,Productos!$A$2:$A$13,0))</f>
        <v>Especial</v>
      </c>
      <c r="K2" s="31" t="s">
        <v>246</v>
      </c>
      <c r="L2" s="46" t="n">
        <v>55</v>
      </c>
      <c r="M2" s="50" t="n">
        <f aca="false">INDEX(Productos!$F$2:$F$13,MATCH($H2,Productos!$A$2:$A$13,0))</f>
        <v>112</v>
      </c>
      <c r="N2" s="51" t="n">
        <v>0.091</v>
      </c>
      <c r="O2" s="52" t="n">
        <f aca="false">M2*(1-N2)</f>
        <v>101.808</v>
      </c>
      <c r="P2" s="21" t="n">
        <f aca="false">L2*O2</f>
        <v>5599.44</v>
      </c>
      <c r="Q2" s="50" t="n">
        <f aca="false">INDEX(Productos!$E$2:$E$13,MATCH($H2,Productos!$A$2:$A$13,0))*INDEX(Parametros!$B$26:$B$43,MATCH($C2,Parametros!$A$26:$A$43,0))</f>
        <v>60.78</v>
      </c>
      <c r="R2" s="21" t="n">
        <f aca="false">L2*Q2</f>
        <v>3342.9</v>
      </c>
      <c r="S2" s="18" t="n">
        <f aca="false">L2*INDEX(Parametros!$B$20:$B$22,MATCH($E2,Parametros!$A$20:$A$22,0))</f>
        <v>104.5</v>
      </c>
      <c r="T2" s="18" t="n">
        <f aca="false">P2*INDEX(Parametros!$B$13:$B$16,MATCH($F2,Parametros!$A$13:$A$16,0))</f>
        <v>195.9804</v>
      </c>
      <c r="U2" s="21" t="n">
        <f aca="false">P2-R2-S2-T2</f>
        <v>1956.0596</v>
      </c>
      <c r="V2" s="19" t="n">
        <f aca="false">IFERROR(U2/P2,0)</f>
        <v>0.349331290271885</v>
      </c>
      <c r="W2" s="48" t="n">
        <f aca="false">B2+INDEX(Parametros!$C$13:$C$16,MATCH($F2,Parametros!$A$13:$A$16,0))</f>
        <v>45705</v>
      </c>
      <c r="X2" s="31" t="s">
        <v>67</v>
      </c>
      <c r="Y2" s="53" t="n">
        <f aca="false">IF(COUNTIF($A$2:$A2,A2)=1,1,0)</f>
        <v>1</v>
      </c>
    </row>
    <row r="3" customFormat="false" ht="15" hidden="false" customHeight="false" outlineLevel="0" collapsed="false">
      <c r="A3" s="31" t="s">
        <v>245</v>
      </c>
      <c r="B3" s="36" t="n">
        <v>45660</v>
      </c>
      <c r="C3" s="49" t="n">
        <f aca="false">DATE(YEAR(B3),MONTH(B3),1)</f>
        <v>45658</v>
      </c>
      <c r="D3" s="31" t="s">
        <v>225</v>
      </c>
      <c r="E3" s="31" t="s">
        <v>43</v>
      </c>
      <c r="F3" s="31" t="s">
        <v>47</v>
      </c>
      <c r="G3" s="31" t="s">
        <v>59</v>
      </c>
      <c r="H3" s="31" t="s">
        <v>163</v>
      </c>
      <c r="I3" s="32" t="str">
        <f aca="false">INDEX(Productos!$B$2:$B$13,MATCH($H3,Productos!$A$2:$A$13,0))</f>
        <v>Tornillo DIN 933 M6x30 rosca completa zincado</v>
      </c>
      <c r="J3" s="32" t="str">
        <f aca="false">INDEX(Productos!$C$2:$C$13,MATCH($H3,Productos!$A$2:$A$13,0))</f>
        <v>Métrica</v>
      </c>
      <c r="K3" s="31" t="s">
        <v>246</v>
      </c>
      <c r="L3" s="46" t="n">
        <v>174</v>
      </c>
      <c r="M3" s="50" t="n">
        <f aca="false">INDEX(Productos!$F$2:$F$13,MATCH($H3,Productos!$A$2:$A$13,0))</f>
        <v>32</v>
      </c>
      <c r="N3" s="51" t="n">
        <v>0.075</v>
      </c>
      <c r="O3" s="52" t="n">
        <f aca="false">M3*(1-N3)</f>
        <v>29.6</v>
      </c>
      <c r="P3" s="21" t="n">
        <f aca="false">L3*O3</f>
        <v>5150.4</v>
      </c>
      <c r="Q3" s="50" t="n">
        <f aca="false">INDEX(Productos!$E$2:$E$13,MATCH($H3,Productos!$A$2:$A$13,0))*INDEX(Parametros!$B$26:$B$43,MATCH($C3,Parametros!$A$26:$A$43,0))</f>
        <v>16.8158</v>
      </c>
      <c r="R3" s="21" t="n">
        <f aca="false">L3*Q3</f>
        <v>2925.9492</v>
      </c>
      <c r="S3" s="18" t="n">
        <f aca="false">L3*INDEX(Parametros!$B$20:$B$22,MATCH($E3,Parametros!$A$20:$A$22,0))</f>
        <v>330.6</v>
      </c>
      <c r="T3" s="18" t="n">
        <f aca="false">P3*INDEX(Parametros!$B$13:$B$16,MATCH($F3,Parametros!$A$13:$A$16,0))</f>
        <v>180.264</v>
      </c>
      <c r="U3" s="21" t="n">
        <f aca="false">P3-R3-S3-T3</f>
        <v>1713.5868</v>
      </c>
      <c r="V3" s="19" t="n">
        <f aca="false">IFERROR(U3/P3,0)</f>
        <v>0.33270945945946</v>
      </c>
      <c r="W3" s="48" t="n">
        <f aca="false">B3+INDEX(Parametros!$C$13:$C$16,MATCH($F3,Parametros!$A$13:$A$16,0))</f>
        <v>45705</v>
      </c>
      <c r="X3" s="31" t="s">
        <v>67</v>
      </c>
      <c r="Y3" s="53" t="n">
        <f aca="false">IF(COUNTIF($A$2:$A3,A3)=1,1,0)</f>
        <v>0</v>
      </c>
    </row>
    <row r="4" customFormat="false" ht="15" hidden="false" customHeight="false" outlineLevel="0" collapsed="false">
      <c r="A4" s="31" t="s">
        <v>245</v>
      </c>
      <c r="B4" s="36" t="n">
        <v>45660</v>
      </c>
      <c r="C4" s="49" t="n">
        <f aca="false">DATE(YEAR(B4),MONTH(B4),1)</f>
        <v>45658</v>
      </c>
      <c r="D4" s="31" t="s">
        <v>225</v>
      </c>
      <c r="E4" s="31" t="s">
        <v>43</v>
      </c>
      <c r="F4" s="31" t="s">
        <v>47</v>
      </c>
      <c r="G4" s="31" t="s">
        <v>59</v>
      </c>
      <c r="H4" s="31" t="s">
        <v>185</v>
      </c>
      <c r="I4" s="32" t="str">
        <f aca="false">INDEX(Productos!$B$2:$B$13,MATCH($H4,Productos!$A$2:$A$13,0))</f>
        <v>Varilla roscada M10 x 1 m zincada</v>
      </c>
      <c r="J4" s="32" t="str">
        <f aca="false">INDEX(Productos!$C$2:$C$13,MATCH($H4,Productos!$A$2:$A$13,0))</f>
        <v>Especial</v>
      </c>
      <c r="K4" s="31" t="s">
        <v>246</v>
      </c>
      <c r="L4" s="46" t="n">
        <v>102</v>
      </c>
      <c r="M4" s="50" t="n">
        <f aca="false">INDEX(Productos!$F$2:$F$13,MATCH($H4,Productos!$A$2:$A$13,0))</f>
        <v>54</v>
      </c>
      <c r="N4" s="51" t="n">
        <v>0.091</v>
      </c>
      <c r="O4" s="52" t="n">
        <f aca="false">M4*(1-N4)</f>
        <v>49.086</v>
      </c>
      <c r="P4" s="21" t="n">
        <f aca="false">L4*O4</f>
        <v>5006.772</v>
      </c>
      <c r="Q4" s="50" t="n">
        <f aca="false">INDEX(Productos!$E$2:$E$13,MATCH($H4,Productos!$A$2:$A$13,0))*INDEX(Parametros!$B$26:$B$43,MATCH($C4,Parametros!$A$26:$A$43,0))</f>
        <v>28.8705</v>
      </c>
      <c r="R4" s="21" t="n">
        <f aca="false">L4*Q4</f>
        <v>2944.791</v>
      </c>
      <c r="S4" s="18" t="n">
        <f aca="false">L4*INDEX(Parametros!$B$20:$B$22,MATCH($E4,Parametros!$A$20:$A$22,0))</f>
        <v>193.8</v>
      </c>
      <c r="T4" s="18" t="n">
        <f aca="false">P4*INDEX(Parametros!$B$13:$B$16,MATCH($F4,Parametros!$A$13:$A$16,0))</f>
        <v>175.23702</v>
      </c>
      <c r="U4" s="21" t="n">
        <f aca="false">P4-R4-S4-T4</f>
        <v>1692.94398</v>
      </c>
      <c r="V4" s="19" t="n">
        <f aca="false">IFERROR(U4/P4,0)</f>
        <v>0.338130831601679</v>
      </c>
      <c r="W4" s="48" t="n">
        <f aca="false">B4+INDEX(Parametros!$C$13:$C$16,MATCH($F4,Parametros!$A$13:$A$16,0))</f>
        <v>45705</v>
      </c>
      <c r="X4" s="31" t="s">
        <v>67</v>
      </c>
      <c r="Y4" s="53" t="n">
        <f aca="false">IF(COUNTIF($A$2:$A4,A4)=1,1,0)</f>
        <v>0</v>
      </c>
    </row>
    <row r="5" customFormat="false" ht="15" hidden="false" customHeight="false" outlineLevel="0" collapsed="false">
      <c r="A5" s="31" t="s">
        <v>247</v>
      </c>
      <c r="B5" s="36" t="n">
        <v>45663</v>
      </c>
      <c r="C5" s="49" t="n">
        <f aca="false">DATE(YEAR(B5),MONTH(B5),1)</f>
        <v>45658</v>
      </c>
      <c r="D5" s="31" t="s">
        <v>223</v>
      </c>
      <c r="E5" s="31" t="s">
        <v>43</v>
      </c>
      <c r="F5" s="31" t="s">
        <v>46</v>
      </c>
      <c r="G5" s="31" t="s">
        <v>59</v>
      </c>
      <c r="H5" s="31" t="s">
        <v>173</v>
      </c>
      <c r="I5" s="32" t="str">
        <f aca="false">INDEX(Productos!$B$2:$B$13,MATCH($H5,Productos!$A$2:$A$13,0))</f>
        <v>Tornillo DIN 933 M12x70 clase 8.8</v>
      </c>
      <c r="J5" s="32" t="str">
        <f aca="false">INDEX(Productos!$C$2:$C$13,MATCH($H5,Productos!$A$2:$A$13,0))</f>
        <v>Métrica</v>
      </c>
      <c r="K5" s="31" t="s">
        <v>246</v>
      </c>
      <c r="L5" s="46" t="n">
        <v>110</v>
      </c>
      <c r="M5" s="50" t="n">
        <f aca="false">INDEX(Productos!$F$2:$F$13,MATCH($H5,Productos!$A$2:$A$13,0))</f>
        <v>64</v>
      </c>
      <c r="N5" s="51" t="n">
        <v>0.175</v>
      </c>
      <c r="O5" s="52" t="n">
        <f aca="false">M5*(1-N5)</f>
        <v>52.8</v>
      </c>
      <c r="P5" s="21" t="n">
        <f aca="false">L5*O5</f>
        <v>5808</v>
      </c>
      <c r="Q5" s="50" t="n">
        <f aca="false">INDEX(Productos!$E$2:$E$13,MATCH($H5,Productos!$A$2:$A$13,0))*INDEX(Parametros!$B$26:$B$43,MATCH($C5,Parametros!$A$26:$A$43,0))</f>
        <v>33.9355</v>
      </c>
      <c r="R5" s="21" t="n">
        <f aca="false">L5*Q5</f>
        <v>3732.905</v>
      </c>
      <c r="S5" s="18" t="n">
        <f aca="false">L5*INDEX(Parametros!$B$20:$B$22,MATCH($E5,Parametros!$A$20:$A$22,0))</f>
        <v>209</v>
      </c>
      <c r="T5" s="18" t="n">
        <f aca="false">P5*INDEX(Parametros!$B$13:$B$16,MATCH($F5,Parametros!$A$13:$A$16,0))</f>
        <v>232.32</v>
      </c>
      <c r="U5" s="21" t="n">
        <f aca="false">P5-R5-S5-T5</f>
        <v>1633.775</v>
      </c>
      <c r="V5" s="19" t="n">
        <f aca="false">IFERROR(U5/P5,0)</f>
        <v>0.281297348484849</v>
      </c>
      <c r="W5" s="48" t="n">
        <f aca="false">B5+INDEX(Parametros!$C$13:$C$16,MATCH($F5,Parametros!$A$13:$A$16,0))</f>
        <v>45738</v>
      </c>
      <c r="X5" s="31" t="s">
        <v>67</v>
      </c>
      <c r="Y5" s="53" t="n">
        <f aca="false">IF(COUNTIF($A$2:$A5,A5)=1,1,0)</f>
        <v>1</v>
      </c>
    </row>
    <row r="6" customFormat="false" ht="15" hidden="false" customHeight="false" outlineLevel="0" collapsed="false">
      <c r="A6" s="31" t="s">
        <v>247</v>
      </c>
      <c r="B6" s="36" t="n">
        <v>45663</v>
      </c>
      <c r="C6" s="49" t="n">
        <f aca="false">DATE(YEAR(B6),MONTH(B6),1)</f>
        <v>45658</v>
      </c>
      <c r="D6" s="31" t="s">
        <v>223</v>
      </c>
      <c r="E6" s="31" t="s">
        <v>43</v>
      </c>
      <c r="F6" s="31" t="s">
        <v>46</v>
      </c>
      <c r="G6" s="31" t="s">
        <v>59</v>
      </c>
      <c r="H6" s="31" t="s">
        <v>181</v>
      </c>
      <c r="I6" s="32" t="str">
        <f aca="false">INDEX(Productos!$B$2:$B$13,MATCH($H6,Productos!$A$2:$A$13,0))</f>
        <v>Autotaladrante 5,5x55 punta broca</v>
      </c>
      <c r="J6" s="32" t="str">
        <f aca="false">INDEX(Productos!$C$2:$C$13,MATCH($H6,Productos!$A$2:$A$13,0))</f>
        <v>Autotaladrante</v>
      </c>
      <c r="K6" s="31" t="s">
        <v>246</v>
      </c>
      <c r="L6" s="46" t="n">
        <v>88</v>
      </c>
      <c r="M6" s="50" t="n">
        <f aca="false">INDEX(Productos!$F$2:$F$13,MATCH($H6,Productos!$A$2:$A$13,0))</f>
        <v>39</v>
      </c>
      <c r="N6" s="51" t="n">
        <v>0.152</v>
      </c>
      <c r="O6" s="52" t="n">
        <f aca="false">M6*(1-N6)</f>
        <v>33.072</v>
      </c>
      <c r="P6" s="21" t="n">
        <f aca="false">L6*O6</f>
        <v>2910.336</v>
      </c>
      <c r="Q6" s="50" t="n">
        <f aca="false">INDEX(Productos!$E$2:$E$13,MATCH($H6,Productos!$A$2:$A$13,0))*INDEX(Parametros!$B$26:$B$43,MATCH($C6,Parametros!$A$26:$A$43,0))</f>
        <v>20.5639</v>
      </c>
      <c r="R6" s="21" t="n">
        <f aca="false">L6*Q6</f>
        <v>1809.6232</v>
      </c>
      <c r="S6" s="18" t="n">
        <f aca="false">L6*INDEX(Parametros!$B$20:$B$22,MATCH($E6,Parametros!$A$20:$A$22,0))</f>
        <v>167.2</v>
      </c>
      <c r="T6" s="18" t="n">
        <f aca="false">P6*INDEX(Parametros!$B$13:$B$16,MATCH($F6,Parametros!$A$13:$A$16,0))</f>
        <v>116.41344</v>
      </c>
      <c r="U6" s="21" t="n">
        <f aca="false">P6-R6-S6-T6</f>
        <v>817.09936</v>
      </c>
      <c r="V6" s="19" t="n">
        <f aca="false">IFERROR(U6/P6,0)</f>
        <v>0.280757740686986</v>
      </c>
      <c r="W6" s="48" t="n">
        <f aca="false">B6+INDEX(Parametros!$C$13:$C$16,MATCH($F6,Parametros!$A$13:$A$16,0))</f>
        <v>45738</v>
      </c>
      <c r="X6" s="31" t="s">
        <v>67</v>
      </c>
      <c r="Y6" s="53" t="n">
        <f aca="false">IF(COUNTIF($A$2:$A6,A6)=1,1,0)</f>
        <v>0</v>
      </c>
    </row>
    <row r="7" customFormat="false" ht="15" hidden="false" customHeight="false" outlineLevel="0" collapsed="false">
      <c r="A7" s="31" t="s">
        <v>247</v>
      </c>
      <c r="B7" s="36" t="n">
        <v>45663</v>
      </c>
      <c r="C7" s="49" t="n">
        <f aca="false">DATE(YEAR(B7),MONTH(B7),1)</f>
        <v>45658</v>
      </c>
      <c r="D7" s="31" t="s">
        <v>223</v>
      </c>
      <c r="E7" s="31" t="s">
        <v>43</v>
      </c>
      <c r="F7" s="31" t="s">
        <v>46</v>
      </c>
      <c r="G7" s="31" t="s">
        <v>59</v>
      </c>
      <c r="H7" s="31" t="s">
        <v>175</v>
      </c>
      <c r="I7" s="32" t="str">
        <f aca="false">INDEX(Productos!$B$2:$B$13,MATCH($H7,Productos!$A$2:$A$13,0))</f>
        <v>Tirafondo madera 5x60 cabeza plana Torx</v>
      </c>
      <c r="J7" s="32" t="str">
        <f aca="false">INDEX(Productos!$C$2:$C$13,MATCH($H7,Productos!$A$2:$A$13,0))</f>
        <v>Madera</v>
      </c>
      <c r="K7" s="31" t="s">
        <v>246</v>
      </c>
      <c r="L7" s="46" t="n">
        <v>84</v>
      </c>
      <c r="M7" s="50" t="n">
        <f aca="false">INDEX(Productos!$F$2:$F$13,MATCH($H7,Productos!$A$2:$A$13,0))</f>
        <v>26</v>
      </c>
      <c r="N7" s="51" t="n">
        <v>0.122</v>
      </c>
      <c r="O7" s="52" t="n">
        <f aca="false">M7*(1-N7)</f>
        <v>22.828</v>
      </c>
      <c r="P7" s="21" t="n">
        <f aca="false">L7*O7</f>
        <v>1917.552</v>
      </c>
      <c r="Q7" s="50" t="n">
        <f aca="false">INDEX(Productos!$E$2:$E$13,MATCH($H7,Productos!$A$2:$A$13,0))*INDEX(Parametros!$B$26:$B$43,MATCH($C7,Parametros!$A$26:$A$43,0))</f>
        <v>13.5742</v>
      </c>
      <c r="R7" s="21" t="n">
        <f aca="false">L7*Q7</f>
        <v>1140.2328</v>
      </c>
      <c r="S7" s="18" t="n">
        <f aca="false">L7*INDEX(Parametros!$B$20:$B$22,MATCH($E7,Parametros!$A$20:$A$22,0))</f>
        <v>159.6</v>
      </c>
      <c r="T7" s="18" t="n">
        <f aca="false">P7*INDEX(Parametros!$B$13:$B$16,MATCH($F7,Parametros!$A$13:$A$16,0))</f>
        <v>76.70208</v>
      </c>
      <c r="U7" s="21" t="n">
        <f aca="false">P7-R7-S7-T7</f>
        <v>541.01712</v>
      </c>
      <c r="V7" s="19" t="n">
        <f aca="false">IFERROR(U7/P7,0)</f>
        <v>0.282139477834239</v>
      </c>
      <c r="W7" s="48" t="n">
        <f aca="false">B7+INDEX(Parametros!$C$13:$C$16,MATCH($F7,Parametros!$A$13:$A$16,0))</f>
        <v>45738</v>
      </c>
      <c r="X7" s="31" t="s">
        <v>67</v>
      </c>
      <c r="Y7" s="53" t="n">
        <f aca="false">IF(COUNTIF($A$2:$A7,A7)=1,1,0)</f>
        <v>0</v>
      </c>
    </row>
    <row r="8" customFormat="false" ht="15" hidden="false" customHeight="false" outlineLevel="0" collapsed="false">
      <c r="A8" s="31" t="s">
        <v>248</v>
      </c>
      <c r="B8" s="36" t="n">
        <v>45663</v>
      </c>
      <c r="C8" s="49" t="n">
        <f aca="false">DATE(YEAR(B8),MONTH(B8),1)</f>
        <v>45658</v>
      </c>
      <c r="D8" s="31" t="s">
        <v>205</v>
      </c>
      <c r="E8" s="31" t="s">
        <v>41</v>
      </c>
      <c r="F8" s="31" t="s">
        <v>45</v>
      </c>
      <c r="G8" s="31" t="s">
        <v>62</v>
      </c>
      <c r="H8" s="31" t="s">
        <v>183</v>
      </c>
      <c r="I8" s="32" t="str">
        <f aca="false">INDEX(Productos!$B$2:$B$13,MATCH($H8,Productos!$A$2:$A$13,0))</f>
        <v>Tornillo estructural M16x90 clase 10.9</v>
      </c>
      <c r="J8" s="32" t="str">
        <f aca="false">INDEX(Productos!$C$2:$C$13,MATCH($H8,Productos!$A$2:$A$13,0))</f>
        <v>Especial</v>
      </c>
      <c r="K8" s="31" t="s">
        <v>246</v>
      </c>
      <c r="L8" s="46" t="n">
        <v>60</v>
      </c>
      <c r="M8" s="50" t="n">
        <f aca="false">INDEX(Productos!$F$2:$F$13,MATCH($H8,Productos!$A$2:$A$13,0))</f>
        <v>112</v>
      </c>
      <c r="N8" s="51" t="n">
        <v>0.17</v>
      </c>
      <c r="O8" s="52" t="n">
        <f aca="false">M8*(1-N8)</f>
        <v>92.96</v>
      </c>
      <c r="P8" s="21" t="n">
        <f aca="false">L8*O8</f>
        <v>5577.6</v>
      </c>
      <c r="Q8" s="50" t="n">
        <f aca="false">INDEX(Productos!$E$2:$E$13,MATCH($H8,Productos!$A$2:$A$13,0))*INDEX(Parametros!$B$26:$B$43,MATCH($C8,Parametros!$A$26:$A$43,0))</f>
        <v>60.78</v>
      </c>
      <c r="R8" s="21" t="n">
        <f aca="false">L8*Q8</f>
        <v>3646.8</v>
      </c>
      <c r="S8" s="18" t="n">
        <f aca="false">L8*INDEX(Parametros!$B$20:$B$22,MATCH($E8,Parametros!$A$20:$A$22,0))</f>
        <v>51</v>
      </c>
      <c r="T8" s="18" t="n">
        <f aca="false">P8*INDEX(Parametros!$B$13:$B$16,MATCH($F8,Parametros!$A$13:$A$16,0))</f>
        <v>167.328</v>
      </c>
      <c r="U8" s="21" t="n">
        <f aca="false">P8-R8-S8-T8</f>
        <v>1712.472</v>
      </c>
      <c r="V8" s="19" t="n">
        <f aca="false">IFERROR(U8/P8,0)</f>
        <v>0.307026678141136</v>
      </c>
      <c r="W8" s="48" t="n">
        <f aca="false">B8+INDEX(Parametros!$C$13:$C$16,MATCH($F8,Parametros!$A$13:$A$16,0))</f>
        <v>45723</v>
      </c>
      <c r="X8" s="31" t="s">
        <v>67</v>
      </c>
      <c r="Y8" s="53" t="n">
        <f aca="false">IF(COUNTIF($A$2:$A8,A8)=1,1,0)</f>
        <v>1</v>
      </c>
    </row>
    <row r="9" customFormat="false" ht="15" hidden="false" customHeight="false" outlineLevel="0" collapsed="false">
      <c r="A9" s="31" t="s">
        <v>248</v>
      </c>
      <c r="B9" s="36" t="n">
        <v>45663</v>
      </c>
      <c r="C9" s="49" t="n">
        <f aca="false">DATE(YEAR(B9),MONTH(B9),1)</f>
        <v>45658</v>
      </c>
      <c r="D9" s="31" t="s">
        <v>205</v>
      </c>
      <c r="E9" s="31" t="s">
        <v>41</v>
      </c>
      <c r="F9" s="31" t="s">
        <v>45</v>
      </c>
      <c r="G9" s="31" t="s">
        <v>62</v>
      </c>
      <c r="H9" s="31" t="s">
        <v>165</v>
      </c>
      <c r="I9" s="32" t="str">
        <f aca="false">INDEX(Productos!$B$2:$B$13,MATCH($H9,Productos!$A$2:$A$13,0))</f>
        <v>Tornillo DIN 933 M8x40 rosca completa zincado</v>
      </c>
      <c r="J9" s="32" t="str">
        <f aca="false">INDEX(Productos!$C$2:$C$13,MATCH($H9,Productos!$A$2:$A$13,0))</f>
        <v>Métrica</v>
      </c>
      <c r="K9" s="31" t="s">
        <v>246</v>
      </c>
      <c r="L9" s="46" t="n">
        <v>118</v>
      </c>
      <c r="M9" s="50" t="n">
        <f aca="false">INDEX(Productos!$F$2:$F$13,MATCH($H9,Productos!$A$2:$A$13,0))</f>
        <v>37.5</v>
      </c>
      <c r="N9" s="51" t="n">
        <v>0.134</v>
      </c>
      <c r="O9" s="52" t="n">
        <f aca="false">M9*(1-N9)</f>
        <v>32.475</v>
      </c>
      <c r="P9" s="21" t="n">
        <f aca="false">L9*O9</f>
        <v>3832.05</v>
      </c>
      <c r="Q9" s="50" t="n">
        <f aca="false">INDEX(Productos!$E$2:$E$13,MATCH($H9,Productos!$A$2:$A$13,0))*INDEX(Parametros!$B$26:$B$43,MATCH($C9,Parametros!$A$26:$A$43,0))</f>
        <v>19.6522</v>
      </c>
      <c r="R9" s="21" t="n">
        <f aca="false">L9*Q9</f>
        <v>2318.9596</v>
      </c>
      <c r="S9" s="18" t="n">
        <f aca="false">L9*INDEX(Parametros!$B$20:$B$22,MATCH($E9,Parametros!$A$20:$A$22,0))</f>
        <v>100.3</v>
      </c>
      <c r="T9" s="18" t="n">
        <f aca="false">P9*INDEX(Parametros!$B$13:$B$16,MATCH($F9,Parametros!$A$13:$A$16,0))</f>
        <v>114.9615</v>
      </c>
      <c r="U9" s="21" t="n">
        <f aca="false">P9-R9-S9-T9</f>
        <v>1297.8289</v>
      </c>
      <c r="V9" s="19" t="n">
        <f aca="false">IFERROR(U9/P9,0)</f>
        <v>0.338677444187837</v>
      </c>
      <c r="W9" s="48" t="n">
        <f aca="false">B9+INDEX(Parametros!$C$13:$C$16,MATCH($F9,Parametros!$A$13:$A$16,0))</f>
        <v>45723</v>
      </c>
      <c r="X9" s="31" t="s">
        <v>67</v>
      </c>
      <c r="Y9" s="53" t="n">
        <f aca="false">IF(COUNTIF($A$2:$A9,A9)=1,1,0)</f>
        <v>0</v>
      </c>
    </row>
    <row r="10" customFormat="false" ht="15" hidden="false" customHeight="false" outlineLevel="0" collapsed="false">
      <c r="A10" s="31" t="s">
        <v>249</v>
      </c>
      <c r="B10" s="36" t="n">
        <v>45663</v>
      </c>
      <c r="C10" s="49" t="n">
        <f aca="false">DATE(YEAR(B10),MONTH(B10),1)</f>
        <v>45658</v>
      </c>
      <c r="D10" s="31" t="s">
        <v>212</v>
      </c>
      <c r="E10" s="31" t="s">
        <v>42</v>
      </c>
      <c r="F10" s="31" t="s">
        <v>45</v>
      </c>
      <c r="G10" s="31" t="s">
        <v>61</v>
      </c>
      <c r="H10" s="31" t="s">
        <v>171</v>
      </c>
      <c r="I10" s="32" t="str">
        <f aca="false">INDEX(Productos!$B$2:$B$13,MATCH($H10,Productos!$A$2:$A$13,0))</f>
        <v>Tornillo DIN 7991 M8x30 avellanado inox A2</v>
      </c>
      <c r="J10" s="32" t="str">
        <f aca="false">INDEX(Productos!$C$2:$C$13,MATCH($H10,Productos!$A$2:$A$13,0))</f>
        <v>Inoxidable</v>
      </c>
      <c r="K10" s="31" t="s">
        <v>246</v>
      </c>
      <c r="L10" s="46" t="n">
        <v>58</v>
      </c>
      <c r="M10" s="50" t="n">
        <f aca="false">INDEX(Productos!$F$2:$F$13,MATCH($H10,Productos!$A$2:$A$13,0))</f>
        <v>88</v>
      </c>
      <c r="N10" s="51" t="n">
        <v>0.124</v>
      </c>
      <c r="O10" s="52" t="n">
        <f aca="false">M10*(1-N10)</f>
        <v>77.088</v>
      </c>
      <c r="P10" s="21" t="n">
        <f aca="false">L10*O10</f>
        <v>4471.104</v>
      </c>
      <c r="Q10" s="50" t="n">
        <f aca="false">INDEX(Productos!$E$2:$E$13,MATCH($H10,Productos!$A$2:$A$13,0))*INDEX(Parametros!$B$26:$B$43,MATCH($C10,Parametros!$A$26:$A$43,0))</f>
        <v>47.1045</v>
      </c>
      <c r="R10" s="21" t="n">
        <f aca="false">L10*Q10</f>
        <v>2732.061</v>
      </c>
      <c r="S10" s="18" t="n">
        <f aca="false">L10*INDEX(Parametros!$B$20:$B$22,MATCH($E10,Parametros!$A$20:$A$22,0))</f>
        <v>139.2</v>
      </c>
      <c r="T10" s="18" t="n">
        <f aca="false">P10*INDEX(Parametros!$B$13:$B$16,MATCH($F10,Parametros!$A$13:$A$16,0))</f>
        <v>134.13312</v>
      </c>
      <c r="U10" s="21" t="n">
        <f aca="false">P10-R10-S10-T10</f>
        <v>1465.70988</v>
      </c>
      <c r="V10" s="19" t="n">
        <f aca="false">IFERROR(U10/P10,0)</f>
        <v>0.327818337484433</v>
      </c>
      <c r="W10" s="48" t="n">
        <f aca="false">B10+INDEX(Parametros!$C$13:$C$16,MATCH($F10,Parametros!$A$13:$A$16,0))</f>
        <v>45723</v>
      </c>
      <c r="X10" s="31" t="s">
        <v>67</v>
      </c>
      <c r="Y10" s="53" t="n">
        <f aca="false">IF(COUNTIF($A$2:$A10,A10)=1,1,0)</f>
        <v>1</v>
      </c>
    </row>
    <row r="11" customFormat="false" ht="15" hidden="false" customHeight="false" outlineLevel="0" collapsed="false">
      <c r="A11" s="31" t="s">
        <v>249</v>
      </c>
      <c r="B11" s="36" t="n">
        <v>45663</v>
      </c>
      <c r="C11" s="49" t="n">
        <f aca="false">DATE(YEAR(B11),MONTH(B11),1)</f>
        <v>45658</v>
      </c>
      <c r="D11" s="31" t="s">
        <v>212</v>
      </c>
      <c r="E11" s="31" t="s">
        <v>42</v>
      </c>
      <c r="F11" s="31" t="s">
        <v>45</v>
      </c>
      <c r="G11" s="31" t="s">
        <v>61</v>
      </c>
      <c r="H11" s="31" t="s">
        <v>183</v>
      </c>
      <c r="I11" s="32" t="str">
        <f aca="false">INDEX(Productos!$B$2:$B$13,MATCH($H11,Productos!$A$2:$A$13,0))</f>
        <v>Tornillo estructural M16x90 clase 10.9</v>
      </c>
      <c r="J11" s="32" t="str">
        <f aca="false">INDEX(Productos!$C$2:$C$13,MATCH($H11,Productos!$A$2:$A$13,0))</f>
        <v>Especial</v>
      </c>
      <c r="K11" s="31" t="s">
        <v>246</v>
      </c>
      <c r="L11" s="46" t="n">
        <v>29</v>
      </c>
      <c r="M11" s="50" t="n">
        <f aca="false">INDEX(Productos!$F$2:$F$13,MATCH($H11,Productos!$A$2:$A$13,0))</f>
        <v>112</v>
      </c>
      <c r="N11" s="51" t="n">
        <v>0.152</v>
      </c>
      <c r="O11" s="52" t="n">
        <f aca="false">M11*(1-N11)</f>
        <v>94.976</v>
      </c>
      <c r="P11" s="21" t="n">
        <f aca="false">L11*O11</f>
        <v>2754.304</v>
      </c>
      <c r="Q11" s="50" t="n">
        <f aca="false">INDEX(Productos!$E$2:$E$13,MATCH($H11,Productos!$A$2:$A$13,0))*INDEX(Parametros!$B$26:$B$43,MATCH($C11,Parametros!$A$26:$A$43,0))</f>
        <v>60.78</v>
      </c>
      <c r="R11" s="21" t="n">
        <f aca="false">L11*Q11</f>
        <v>1762.62</v>
      </c>
      <c r="S11" s="18" t="n">
        <f aca="false">L11*INDEX(Parametros!$B$20:$B$22,MATCH($E11,Parametros!$A$20:$A$22,0))</f>
        <v>69.6</v>
      </c>
      <c r="T11" s="18" t="n">
        <f aca="false">P11*INDEX(Parametros!$B$13:$B$16,MATCH($F11,Parametros!$A$13:$A$16,0))</f>
        <v>82.62912</v>
      </c>
      <c r="U11" s="21" t="n">
        <f aca="false">P11-R11-S11-T11</f>
        <v>839.45488</v>
      </c>
      <c r="V11" s="19" t="n">
        <f aca="false">IFERROR(U11/P11,0)</f>
        <v>0.304779312668464</v>
      </c>
      <c r="W11" s="48" t="n">
        <f aca="false">B11+INDEX(Parametros!$C$13:$C$16,MATCH($F11,Parametros!$A$13:$A$16,0))</f>
        <v>45723</v>
      </c>
      <c r="X11" s="31" t="s">
        <v>67</v>
      </c>
      <c r="Y11" s="53" t="n">
        <f aca="false">IF(COUNTIF($A$2:$A11,A11)=1,1,0)</f>
        <v>0</v>
      </c>
    </row>
    <row r="12" customFormat="false" ht="15" hidden="false" customHeight="false" outlineLevel="0" collapsed="false">
      <c r="A12" s="31" t="s">
        <v>250</v>
      </c>
      <c r="B12" s="36" t="n">
        <v>45665</v>
      </c>
      <c r="C12" s="49" t="n">
        <f aca="false">DATE(YEAR(B12),MONTH(B12),1)</f>
        <v>45658</v>
      </c>
      <c r="D12" s="31" t="s">
        <v>195</v>
      </c>
      <c r="E12" s="31" t="s">
        <v>41</v>
      </c>
      <c r="F12" s="31" t="s">
        <v>45</v>
      </c>
      <c r="G12" s="31" t="s">
        <v>58</v>
      </c>
      <c r="H12" s="31" t="s">
        <v>181</v>
      </c>
      <c r="I12" s="32" t="str">
        <f aca="false">INDEX(Productos!$B$2:$B$13,MATCH($H12,Productos!$A$2:$A$13,0))</f>
        <v>Autotaladrante 5,5x55 punta broca</v>
      </c>
      <c r="J12" s="32" t="str">
        <f aca="false">INDEX(Productos!$C$2:$C$13,MATCH($H12,Productos!$A$2:$A$13,0))</f>
        <v>Autotaladrante</v>
      </c>
      <c r="K12" s="31" t="s">
        <v>246</v>
      </c>
      <c r="L12" s="46" t="n">
        <v>60</v>
      </c>
      <c r="M12" s="50" t="n">
        <f aca="false">INDEX(Productos!$F$2:$F$13,MATCH($H12,Productos!$A$2:$A$13,0))</f>
        <v>39</v>
      </c>
      <c r="N12" s="51" t="n">
        <v>0.183</v>
      </c>
      <c r="O12" s="52" t="n">
        <f aca="false">M12*(1-N12)</f>
        <v>31.863</v>
      </c>
      <c r="P12" s="21" t="n">
        <f aca="false">L12*O12</f>
        <v>1911.78</v>
      </c>
      <c r="Q12" s="50" t="n">
        <f aca="false">INDEX(Productos!$E$2:$E$13,MATCH($H12,Productos!$A$2:$A$13,0))*INDEX(Parametros!$B$26:$B$43,MATCH($C12,Parametros!$A$26:$A$43,0))</f>
        <v>20.5639</v>
      </c>
      <c r="R12" s="21" t="n">
        <f aca="false">L12*Q12</f>
        <v>1233.834</v>
      </c>
      <c r="S12" s="18" t="n">
        <f aca="false">L12*INDEX(Parametros!$B$20:$B$22,MATCH($E12,Parametros!$A$20:$A$22,0))</f>
        <v>51</v>
      </c>
      <c r="T12" s="18" t="n">
        <f aca="false">P12*INDEX(Parametros!$B$13:$B$16,MATCH($F12,Parametros!$A$13:$A$16,0))</f>
        <v>57.3534</v>
      </c>
      <c r="U12" s="21" t="n">
        <f aca="false">P12-R12-S12-T12</f>
        <v>569.5926</v>
      </c>
      <c r="V12" s="19" t="n">
        <f aca="false">IFERROR(U12/P12,0)</f>
        <v>0.297938361108496</v>
      </c>
      <c r="W12" s="48" t="n">
        <f aca="false">B12+INDEX(Parametros!$C$13:$C$16,MATCH($F12,Parametros!$A$13:$A$16,0))</f>
        <v>45725</v>
      </c>
      <c r="X12" s="31" t="s">
        <v>67</v>
      </c>
      <c r="Y12" s="53" t="n">
        <f aca="false">IF(COUNTIF($A$2:$A12,A12)=1,1,0)</f>
        <v>1</v>
      </c>
    </row>
    <row r="13" customFormat="false" ht="15" hidden="false" customHeight="false" outlineLevel="0" collapsed="false">
      <c r="A13" s="31" t="s">
        <v>251</v>
      </c>
      <c r="B13" s="36" t="n">
        <v>45665</v>
      </c>
      <c r="C13" s="49" t="n">
        <f aca="false">DATE(YEAR(B13),MONTH(B13),1)</f>
        <v>45658</v>
      </c>
      <c r="D13" s="31" t="s">
        <v>195</v>
      </c>
      <c r="E13" s="31" t="s">
        <v>41</v>
      </c>
      <c r="F13" s="31" t="s">
        <v>45</v>
      </c>
      <c r="G13" s="31" t="s">
        <v>58</v>
      </c>
      <c r="H13" s="31" t="s">
        <v>165</v>
      </c>
      <c r="I13" s="32" t="str">
        <f aca="false">INDEX(Productos!$B$2:$B$13,MATCH($H13,Productos!$A$2:$A$13,0))</f>
        <v>Tornillo DIN 933 M8x40 rosca completa zincado</v>
      </c>
      <c r="J13" s="32" t="str">
        <f aca="false">INDEX(Productos!$C$2:$C$13,MATCH($H13,Productos!$A$2:$A$13,0))</f>
        <v>Métrica</v>
      </c>
      <c r="K13" s="31" t="s">
        <v>246</v>
      </c>
      <c r="L13" s="46" t="n">
        <v>270</v>
      </c>
      <c r="M13" s="50" t="n">
        <f aca="false">INDEX(Productos!$F$2:$F$13,MATCH($H13,Productos!$A$2:$A$13,0))</f>
        <v>37.5</v>
      </c>
      <c r="N13" s="51" t="n">
        <v>0.157</v>
      </c>
      <c r="O13" s="52" t="n">
        <f aca="false">M13*(1-N13)</f>
        <v>31.6125</v>
      </c>
      <c r="P13" s="21" t="n">
        <f aca="false">L13*O13</f>
        <v>8535.375</v>
      </c>
      <c r="Q13" s="50" t="n">
        <f aca="false">INDEX(Productos!$E$2:$E$13,MATCH($H13,Productos!$A$2:$A$13,0))*INDEX(Parametros!$B$26:$B$43,MATCH($C13,Parametros!$A$26:$A$43,0))</f>
        <v>19.6522</v>
      </c>
      <c r="R13" s="21" t="n">
        <f aca="false">L13*Q13</f>
        <v>5306.094</v>
      </c>
      <c r="S13" s="18" t="n">
        <f aca="false">L13*INDEX(Parametros!$B$20:$B$22,MATCH($E13,Parametros!$A$20:$A$22,0))</f>
        <v>229.5</v>
      </c>
      <c r="T13" s="18" t="n">
        <f aca="false">P13*INDEX(Parametros!$B$13:$B$16,MATCH($F13,Parametros!$A$13:$A$16,0))</f>
        <v>256.06125</v>
      </c>
      <c r="U13" s="21" t="n">
        <f aca="false">P13-R13-S13-T13</f>
        <v>2743.71975</v>
      </c>
      <c r="V13" s="19" t="n">
        <f aca="false">IFERROR(U13/P13,0)</f>
        <v>0.321452748121787</v>
      </c>
      <c r="W13" s="48" t="n">
        <f aca="false">B13+INDEX(Parametros!$C$13:$C$16,MATCH($F13,Parametros!$A$13:$A$16,0))</f>
        <v>45725</v>
      </c>
      <c r="X13" s="31" t="s">
        <v>67</v>
      </c>
      <c r="Y13" s="53" t="n">
        <f aca="false">IF(COUNTIF($A$2:$A13,A13)=1,1,0)</f>
        <v>1</v>
      </c>
    </row>
    <row r="14" customFormat="false" ht="15" hidden="false" customHeight="false" outlineLevel="0" collapsed="false">
      <c r="A14" s="31" t="s">
        <v>251</v>
      </c>
      <c r="B14" s="36" t="n">
        <v>45665</v>
      </c>
      <c r="C14" s="49" t="n">
        <f aca="false">DATE(YEAR(B14),MONTH(B14),1)</f>
        <v>45658</v>
      </c>
      <c r="D14" s="31" t="s">
        <v>195</v>
      </c>
      <c r="E14" s="31" t="s">
        <v>41</v>
      </c>
      <c r="F14" s="31" t="s">
        <v>45</v>
      </c>
      <c r="G14" s="31" t="s">
        <v>58</v>
      </c>
      <c r="H14" s="31" t="s">
        <v>183</v>
      </c>
      <c r="I14" s="32" t="str">
        <f aca="false">INDEX(Productos!$B$2:$B$13,MATCH($H14,Productos!$A$2:$A$13,0))</f>
        <v>Tornillo estructural M16x90 clase 10.9</v>
      </c>
      <c r="J14" s="32" t="str">
        <f aca="false">INDEX(Productos!$C$2:$C$13,MATCH($H14,Productos!$A$2:$A$13,0))</f>
        <v>Especial</v>
      </c>
      <c r="K14" s="31" t="s">
        <v>246</v>
      </c>
      <c r="L14" s="46" t="n">
        <v>20</v>
      </c>
      <c r="M14" s="50" t="n">
        <f aca="false">INDEX(Productos!$F$2:$F$13,MATCH($H14,Productos!$A$2:$A$13,0))</f>
        <v>112</v>
      </c>
      <c r="N14" s="51" t="n">
        <v>0.125</v>
      </c>
      <c r="O14" s="52" t="n">
        <f aca="false">M14*(1-N14)</f>
        <v>98</v>
      </c>
      <c r="P14" s="21" t="n">
        <f aca="false">L14*O14</f>
        <v>1960</v>
      </c>
      <c r="Q14" s="50" t="n">
        <f aca="false">INDEX(Productos!$E$2:$E$13,MATCH($H14,Productos!$A$2:$A$13,0))*INDEX(Parametros!$B$26:$B$43,MATCH($C14,Parametros!$A$26:$A$43,0))</f>
        <v>60.78</v>
      </c>
      <c r="R14" s="21" t="n">
        <f aca="false">L14*Q14</f>
        <v>1215.6</v>
      </c>
      <c r="S14" s="18" t="n">
        <f aca="false">L14*INDEX(Parametros!$B$20:$B$22,MATCH($E14,Parametros!$A$20:$A$22,0))</f>
        <v>17</v>
      </c>
      <c r="T14" s="18" t="n">
        <f aca="false">P14*INDEX(Parametros!$B$13:$B$16,MATCH($F14,Parametros!$A$13:$A$16,0))</f>
        <v>58.8</v>
      </c>
      <c r="U14" s="21" t="n">
        <f aca="false">P14-R14-S14-T14</f>
        <v>668.6</v>
      </c>
      <c r="V14" s="19" t="n">
        <f aca="false">IFERROR(U14/P14,0)</f>
        <v>0.341122448979592</v>
      </c>
      <c r="W14" s="48" t="n">
        <f aca="false">B14+INDEX(Parametros!$C$13:$C$16,MATCH($F14,Parametros!$A$13:$A$16,0))</f>
        <v>45725</v>
      </c>
      <c r="X14" s="31" t="s">
        <v>67</v>
      </c>
      <c r="Y14" s="53" t="n">
        <f aca="false">IF(COUNTIF($A$2:$A14,A14)=1,1,0)</f>
        <v>0</v>
      </c>
    </row>
    <row r="15" customFormat="false" ht="15" hidden="false" customHeight="false" outlineLevel="0" collapsed="false">
      <c r="A15" s="31" t="s">
        <v>252</v>
      </c>
      <c r="B15" s="36" t="n">
        <v>45665</v>
      </c>
      <c r="C15" s="49" t="n">
        <f aca="false">DATE(YEAR(B15),MONTH(B15),1)</f>
        <v>45658</v>
      </c>
      <c r="D15" s="31" t="s">
        <v>218</v>
      </c>
      <c r="E15" s="31" t="s">
        <v>42</v>
      </c>
      <c r="F15" s="31" t="s">
        <v>45</v>
      </c>
      <c r="G15" s="31" t="s">
        <v>61</v>
      </c>
      <c r="H15" s="31" t="s">
        <v>185</v>
      </c>
      <c r="I15" s="32" t="str">
        <f aca="false">INDEX(Productos!$B$2:$B$13,MATCH($H15,Productos!$A$2:$A$13,0))</f>
        <v>Varilla roscada M10 x 1 m zincada</v>
      </c>
      <c r="J15" s="32" t="str">
        <f aca="false">INDEX(Productos!$C$2:$C$13,MATCH($H15,Productos!$A$2:$A$13,0))</f>
        <v>Especial</v>
      </c>
      <c r="K15" s="31" t="s">
        <v>246</v>
      </c>
      <c r="L15" s="46" t="n">
        <v>93</v>
      </c>
      <c r="M15" s="50" t="n">
        <f aca="false">INDEX(Productos!$F$2:$F$13,MATCH($H15,Productos!$A$2:$A$13,0))</f>
        <v>54</v>
      </c>
      <c r="N15" s="51" t="n">
        <v>0.187</v>
      </c>
      <c r="O15" s="52" t="n">
        <f aca="false">M15*(1-N15)</f>
        <v>43.902</v>
      </c>
      <c r="P15" s="21" t="n">
        <f aca="false">L15*O15</f>
        <v>4082.886</v>
      </c>
      <c r="Q15" s="50" t="n">
        <f aca="false">INDEX(Productos!$E$2:$E$13,MATCH($H15,Productos!$A$2:$A$13,0))*INDEX(Parametros!$B$26:$B$43,MATCH($C15,Parametros!$A$26:$A$43,0))</f>
        <v>28.8705</v>
      </c>
      <c r="R15" s="21" t="n">
        <f aca="false">L15*Q15</f>
        <v>2684.9565</v>
      </c>
      <c r="S15" s="18" t="n">
        <f aca="false">L15*INDEX(Parametros!$B$20:$B$22,MATCH($E15,Parametros!$A$20:$A$22,0))</f>
        <v>223.2</v>
      </c>
      <c r="T15" s="18" t="n">
        <f aca="false">P15*INDEX(Parametros!$B$13:$B$16,MATCH($F15,Parametros!$A$13:$A$16,0))</f>
        <v>122.48658</v>
      </c>
      <c r="U15" s="21" t="n">
        <f aca="false">P15-R15-S15-T15</f>
        <v>1052.24292</v>
      </c>
      <c r="V15" s="19" t="n">
        <f aca="false">IFERROR(U15/P15,0)</f>
        <v>0.257720377203772</v>
      </c>
      <c r="W15" s="48" t="n">
        <f aca="false">B15+INDEX(Parametros!$C$13:$C$16,MATCH($F15,Parametros!$A$13:$A$16,0))</f>
        <v>45725</v>
      </c>
      <c r="X15" s="31" t="s">
        <v>67</v>
      </c>
      <c r="Y15" s="53" t="n">
        <f aca="false">IF(COUNTIF($A$2:$A15,A15)=1,1,0)</f>
        <v>1</v>
      </c>
    </row>
    <row r="16" customFormat="false" ht="15" hidden="false" customHeight="false" outlineLevel="0" collapsed="false">
      <c r="A16" s="31" t="s">
        <v>253</v>
      </c>
      <c r="B16" s="36" t="n">
        <v>45666</v>
      </c>
      <c r="C16" s="49" t="n">
        <f aca="false">DATE(YEAR(B16),MONTH(B16),1)</f>
        <v>45658</v>
      </c>
      <c r="D16" s="31" t="s">
        <v>202</v>
      </c>
      <c r="E16" s="31" t="s">
        <v>41</v>
      </c>
      <c r="F16" s="31" t="s">
        <v>46</v>
      </c>
      <c r="G16" s="31" t="s">
        <v>62</v>
      </c>
      <c r="H16" s="31" t="s">
        <v>165</v>
      </c>
      <c r="I16" s="32" t="str">
        <f aca="false">INDEX(Productos!$B$2:$B$13,MATCH($H16,Productos!$A$2:$A$13,0))</f>
        <v>Tornillo DIN 933 M8x40 rosca completa zincado</v>
      </c>
      <c r="J16" s="32" t="str">
        <f aca="false">INDEX(Productos!$C$2:$C$13,MATCH($H16,Productos!$A$2:$A$13,0))</f>
        <v>Métrica</v>
      </c>
      <c r="K16" s="31" t="s">
        <v>246</v>
      </c>
      <c r="L16" s="46" t="n">
        <v>32</v>
      </c>
      <c r="M16" s="50" t="n">
        <f aca="false">INDEX(Productos!$F$2:$F$13,MATCH($H16,Productos!$A$2:$A$13,0))</f>
        <v>37.5</v>
      </c>
      <c r="N16" s="51" t="n">
        <v>0.172</v>
      </c>
      <c r="O16" s="52" t="n">
        <f aca="false">M16*(1-N16)</f>
        <v>31.05</v>
      </c>
      <c r="P16" s="21" t="n">
        <f aca="false">L16*O16</f>
        <v>993.6</v>
      </c>
      <c r="Q16" s="50" t="n">
        <f aca="false">INDEX(Productos!$E$2:$E$13,MATCH($H16,Productos!$A$2:$A$13,0))*INDEX(Parametros!$B$26:$B$43,MATCH($C16,Parametros!$A$26:$A$43,0))</f>
        <v>19.6522</v>
      </c>
      <c r="R16" s="21" t="n">
        <f aca="false">L16*Q16</f>
        <v>628.8704</v>
      </c>
      <c r="S16" s="18" t="n">
        <f aca="false">L16*INDEX(Parametros!$B$20:$B$22,MATCH($E16,Parametros!$A$20:$A$22,0))</f>
        <v>27.2</v>
      </c>
      <c r="T16" s="18" t="n">
        <f aca="false">P16*INDEX(Parametros!$B$13:$B$16,MATCH($F16,Parametros!$A$13:$A$16,0))</f>
        <v>39.744</v>
      </c>
      <c r="U16" s="21" t="n">
        <f aca="false">P16-R16-S16-T16</f>
        <v>297.7856</v>
      </c>
      <c r="V16" s="19" t="n">
        <f aca="false">IFERROR(U16/P16,0)</f>
        <v>0.299703703703704</v>
      </c>
      <c r="W16" s="48" t="n">
        <f aca="false">B16+INDEX(Parametros!$C$13:$C$16,MATCH($F16,Parametros!$A$13:$A$16,0))</f>
        <v>45741</v>
      </c>
      <c r="X16" s="31" t="s">
        <v>67</v>
      </c>
      <c r="Y16" s="53" t="n">
        <f aca="false">IF(COUNTIF($A$2:$A16,A16)=1,1,0)</f>
        <v>1</v>
      </c>
    </row>
    <row r="17" customFormat="false" ht="15" hidden="false" customHeight="false" outlineLevel="0" collapsed="false">
      <c r="A17" s="31" t="s">
        <v>254</v>
      </c>
      <c r="B17" s="36" t="n">
        <v>45667</v>
      </c>
      <c r="C17" s="49" t="n">
        <f aca="false">DATE(YEAR(B17),MONTH(B17),1)</f>
        <v>45658</v>
      </c>
      <c r="D17" s="31" t="s">
        <v>226</v>
      </c>
      <c r="E17" s="31" t="s">
        <v>43</v>
      </c>
      <c r="F17" s="31" t="s">
        <v>46</v>
      </c>
      <c r="G17" s="31" t="s">
        <v>59</v>
      </c>
      <c r="H17" s="31" t="s">
        <v>163</v>
      </c>
      <c r="I17" s="32" t="str">
        <f aca="false">INDEX(Productos!$B$2:$B$13,MATCH($H17,Productos!$A$2:$A$13,0))</f>
        <v>Tornillo DIN 933 M6x30 rosca completa zincado</v>
      </c>
      <c r="J17" s="32" t="str">
        <f aca="false">INDEX(Productos!$C$2:$C$13,MATCH($H17,Productos!$A$2:$A$13,0))</f>
        <v>Métrica</v>
      </c>
      <c r="K17" s="31" t="s">
        <v>246</v>
      </c>
      <c r="L17" s="46" t="n">
        <v>96</v>
      </c>
      <c r="M17" s="50" t="n">
        <f aca="false">INDEX(Productos!$F$2:$F$13,MATCH($H17,Productos!$A$2:$A$13,0))</f>
        <v>32</v>
      </c>
      <c r="N17" s="51" t="n">
        <v>0.138</v>
      </c>
      <c r="O17" s="52" t="n">
        <f aca="false">M17*(1-N17)</f>
        <v>27.584</v>
      </c>
      <c r="P17" s="21" t="n">
        <f aca="false">L17*O17</f>
        <v>2648.064</v>
      </c>
      <c r="Q17" s="50" t="n">
        <f aca="false">INDEX(Productos!$E$2:$E$13,MATCH($H17,Productos!$A$2:$A$13,0))*INDEX(Parametros!$B$26:$B$43,MATCH($C17,Parametros!$A$26:$A$43,0))</f>
        <v>16.8158</v>
      </c>
      <c r="R17" s="21" t="n">
        <f aca="false">L17*Q17</f>
        <v>1614.3168</v>
      </c>
      <c r="S17" s="18" t="n">
        <f aca="false">L17*INDEX(Parametros!$B$20:$B$22,MATCH($E17,Parametros!$A$20:$A$22,0))</f>
        <v>182.4</v>
      </c>
      <c r="T17" s="18" t="n">
        <f aca="false">P17*INDEX(Parametros!$B$13:$B$16,MATCH($F17,Parametros!$A$13:$A$16,0))</f>
        <v>105.92256</v>
      </c>
      <c r="U17" s="21" t="n">
        <f aca="false">P17-R17-S17-T17</f>
        <v>745.42464</v>
      </c>
      <c r="V17" s="19" t="n">
        <f aca="false">IFERROR(U17/P17,0)</f>
        <v>0.281497969837587</v>
      </c>
      <c r="W17" s="48" t="n">
        <f aca="false">B17+INDEX(Parametros!$C$13:$C$16,MATCH($F17,Parametros!$A$13:$A$16,0))</f>
        <v>45742</v>
      </c>
      <c r="X17" s="31" t="s">
        <v>67</v>
      </c>
      <c r="Y17" s="53" t="n">
        <f aca="false">IF(COUNTIF($A$2:$A17,A17)=1,1,0)</f>
        <v>1</v>
      </c>
    </row>
    <row r="18" customFormat="false" ht="15" hidden="false" customHeight="false" outlineLevel="0" collapsed="false">
      <c r="A18" s="31" t="s">
        <v>255</v>
      </c>
      <c r="B18" s="36" t="n">
        <v>45670</v>
      </c>
      <c r="C18" s="49" t="n">
        <f aca="false">DATE(YEAR(B18),MONTH(B18),1)</f>
        <v>45658</v>
      </c>
      <c r="D18" s="31" t="s">
        <v>208</v>
      </c>
      <c r="E18" s="31" t="s">
        <v>41</v>
      </c>
      <c r="F18" s="31" t="s">
        <v>46</v>
      </c>
      <c r="G18" s="31" t="s">
        <v>58</v>
      </c>
      <c r="H18" s="31" t="s">
        <v>175</v>
      </c>
      <c r="I18" s="32" t="str">
        <f aca="false">INDEX(Productos!$B$2:$B$13,MATCH($H18,Productos!$A$2:$A$13,0))</f>
        <v>Tirafondo madera 5x60 cabeza plana Torx</v>
      </c>
      <c r="J18" s="32" t="str">
        <f aca="false">INDEX(Productos!$C$2:$C$13,MATCH($H18,Productos!$A$2:$A$13,0))</f>
        <v>Madera</v>
      </c>
      <c r="K18" s="31" t="s">
        <v>246</v>
      </c>
      <c r="L18" s="46" t="n">
        <v>108</v>
      </c>
      <c r="M18" s="50" t="n">
        <f aca="false">INDEX(Productos!$F$2:$F$13,MATCH($H18,Productos!$A$2:$A$13,0))</f>
        <v>26</v>
      </c>
      <c r="N18" s="51" t="n">
        <v>0.09</v>
      </c>
      <c r="O18" s="52" t="n">
        <f aca="false">M18*(1-N18)</f>
        <v>23.66</v>
      </c>
      <c r="P18" s="21" t="n">
        <f aca="false">L18*O18</f>
        <v>2555.28</v>
      </c>
      <c r="Q18" s="50" t="n">
        <f aca="false">INDEX(Productos!$E$2:$E$13,MATCH($H18,Productos!$A$2:$A$13,0))*INDEX(Parametros!$B$26:$B$43,MATCH($C18,Parametros!$A$26:$A$43,0))</f>
        <v>13.5742</v>
      </c>
      <c r="R18" s="21" t="n">
        <f aca="false">L18*Q18</f>
        <v>1466.0136</v>
      </c>
      <c r="S18" s="18" t="n">
        <f aca="false">L18*INDEX(Parametros!$B$20:$B$22,MATCH($E18,Parametros!$A$20:$A$22,0))</f>
        <v>91.8</v>
      </c>
      <c r="T18" s="18" t="n">
        <f aca="false">P18*INDEX(Parametros!$B$13:$B$16,MATCH($F18,Parametros!$A$13:$A$16,0))</f>
        <v>102.2112</v>
      </c>
      <c r="U18" s="21" t="n">
        <f aca="false">P18-R18-S18-T18</f>
        <v>895.2552</v>
      </c>
      <c r="V18" s="19" t="n">
        <f aca="false">IFERROR(U18/P18,0)</f>
        <v>0.350355029585799</v>
      </c>
      <c r="W18" s="48" t="n">
        <f aca="false">B18+INDEX(Parametros!$C$13:$C$16,MATCH($F18,Parametros!$A$13:$A$16,0))</f>
        <v>45745</v>
      </c>
      <c r="X18" s="31" t="s">
        <v>67</v>
      </c>
      <c r="Y18" s="53" t="n">
        <f aca="false">IF(COUNTIF($A$2:$A18,A18)=1,1,0)</f>
        <v>1</v>
      </c>
    </row>
    <row r="19" customFormat="false" ht="15" hidden="false" customHeight="false" outlineLevel="0" collapsed="false">
      <c r="A19" s="31" t="s">
        <v>256</v>
      </c>
      <c r="B19" s="36" t="n">
        <v>45670</v>
      </c>
      <c r="C19" s="49" t="n">
        <f aca="false">DATE(YEAR(B19),MONTH(B19),1)</f>
        <v>45658</v>
      </c>
      <c r="D19" s="31" t="s">
        <v>198</v>
      </c>
      <c r="E19" s="31" t="s">
        <v>41</v>
      </c>
      <c r="F19" s="31" t="s">
        <v>46</v>
      </c>
      <c r="G19" s="31" t="s">
        <v>58</v>
      </c>
      <c r="H19" s="31" t="s">
        <v>169</v>
      </c>
      <c r="I19" s="32" t="str">
        <f aca="false">INDEX(Productos!$B$2:$B$13,MATCH($H19,Productos!$A$2:$A$13,0))</f>
        <v>Tornillo DIN 912 M10x60 Allen inox A2</v>
      </c>
      <c r="J19" s="32" t="str">
        <f aca="false">INDEX(Productos!$C$2:$C$13,MATCH($H19,Productos!$A$2:$A$13,0))</f>
        <v>Inoxidable</v>
      </c>
      <c r="K19" s="31" t="s">
        <v>246</v>
      </c>
      <c r="L19" s="46" t="n">
        <v>130</v>
      </c>
      <c r="M19" s="50" t="n">
        <f aca="false">INDEX(Productos!$F$2:$F$13,MATCH($H19,Productos!$A$2:$A$13,0))</f>
        <v>79</v>
      </c>
      <c r="N19" s="51" t="n">
        <v>0.143</v>
      </c>
      <c r="O19" s="52" t="n">
        <f aca="false">M19*(1-N19)</f>
        <v>67.703</v>
      </c>
      <c r="P19" s="21" t="n">
        <f aca="false">L19*O19</f>
        <v>8801.39</v>
      </c>
      <c r="Q19" s="50" t="n">
        <f aca="false">INDEX(Productos!$E$2:$E$13,MATCH($H19,Productos!$A$2:$A$13,0))*INDEX(Parametros!$B$26:$B$43,MATCH($C19,Parametros!$A$26:$A$43,0))</f>
        <v>42.546</v>
      </c>
      <c r="R19" s="21" t="n">
        <f aca="false">L19*Q19</f>
        <v>5530.98</v>
      </c>
      <c r="S19" s="18" t="n">
        <f aca="false">L19*INDEX(Parametros!$B$20:$B$22,MATCH($E19,Parametros!$A$20:$A$22,0))</f>
        <v>110.5</v>
      </c>
      <c r="T19" s="18" t="n">
        <f aca="false">P19*INDEX(Parametros!$B$13:$B$16,MATCH($F19,Parametros!$A$13:$A$16,0))</f>
        <v>352.0556</v>
      </c>
      <c r="U19" s="21" t="n">
        <f aca="false">P19-R19-S19-T19</f>
        <v>2807.8544</v>
      </c>
      <c r="V19" s="19" t="n">
        <f aca="false">IFERROR(U19/P19,0)</f>
        <v>0.319023972349822</v>
      </c>
      <c r="W19" s="48" t="n">
        <f aca="false">B19+INDEX(Parametros!$C$13:$C$16,MATCH($F19,Parametros!$A$13:$A$16,0))</f>
        <v>45745</v>
      </c>
      <c r="X19" s="31" t="s">
        <v>67</v>
      </c>
      <c r="Y19" s="53" t="n">
        <f aca="false">IF(COUNTIF($A$2:$A19,A19)=1,1,0)</f>
        <v>1</v>
      </c>
    </row>
    <row r="20" customFormat="false" ht="15" hidden="false" customHeight="false" outlineLevel="0" collapsed="false">
      <c r="A20" s="31" t="s">
        <v>256</v>
      </c>
      <c r="B20" s="36" t="n">
        <v>45670</v>
      </c>
      <c r="C20" s="49" t="n">
        <f aca="false">DATE(YEAR(B20),MONTH(B20),1)</f>
        <v>45658</v>
      </c>
      <c r="D20" s="31" t="s">
        <v>198</v>
      </c>
      <c r="E20" s="31" t="s">
        <v>41</v>
      </c>
      <c r="F20" s="31" t="s">
        <v>46</v>
      </c>
      <c r="G20" s="31" t="s">
        <v>58</v>
      </c>
      <c r="H20" s="31" t="s">
        <v>181</v>
      </c>
      <c r="I20" s="32" t="str">
        <f aca="false">INDEX(Productos!$B$2:$B$13,MATCH($H20,Productos!$A$2:$A$13,0))</f>
        <v>Autotaladrante 5,5x55 punta broca</v>
      </c>
      <c r="J20" s="32" t="str">
        <f aca="false">INDEX(Productos!$C$2:$C$13,MATCH($H20,Productos!$A$2:$A$13,0))</f>
        <v>Autotaladrante</v>
      </c>
      <c r="K20" s="31" t="s">
        <v>246</v>
      </c>
      <c r="L20" s="46" t="n">
        <v>73</v>
      </c>
      <c r="M20" s="50" t="n">
        <f aca="false">INDEX(Productos!$F$2:$F$13,MATCH($H20,Productos!$A$2:$A$13,0))</f>
        <v>39</v>
      </c>
      <c r="N20" s="51" t="n">
        <v>0.09</v>
      </c>
      <c r="O20" s="52" t="n">
        <f aca="false">M20*(1-N20)</f>
        <v>35.49</v>
      </c>
      <c r="P20" s="21" t="n">
        <f aca="false">L20*O20</f>
        <v>2590.77</v>
      </c>
      <c r="Q20" s="50" t="n">
        <f aca="false">INDEX(Productos!$E$2:$E$13,MATCH($H20,Productos!$A$2:$A$13,0))*INDEX(Parametros!$B$26:$B$43,MATCH($C20,Parametros!$A$26:$A$43,0))</f>
        <v>20.5639</v>
      </c>
      <c r="R20" s="21" t="n">
        <f aca="false">L20*Q20</f>
        <v>1501.1647</v>
      </c>
      <c r="S20" s="18" t="n">
        <f aca="false">L20*INDEX(Parametros!$B$20:$B$22,MATCH($E20,Parametros!$A$20:$A$22,0))</f>
        <v>62.05</v>
      </c>
      <c r="T20" s="18" t="n">
        <f aca="false">P20*INDEX(Parametros!$B$13:$B$16,MATCH($F20,Parametros!$A$13:$A$16,0))</f>
        <v>103.6308</v>
      </c>
      <c r="U20" s="21" t="n">
        <f aca="false">P20-R20-S20-T20</f>
        <v>923.9245</v>
      </c>
      <c r="V20" s="19" t="n">
        <f aca="false">IFERROR(U20/P20,0)</f>
        <v>0.35662158354466</v>
      </c>
      <c r="W20" s="48" t="n">
        <f aca="false">B20+INDEX(Parametros!$C$13:$C$16,MATCH($F20,Parametros!$A$13:$A$16,0))</f>
        <v>45745</v>
      </c>
      <c r="X20" s="31" t="s">
        <v>67</v>
      </c>
      <c r="Y20" s="53" t="n">
        <f aca="false">IF(COUNTIF($A$2:$A20,A20)=1,1,0)</f>
        <v>0</v>
      </c>
    </row>
    <row r="21" customFormat="false" ht="15" hidden="false" customHeight="false" outlineLevel="0" collapsed="false">
      <c r="A21" s="31" t="s">
        <v>257</v>
      </c>
      <c r="B21" s="36" t="n">
        <v>45670</v>
      </c>
      <c r="C21" s="49" t="n">
        <f aca="false">DATE(YEAR(B21),MONTH(B21),1)</f>
        <v>45658</v>
      </c>
      <c r="D21" s="31" t="s">
        <v>192</v>
      </c>
      <c r="E21" s="31" t="s">
        <v>41</v>
      </c>
      <c r="F21" s="31" t="s">
        <v>45</v>
      </c>
      <c r="G21" s="31" t="s">
        <v>58</v>
      </c>
      <c r="H21" s="31" t="s">
        <v>173</v>
      </c>
      <c r="I21" s="32" t="str">
        <f aca="false">INDEX(Productos!$B$2:$B$13,MATCH($H21,Productos!$A$2:$A$13,0))</f>
        <v>Tornillo DIN 933 M12x70 clase 8.8</v>
      </c>
      <c r="J21" s="32" t="str">
        <f aca="false">INDEX(Productos!$C$2:$C$13,MATCH($H21,Productos!$A$2:$A$13,0))</f>
        <v>Métrica</v>
      </c>
      <c r="K21" s="31" t="s">
        <v>246</v>
      </c>
      <c r="L21" s="46" t="n">
        <v>190</v>
      </c>
      <c r="M21" s="50" t="n">
        <f aca="false">INDEX(Productos!$F$2:$F$13,MATCH($H21,Productos!$A$2:$A$13,0))</f>
        <v>64</v>
      </c>
      <c r="N21" s="51" t="n">
        <v>0.204</v>
      </c>
      <c r="O21" s="52" t="n">
        <f aca="false">M21*(1-N21)</f>
        <v>50.944</v>
      </c>
      <c r="P21" s="21" t="n">
        <f aca="false">L21*O21</f>
        <v>9679.36</v>
      </c>
      <c r="Q21" s="50" t="n">
        <f aca="false">INDEX(Productos!$E$2:$E$13,MATCH($H21,Productos!$A$2:$A$13,0))*INDEX(Parametros!$B$26:$B$43,MATCH($C21,Parametros!$A$26:$A$43,0))</f>
        <v>33.9355</v>
      </c>
      <c r="R21" s="21" t="n">
        <f aca="false">L21*Q21</f>
        <v>6447.745</v>
      </c>
      <c r="S21" s="18" t="n">
        <f aca="false">L21*INDEX(Parametros!$B$20:$B$22,MATCH($E21,Parametros!$A$20:$A$22,0))</f>
        <v>161.5</v>
      </c>
      <c r="T21" s="18" t="n">
        <f aca="false">P21*INDEX(Parametros!$B$13:$B$16,MATCH($F21,Parametros!$A$13:$A$16,0))</f>
        <v>290.3808</v>
      </c>
      <c r="U21" s="21" t="n">
        <f aca="false">P21-R21-S21-T21</f>
        <v>2779.7342</v>
      </c>
      <c r="V21" s="19" t="n">
        <f aca="false">IFERROR(U21/P21,0)</f>
        <v>0.287181611180905</v>
      </c>
      <c r="W21" s="48" t="n">
        <f aca="false">B21+INDEX(Parametros!$C$13:$C$16,MATCH($F21,Parametros!$A$13:$A$16,0))</f>
        <v>45730</v>
      </c>
      <c r="X21" s="31" t="s">
        <v>67</v>
      </c>
      <c r="Y21" s="53" t="n">
        <f aca="false">IF(COUNTIF($A$2:$A21,A21)=1,1,0)</f>
        <v>1</v>
      </c>
    </row>
    <row r="22" customFormat="false" ht="15" hidden="false" customHeight="false" outlineLevel="0" collapsed="false">
      <c r="A22" s="31" t="s">
        <v>258</v>
      </c>
      <c r="B22" s="36" t="n">
        <v>45670</v>
      </c>
      <c r="C22" s="49" t="n">
        <f aca="false">DATE(YEAR(B22),MONTH(B22),1)</f>
        <v>45658</v>
      </c>
      <c r="D22" s="31" t="s">
        <v>209</v>
      </c>
      <c r="E22" s="31" t="s">
        <v>41</v>
      </c>
      <c r="F22" s="31" t="s">
        <v>45</v>
      </c>
      <c r="G22" s="31" t="s">
        <v>62</v>
      </c>
      <c r="H22" s="31" t="s">
        <v>163</v>
      </c>
      <c r="I22" s="32" t="str">
        <f aca="false">INDEX(Productos!$B$2:$B$13,MATCH($H22,Productos!$A$2:$A$13,0))</f>
        <v>Tornillo DIN 933 M6x30 rosca completa zincado</v>
      </c>
      <c r="J22" s="32" t="str">
        <f aca="false">INDEX(Productos!$C$2:$C$13,MATCH($H22,Productos!$A$2:$A$13,0))</f>
        <v>Métrica</v>
      </c>
      <c r="K22" s="31" t="s">
        <v>246</v>
      </c>
      <c r="L22" s="46" t="n">
        <v>102</v>
      </c>
      <c r="M22" s="50" t="n">
        <f aca="false">INDEX(Productos!$F$2:$F$13,MATCH($H22,Productos!$A$2:$A$13,0))</f>
        <v>32</v>
      </c>
      <c r="N22" s="51" t="n">
        <v>0.206</v>
      </c>
      <c r="O22" s="52" t="n">
        <f aca="false">M22*(1-N22)</f>
        <v>25.408</v>
      </c>
      <c r="P22" s="21" t="n">
        <f aca="false">L22*O22</f>
        <v>2591.616</v>
      </c>
      <c r="Q22" s="50" t="n">
        <f aca="false">INDEX(Productos!$E$2:$E$13,MATCH($H22,Productos!$A$2:$A$13,0))*INDEX(Parametros!$B$26:$B$43,MATCH($C22,Parametros!$A$26:$A$43,0))</f>
        <v>16.8158</v>
      </c>
      <c r="R22" s="21" t="n">
        <f aca="false">L22*Q22</f>
        <v>1715.2116</v>
      </c>
      <c r="S22" s="18" t="n">
        <f aca="false">L22*INDEX(Parametros!$B$20:$B$22,MATCH($E22,Parametros!$A$20:$A$22,0))</f>
        <v>86.7</v>
      </c>
      <c r="T22" s="18" t="n">
        <f aca="false">P22*INDEX(Parametros!$B$13:$B$16,MATCH($F22,Parametros!$A$13:$A$16,0))</f>
        <v>77.74848</v>
      </c>
      <c r="U22" s="21" t="n">
        <f aca="false">P22-R22-S22-T22</f>
        <v>711.95592</v>
      </c>
      <c r="V22" s="19" t="n">
        <f aca="false">IFERROR(U22/P22,0)</f>
        <v>0.274715050377834</v>
      </c>
      <c r="W22" s="48" t="n">
        <f aca="false">B22+INDEX(Parametros!$C$13:$C$16,MATCH($F22,Parametros!$A$13:$A$16,0))</f>
        <v>45730</v>
      </c>
      <c r="X22" s="31" t="s">
        <v>67</v>
      </c>
      <c r="Y22" s="53" t="n">
        <f aca="false">IF(COUNTIF($A$2:$A22,A22)=1,1,0)</f>
        <v>1</v>
      </c>
    </row>
    <row r="23" customFormat="false" ht="15" hidden="false" customHeight="false" outlineLevel="0" collapsed="false">
      <c r="A23" s="31" t="s">
        <v>259</v>
      </c>
      <c r="B23" s="36" t="n">
        <v>45670</v>
      </c>
      <c r="C23" s="49" t="n">
        <f aca="false">DATE(YEAR(B23),MONTH(B23),1)</f>
        <v>45658</v>
      </c>
      <c r="D23" s="31" t="s">
        <v>224</v>
      </c>
      <c r="E23" s="31" t="s">
        <v>43</v>
      </c>
      <c r="F23" s="31" t="s">
        <v>45</v>
      </c>
      <c r="G23" s="31" t="s">
        <v>59</v>
      </c>
      <c r="H23" s="31" t="s">
        <v>163</v>
      </c>
      <c r="I23" s="32" t="str">
        <f aca="false">INDEX(Productos!$B$2:$B$13,MATCH($H23,Productos!$A$2:$A$13,0))</f>
        <v>Tornillo DIN 933 M6x30 rosca completa zincado</v>
      </c>
      <c r="J23" s="32" t="str">
        <f aca="false">INDEX(Productos!$C$2:$C$13,MATCH($H23,Productos!$A$2:$A$13,0))</f>
        <v>Métrica</v>
      </c>
      <c r="K23" s="31" t="s">
        <v>246</v>
      </c>
      <c r="L23" s="46" t="n">
        <v>35</v>
      </c>
      <c r="M23" s="50" t="n">
        <f aca="false">INDEX(Productos!$F$2:$F$13,MATCH($H23,Productos!$A$2:$A$13,0))</f>
        <v>32</v>
      </c>
      <c r="N23" s="51" t="n">
        <v>0.133</v>
      </c>
      <c r="O23" s="52" t="n">
        <f aca="false">M23*(1-N23)</f>
        <v>27.744</v>
      </c>
      <c r="P23" s="21" t="n">
        <f aca="false">L23*O23</f>
        <v>971.04</v>
      </c>
      <c r="Q23" s="50" t="n">
        <f aca="false">INDEX(Productos!$E$2:$E$13,MATCH($H23,Productos!$A$2:$A$13,0))*INDEX(Parametros!$B$26:$B$43,MATCH($C23,Parametros!$A$26:$A$43,0))</f>
        <v>16.8158</v>
      </c>
      <c r="R23" s="21" t="n">
        <f aca="false">L23*Q23</f>
        <v>588.553</v>
      </c>
      <c r="S23" s="18" t="n">
        <f aca="false">L23*INDEX(Parametros!$B$20:$B$22,MATCH($E23,Parametros!$A$20:$A$22,0))</f>
        <v>66.5</v>
      </c>
      <c r="T23" s="18" t="n">
        <f aca="false">P23*INDEX(Parametros!$B$13:$B$16,MATCH($F23,Parametros!$A$13:$A$16,0))</f>
        <v>29.1312</v>
      </c>
      <c r="U23" s="21" t="n">
        <f aca="false">P23-R23-S23-T23</f>
        <v>286.8558</v>
      </c>
      <c r="V23" s="19" t="n">
        <f aca="false">IFERROR(U23/P23,0)</f>
        <v>0.295410899653979</v>
      </c>
      <c r="W23" s="48" t="n">
        <f aca="false">B23+INDEX(Parametros!$C$13:$C$16,MATCH($F23,Parametros!$A$13:$A$16,0))</f>
        <v>45730</v>
      </c>
      <c r="X23" s="31" t="s">
        <v>67</v>
      </c>
      <c r="Y23" s="53" t="n">
        <f aca="false">IF(COUNTIF($A$2:$A23,A23)=1,1,0)</f>
        <v>1</v>
      </c>
    </row>
    <row r="24" customFormat="false" ht="15" hidden="false" customHeight="false" outlineLevel="0" collapsed="false">
      <c r="A24" s="31" t="s">
        <v>259</v>
      </c>
      <c r="B24" s="36" t="n">
        <v>45670</v>
      </c>
      <c r="C24" s="49" t="n">
        <f aca="false">DATE(YEAR(B24),MONTH(B24),1)</f>
        <v>45658</v>
      </c>
      <c r="D24" s="31" t="s">
        <v>224</v>
      </c>
      <c r="E24" s="31" t="s">
        <v>43</v>
      </c>
      <c r="F24" s="31" t="s">
        <v>45</v>
      </c>
      <c r="G24" s="31" t="s">
        <v>59</v>
      </c>
      <c r="H24" s="31" t="s">
        <v>179</v>
      </c>
      <c r="I24" s="32" t="str">
        <f aca="false">INDEX(Productos!$B$2:$B$13,MATCH($H24,Productos!$A$2:$A$13,0))</f>
        <v>Autotaladrante DIN 7504 4,8x38 zincado</v>
      </c>
      <c r="J24" s="32" t="str">
        <f aca="false">INDEX(Productos!$C$2:$C$13,MATCH($H24,Productos!$A$2:$A$13,0))</f>
        <v>Autotaladrante</v>
      </c>
      <c r="K24" s="31" t="s">
        <v>246</v>
      </c>
      <c r="L24" s="46" t="n">
        <v>48</v>
      </c>
      <c r="M24" s="50" t="n">
        <f aca="false">INDEX(Productos!$F$2:$F$13,MATCH($H24,Productos!$A$2:$A$13,0))</f>
        <v>29.5</v>
      </c>
      <c r="N24" s="51" t="n">
        <v>0.158</v>
      </c>
      <c r="O24" s="52" t="n">
        <f aca="false">M24*(1-N24)</f>
        <v>24.839</v>
      </c>
      <c r="P24" s="21" t="n">
        <f aca="false">L24*O24</f>
        <v>1192.272</v>
      </c>
      <c r="Q24" s="50" t="n">
        <f aca="false">INDEX(Productos!$E$2:$E$13,MATCH($H24,Productos!$A$2:$A$13,0))*INDEX(Parametros!$B$26:$B$43,MATCH($C24,Parametros!$A$26:$A$43,0))</f>
        <v>15.3976</v>
      </c>
      <c r="R24" s="21" t="n">
        <f aca="false">L24*Q24</f>
        <v>739.0848</v>
      </c>
      <c r="S24" s="18" t="n">
        <f aca="false">L24*INDEX(Parametros!$B$20:$B$22,MATCH($E24,Parametros!$A$20:$A$22,0))</f>
        <v>91.2</v>
      </c>
      <c r="T24" s="18" t="n">
        <f aca="false">P24*INDEX(Parametros!$B$13:$B$16,MATCH($F24,Parametros!$A$13:$A$16,0))</f>
        <v>35.76816</v>
      </c>
      <c r="U24" s="21" t="n">
        <f aca="false">P24-R24-S24-T24</f>
        <v>326.21904</v>
      </c>
      <c r="V24" s="19" t="n">
        <f aca="false">IFERROR(U24/P24,0)</f>
        <v>0.273611256491807</v>
      </c>
      <c r="W24" s="48" t="n">
        <f aca="false">B24+INDEX(Parametros!$C$13:$C$16,MATCH($F24,Parametros!$A$13:$A$16,0))</f>
        <v>45730</v>
      </c>
      <c r="X24" s="31" t="s">
        <v>67</v>
      </c>
      <c r="Y24" s="53" t="n">
        <f aca="false">IF(COUNTIF($A$2:$A24,A24)=1,1,0)</f>
        <v>0</v>
      </c>
    </row>
    <row r="25" customFormat="false" ht="15" hidden="false" customHeight="false" outlineLevel="0" collapsed="false">
      <c r="A25" s="31" t="s">
        <v>260</v>
      </c>
      <c r="B25" s="36" t="n">
        <v>45670</v>
      </c>
      <c r="C25" s="49" t="n">
        <f aca="false">DATE(YEAR(B25),MONTH(B25),1)</f>
        <v>45658</v>
      </c>
      <c r="D25" s="31" t="s">
        <v>202</v>
      </c>
      <c r="E25" s="31" t="s">
        <v>41</v>
      </c>
      <c r="F25" s="31" t="s">
        <v>46</v>
      </c>
      <c r="G25" s="31" t="s">
        <v>62</v>
      </c>
      <c r="H25" s="31" t="s">
        <v>169</v>
      </c>
      <c r="I25" s="32" t="str">
        <f aca="false">INDEX(Productos!$B$2:$B$13,MATCH($H25,Productos!$A$2:$A$13,0))</f>
        <v>Tornillo DIN 912 M10x60 Allen inox A2</v>
      </c>
      <c r="J25" s="32" t="str">
        <f aca="false">INDEX(Productos!$C$2:$C$13,MATCH($H25,Productos!$A$2:$A$13,0))</f>
        <v>Inoxidable</v>
      </c>
      <c r="K25" s="31" t="s">
        <v>246</v>
      </c>
      <c r="L25" s="46" t="n">
        <v>25</v>
      </c>
      <c r="M25" s="50" t="n">
        <f aca="false">INDEX(Productos!$F$2:$F$13,MATCH($H25,Productos!$A$2:$A$13,0))</f>
        <v>79</v>
      </c>
      <c r="N25" s="51" t="n">
        <v>0.16</v>
      </c>
      <c r="O25" s="52" t="n">
        <f aca="false">M25*(1-N25)</f>
        <v>66.36</v>
      </c>
      <c r="P25" s="21" t="n">
        <f aca="false">L25*O25</f>
        <v>1659</v>
      </c>
      <c r="Q25" s="50" t="n">
        <f aca="false">INDEX(Productos!$E$2:$E$13,MATCH($H25,Productos!$A$2:$A$13,0))*INDEX(Parametros!$B$26:$B$43,MATCH($C25,Parametros!$A$26:$A$43,0))</f>
        <v>42.546</v>
      </c>
      <c r="R25" s="21" t="n">
        <f aca="false">L25*Q25</f>
        <v>1063.65</v>
      </c>
      <c r="S25" s="18" t="n">
        <f aca="false">L25*INDEX(Parametros!$B$20:$B$22,MATCH($E25,Parametros!$A$20:$A$22,0))</f>
        <v>21.25</v>
      </c>
      <c r="T25" s="18" t="n">
        <f aca="false">P25*INDEX(Parametros!$B$13:$B$16,MATCH($F25,Parametros!$A$13:$A$16,0))</f>
        <v>66.36</v>
      </c>
      <c r="U25" s="21" t="n">
        <f aca="false">P25-R25-S25-T25</f>
        <v>507.74</v>
      </c>
      <c r="V25" s="19" t="n">
        <f aca="false">IFERROR(U25/P25,0)</f>
        <v>0.306051838456902</v>
      </c>
      <c r="W25" s="48" t="n">
        <f aca="false">B25+INDEX(Parametros!$C$13:$C$16,MATCH($F25,Parametros!$A$13:$A$16,0))</f>
        <v>45745</v>
      </c>
      <c r="X25" s="31" t="s">
        <v>69</v>
      </c>
      <c r="Y25" s="53" t="n">
        <f aca="false">IF(COUNTIF($A$2:$A25,A25)=1,1,0)</f>
        <v>1</v>
      </c>
    </row>
    <row r="26" customFormat="false" ht="15" hidden="false" customHeight="false" outlineLevel="0" collapsed="false">
      <c r="A26" s="31" t="s">
        <v>261</v>
      </c>
      <c r="B26" s="36" t="n">
        <v>45670</v>
      </c>
      <c r="C26" s="49" t="n">
        <f aca="false">DATE(YEAR(B26),MONTH(B26),1)</f>
        <v>45658</v>
      </c>
      <c r="D26" s="31" t="s">
        <v>193</v>
      </c>
      <c r="E26" s="31" t="s">
        <v>41</v>
      </c>
      <c r="F26" s="31" t="s">
        <v>45</v>
      </c>
      <c r="G26" s="31" t="s">
        <v>62</v>
      </c>
      <c r="H26" s="31" t="s">
        <v>185</v>
      </c>
      <c r="I26" s="32" t="str">
        <f aca="false">INDEX(Productos!$B$2:$B$13,MATCH($H26,Productos!$A$2:$A$13,0))</f>
        <v>Varilla roscada M10 x 1 m zincada</v>
      </c>
      <c r="J26" s="32" t="str">
        <f aca="false">INDEX(Productos!$C$2:$C$13,MATCH($H26,Productos!$A$2:$A$13,0))</f>
        <v>Especial</v>
      </c>
      <c r="K26" s="31" t="s">
        <v>246</v>
      </c>
      <c r="L26" s="46" t="n">
        <v>55</v>
      </c>
      <c r="M26" s="50" t="n">
        <f aca="false">INDEX(Productos!$F$2:$F$13,MATCH($H26,Productos!$A$2:$A$13,0))</f>
        <v>54</v>
      </c>
      <c r="N26" s="51" t="n">
        <v>0.165</v>
      </c>
      <c r="O26" s="52" t="n">
        <f aca="false">M26*(1-N26)</f>
        <v>45.09</v>
      </c>
      <c r="P26" s="21" t="n">
        <f aca="false">L26*O26</f>
        <v>2479.95</v>
      </c>
      <c r="Q26" s="50" t="n">
        <f aca="false">INDEX(Productos!$E$2:$E$13,MATCH($H26,Productos!$A$2:$A$13,0))*INDEX(Parametros!$B$26:$B$43,MATCH($C26,Parametros!$A$26:$A$43,0))</f>
        <v>28.8705</v>
      </c>
      <c r="R26" s="21" t="n">
        <f aca="false">L26*Q26</f>
        <v>1587.8775</v>
      </c>
      <c r="S26" s="18" t="n">
        <f aca="false">L26*INDEX(Parametros!$B$20:$B$22,MATCH($E26,Parametros!$A$20:$A$22,0))</f>
        <v>46.75</v>
      </c>
      <c r="T26" s="18" t="n">
        <f aca="false">P26*INDEX(Parametros!$B$13:$B$16,MATCH($F26,Parametros!$A$13:$A$16,0))</f>
        <v>74.3985</v>
      </c>
      <c r="U26" s="21" t="n">
        <f aca="false">P26-R26-S26-T26</f>
        <v>770.924</v>
      </c>
      <c r="V26" s="19" t="n">
        <f aca="false">IFERROR(U26/P26,0)</f>
        <v>0.310862719006432</v>
      </c>
      <c r="W26" s="48" t="n">
        <f aca="false">B26+INDEX(Parametros!$C$13:$C$16,MATCH($F26,Parametros!$A$13:$A$16,0))</f>
        <v>45730</v>
      </c>
      <c r="X26" s="31" t="s">
        <v>67</v>
      </c>
      <c r="Y26" s="53" t="n">
        <f aca="false">IF(COUNTIF($A$2:$A26,A26)=1,1,0)</f>
        <v>1</v>
      </c>
    </row>
    <row r="27" customFormat="false" ht="15" hidden="false" customHeight="false" outlineLevel="0" collapsed="false">
      <c r="A27" s="31" t="s">
        <v>262</v>
      </c>
      <c r="B27" s="36" t="n">
        <v>45671</v>
      </c>
      <c r="C27" s="49" t="n">
        <f aca="false">DATE(YEAR(B27),MONTH(B27),1)</f>
        <v>45658</v>
      </c>
      <c r="D27" s="31" t="s">
        <v>213</v>
      </c>
      <c r="E27" s="31" t="s">
        <v>42</v>
      </c>
      <c r="F27" s="31" t="s">
        <v>46</v>
      </c>
      <c r="G27" s="31" t="s">
        <v>61</v>
      </c>
      <c r="H27" s="31" t="s">
        <v>173</v>
      </c>
      <c r="I27" s="32" t="str">
        <f aca="false">INDEX(Productos!$B$2:$B$13,MATCH($H27,Productos!$A$2:$A$13,0))</f>
        <v>Tornillo DIN 933 M12x70 clase 8.8</v>
      </c>
      <c r="J27" s="32" t="str">
        <f aca="false">INDEX(Productos!$C$2:$C$13,MATCH($H27,Productos!$A$2:$A$13,0))</f>
        <v>Métrica</v>
      </c>
      <c r="K27" s="31" t="s">
        <v>246</v>
      </c>
      <c r="L27" s="46" t="n">
        <v>75</v>
      </c>
      <c r="M27" s="50" t="n">
        <f aca="false">INDEX(Productos!$F$2:$F$13,MATCH($H27,Productos!$A$2:$A$13,0))</f>
        <v>64</v>
      </c>
      <c r="N27" s="51" t="n">
        <v>0.099</v>
      </c>
      <c r="O27" s="52" t="n">
        <f aca="false">M27*(1-N27)</f>
        <v>57.664</v>
      </c>
      <c r="P27" s="21" t="n">
        <f aca="false">L27*O27</f>
        <v>4324.8</v>
      </c>
      <c r="Q27" s="50" t="n">
        <f aca="false">INDEX(Productos!$E$2:$E$13,MATCH($H27,Productos!$A$2:$A$13,0))*INDEX(Parametros!$B$26:$B$43,MATCH($C27,Parametros!$A$26:$A$43,0))</f>
        <v>33.9355</v>
      </c>
      <c r="R27" s="21" t="n">
        <f aca="false">L27*Q27</f>
        <v>2545.1625</v>
      </c>
      <c r="S27" s="18" t="n">
        <f aca="false">L27*INDEX(Parametros!$B$20:$B$22,MATCH($E27,Parametros!$A$20:$A$22,0))</f>
        <v>180</v>
      </c>
      <c r="T27" s="18" t="n">
        <f aca="false">P27*INDEX(Parametros!$B$13:$B$16,MATCH($F27,Parametros!$A$13:$A$16,0))</f>
        <v>172.992</v>
      </c>
      <c r="U27" s="21" t="n">
        <f aca="false">P27-R27-S27-T27</f>
        <v>1426.6455</v>
      </c>
      <c r="V27" s="19" t="n">
        <f aca="false">IFERROR(U27/P27,0)</f>
        <v>0.329875485571587</v>
      </c>
      <c r="W27" s="48" t="n">
        <f aca="false">B27+INDEX(Parametros!$C$13:$C$16,MATCH($F27,Parametros!$A$13:$A$16,0))</f>
        <v>45746</v>
      </c>
      <c r="X27" s="31" t="s">
        <v>67</v>
      </c>
      <c r="Y27" s="53" t="n">
        <f aca="false">IF(COUNTIF($A$2:$A27,A27)=1,1,0)</f>
        <v>1</v>
      </c>
    </row>
    <row r="28" customFormat="false" ht="15" hidden="false" customHeight="false" outlineLevel="0" collapsed="false">
      <c r="A28" s="31" t="s">
        <v>262</v>
      </c>
      <c r="B28" s="36" t="n">
        <v>45671</v>
      </c>
      <c r="C28" s="49" t="n">
        <f aca="false">DATE(YEAR(B28),MONTH(B28),1)</f>
        <v>45658</v>
      </c>
      <c r="D28" s="31" t="s">
        <v>213</v>
      </c>
      <c r="E28" s="31" t="s">
        <v>42</v>
      </c>
      <c r="F28" s="31" t="s">
        <v>46</v>
      </c>
      <c r="G28" s="31" t="s">
        <v>61</v>
      </c>
      <c r="H28" s="31" t="s">
        <v>167</v>
      </c>
      <c r="I28" s="32" t="str">
        <f aca="false">INDEX(Productos!$B$2:$B$13,MATCH($H28,Productos!$A$2:$A$13,0))</f>
        <v>Tornillo DIN 912 M6x25 Allen zincado</v>
      </c>
      <c r="J28" s="32" t="str">
        <f aca="false">INDEX(Productos!$C$2:$C$13,MATCH($H28,Productos!$A$2:$A$13,0))</f>
        <v>Métrica</v>
      </c>
      <c r="K28" s="31" t="s">
        <v>246</v>
      </c>
      <c r="L28" s="46" t="n">
        <v>24</v>
      </c>
      <c r="M28" s="50" t="n">
        <f aca="false">INDEX(Productos!$F$2:$F$13,MATCH($H28,Productos!$A$2:$A$13,0))</f>
        <v>42</v>
      </c>
      <c r="N28" s="51" t="n">
        <v>0.15</v>
      </c>
      <c r="O28" s="52" t="n">
        <f aca="false">M28*(1-N28)</f>
        <v>35.7</v>
      </c>
      <c r="P28" s="21" t="n">
        <f aca="false">L28*O28</f>
        <v>856.8</v>
      </c>
      <c r="Q28" s="50" t="n">
        <f aca="false">INDEX(Productos!$E$2:$E$13,MATCH($H28,Productos!$A$2:$A$13,0))*INDEX(Parametros!$B$26:$B$43,MATCH($C28,Parametros!$A$26:$A$43,0))</f>
        <v>22.0834</v>
      </c>
      <c r="R28" s="21" t="n">
        <f aca="false">L28*Q28</f>
        <v>530.0016</v>
      </c>
      <c r="S28" s="18" t="n">
        <f aca="false">L28*INDEX(Parametros!$B$20:$B$22,MATCH($E28,Parametros!$A$20:$A$22,0))</f>
        <v>57.6</v>
      </c>
      <c r="T28" s="18" t="n">
        <f aca="false">P28*INDEX(Parametros!$B$13:$B$16,MATCH($F28,Parametros!$A$13:$A$16,0))</f>
        <v>34.272</v>
      </c>
      <c r="U28" s="21" t="n">
        <f aca="false">P28-R28-S28-T28</f>
        <v>234.9264</v>
      </c>
      <c r="V28" s="19" t="n">
        <f aca="false">IFERROR(U28/P28,0)</f>
        <v>0.274190476190476</v>
      </c>
      <c r="W28" s="48" t="n">
        <f aca="false">B28+INDEX(Parametros!$C$13:$C$16,MATCH($F28,Parametros!$A$13:$A$16,0))</f>
        <v>45746</v>
      </c>
      <c r="X28" s="31" t="s">
        <v>67</v>
      </c>
      <c r="Y28" s="53" t="n">
        <f aca="false">IF(COUNTIF($A$2:$A28,A28)=1,1,0)</f>
        <v>0</v>
      </c>
    </row>
    <row r="29" customFormat="false" ht="15" hidden="false" customHeight="false" outlineLevel="0" collapsed="false">
      <c r="A29" s="31" t="s">
        <v>262</v>
      </c>
      <c r="B29" s="36" t="n">
        <v>45671</v>
      </c>
      <c r="C29" s="49" t="n">
        <f aca="false">DATE(YEAR(B29),MONTH(B29),1)</f>
        <v>45658</v>
      </c>
      <c r="D29" s="31" t="s">
        <v>213</v>
      </c>
      <c r="E29" s="31" t="s">
        <v>42</v>
      </c>
      <c r="F29" s="31" t="s">
        <v>46</v>
      </c>
      <c r="G29" s="31" t="s">
        <v>61</v>
      </c>
      <c r="H29" s="31" t="s">
        <v>165</v>
      </c>
      <c r="I29" s="32" t="str">
        <f aca="false">INDEX(Productos!$B$2:$B$13,MATCH($H29,Productos!$A$2:$A$13,0))</f>
        <v>Tornillo DIN 933 M8x40 rosca completa zincado</v>
      </c>
      <c r="J29" s="32" t="str">
        <f aca="false">INDEX(Productos!$C$2:$C$13,MATCH($H29,Productos!$A$2:$A$13,0))</f>
        <v>Métrica</v>
      </c>
      <c r="K29" s="31" t="s">
        <v>246</v>
      </c>
      <c r="L29" s="46" t="n">
        <v>54</v>
      </c>
      <c r="M29" s="50" t="n">
        <f aca="false">INDEX(Productos!$F$2:$F$13,MATCH($H29,Productos!$A$2:$A$13,0))</f>
        <v>37.5</v>
      </c>
      <c r="N29" s="51" t="n">
        <v>0.106</v>
      </c>
      <c r="O29" s="52" t="n">
        <f aca="false">M29*(1-N29)</f>
        <v>33.525</v>
      </c>
      <c r="P29" s="21" t="n">
        <f aca="false">L29*O29</f>
        <v>1810.35</v>
      </c>
      <c r="Q29" s="50" t="n">
        <f aca="false">INDEX(Productos!$E$2:$E$13,MATCH($H29,Productos!$A$2:$A$13,0))*INDEX(Parametros!$B$26:$B$43,MATCH($C29,Parametros!$A$26:$A$43,0))</f>
        <v>19.6522</v>
      </c>
      <c r="R29" s="21" t="n">
        <f aca="false">L29*Q29</f>
        <v>1061.2188</v>
      </c>
      <c r="S29" s="18" t="n">
        <f aca="false">L29*INDEX(Parametros!$B$20:$B$22,MATCH($E29,Parametros!$A$20:$A$22,0))</f>
        <v>129.6</v>
      </c>
      <c r="T29" s="18" t="n">
        <f aca="false">P29*INDEX(Parametros!$B$13:$B$16,MATCH($F29,Parametros!$A$13:$A$16,0))</f>
        <v>72.414</v>
      </c>
      <c r="U29" s="21" t="n">
        <f aca="false">P29-R29-S29-T29</f>
        <v>547.1172</v>
      </c>
      <c r="V29" s="19" t="n">
        <f aca="false">IFERROR(U29/P29,0)</f>
        <v>0.302216256524981</v>
      </c>
      <c r="W29" s="48" t="n">
        <f aca="false">B29+INDEX(Parametros!$C$13:$C$16,MATCH($F29,Parametros!$A$13:$A$16,0))</f>
        <v>45746</v>
      </c>
      <c r="X29" s="31" t="s">
        <v>69</v>
      </c>
      <c r="Y29" s="53" t="n">
        <f aca="false">IF(COUNTIF($A$2:$A29,A29)=1,1,0)</f>
        <v>0</v>
      </c>
    </row>
    <row r="30" customFormat="false" ht="15" hidden="false" customHeight="false" outlineLevel="0" collapsed="false">
      <c r="A30" s="31" t="s">
        <v>262</v>
      </c>
      <c r="B30" s="36" t="n">
        <v>45671</v>
      </c>
      <c r="C30" s="49" t="n">
        <f aca="false">DATE(YEAR(B30),MONTH(B30),1)</f>
        <v>45658</v>
      </c>
      <c r="D30" s="31" t="s">
        <v>213</v>
      </c>
      <c r="E30" s="31" t="s">
        <v>42</v>
      </c>
      <c r="F30" s="31" t="s">
        <v>46</v>
      </c>
      <c r="G30" s="31" t="s">
        <v>61</v>
      </c>
      <c r="H30" s="31" t="s">
        <v>185</v>
      </c>
      <c r="I30" s="32" t="str">
        <f aca="false">INDEX(Productos!$B$2:$B$13,MATCH($H30,Productos!$A$2:$A$13,0))</f>
        <v>Varilla roscada M10 x 1 m zincada</v>
      </c>
      <c r="J30" s="32" t="str">
        <f aca="false">INDEX(Productos!$C$2:$C$13,MATCH($H30,Productos!$A$2:$A$13,0))</f>
        <v>Especial</v>
      </c>
      <c r="K30" s="31" t="s">
        <v>246</v>
      </c>
      <c r="L30" s="46" t="n">
        <v>56</v>
      </c>
      <c r="M30" s="50" t="n">
        <f aca="false">INDEX(Productos!$F$2:$F$13,MATCH($H30,Productos!$A$2:$A$13,0))</f>
        <v>54</v>
      </c>
      <c r="N30" s="51" t="n">
        <v>0.154</v>
      </c>
      <c r="O30" s="52" t="n">
        <f aca="false">M30*(1-N30)</f>
        <v>45.684</v>
      </c>
      <c r="P30" s="21" t="n">
        <f aca="false">L30*O30</f>
        <v>2558.304</v>
      </c>
      <c r="Q30" s="50" t="n">
        <f aca="false">INDEX(Productos!$E$2:$E$13,MATCH($H30,Productos!$A$2:$A$13,0))*INDEX(Parametros!$B$26:$B$43,MATCH($C30,Parametros!$A$26:$A$43,0))</f>
        <v>28.8705</v>
      </c>
      <c r="R30" s="21" t="n">
        <f aca="false">L30*Q30</f>
        <v>1616.748</v>
      </c>
      <c r="S30" s="18" t="n">
        <f aca="false">L30*INDEX(Parametros!$B$20:$B$22,MATCH($E30,Parametros!$A$20:$A$22,0))</f>
        <v>134.4</v>
      </c>
      <c r="T30" s="18" t="n">
        <f aca="false">P30*INDEX(Parametros!$B$13:$B$16,MATCH($F30,Parametros!$A$13:$A$16,0))</f>
        <v>102.33216</v>
      </c>
      <c r="U30" s="21" t="n">
        <f aca="false">P30-R30-S30-T30</f>
        <v>704.82384</v>
      </c>
      <c r="V30" s="19" t="n">
        <f aca="false">IFERROR(U30/P30,0)</f>
        <v>0.275504334121356</v>
      </c>
      <c r="W30" s="48" t="n">
        <f aca="false">B30+INDEX(Parametros!$C$13:$C$16,MATCH($F30,Parametros!$A$13:$A$16,0))</f>
        <v>45746</v>
      </c>
      <c r="X30" s="31" t="s">
        <v>67</v>
      </c>
      <c r="Y30" s="53" t="n">
        <f aca="false">IF(COUNTIF($A$2:$A30,A30)=1,1,0)</f>
        <v>0</v>
      </c>
    </row>
    <row r="31" customFormat="false" ht="15" hidden="false" customHeight="false" outlineLevel="0" collapsed="false">
      <c r="A31" s="31" t="s">
        <v>263</v>
      </c>
      <c r="B31" s="36" t="n">
        <v>45671</v>
      </c>
      <c r="C31" s="49" t="n">
        <f aca="false">DATE(YEAR(B31),MONTH(B31),1)</f>
        <v>45658</v>
      </c>
      <c r="D31" s="31" t="s">
        <v>206</v>
      </c>
      <c r="E31" s="31" t="s">
        <v>41</v>
      </c>
      <c r="F31" s="31" t="s">
        <v>46</v>
      </c>
      <c r="G31" s="31" t="s">
        <v>58</v>
      </c>
      <c r="H31" s="31" t="s">
        <v>179</v>
      </c>
      <c r="I31" s="32" t="str">
        <f aca="false">INDEX(Productos!$B$2:$B$13,MATCH($H31,Productos!$A$2:$A$13,0))</f>
        <v>Autotaladrante DIN 7504 4,8x38 zincado</v>
      </c>
      <c r="J31" s="32" t="str">
        <f aca="false">INDEX(Productos!$C$2:$C$13,MATCH($H31,Productos!$A$2:$A$13,0))</f>
        <v>Autotaladrante</v>
      </c>
      <c r="K31" s="31" t="s">
        <v>246</v>
      </c>
      <c r="L31" s="46" t="n">
        <v>109</v>
      </c>
      <c r="M31" s="50" t="n">
        <f aca="false">INDEX(Productos!$F$2:$F$13,MATCH($H31,Productos!$A$2:$A$13,0))</f>
        <v>29.5</v>
      </c>
      <c r="N31" s="51" t="n">
        <v>0.175</v>
      </c>
      <c r="O31" s="52" t="n">
        <f aca="false">M31*(1-N31)</f>
        <v>24.3375</v>
      </c>
      <c r="P31" s="21" t="n">
        <f aca="false">L31*O31</f>
        <v>2652.7875</v>
      </c>
      <c r="Q31" s="50" t="n">
        <f aca="false">INDEX(Productos!$E$2:$E$13,MATCH($H31,Productos!$A$2:$A$13,0))*INDEX(Parametros!$B$26:$B$43,MATCH($C31,Parametros!$A$26:$A$43,0))</f>
        <v>15.3976</v>
      </c>
      <c r="R31" s="21" t="n">
        <f aca="false">L31*Q31</f>
        <v>1678.3384</v>
      </c>
      <c r="S31" s="18" t="n">
        <f aca="false">L31*INDEX(Parametros!$B$20:$B$22,MATCH($E31,Parametros!$A$20:$A$22,0))</f>
        <v>92.65</v>
      </c>
      <c r="T31" s="18" t="n">
        <f aca="false">P31*INDEX(Parametros!$B$13:$B$16,MATCH($F31,Parametros!$A$13:$A$16,0))</f>
        <v>106.1115</v>
      </c>
      <c r="U31" s="21" t="n">
        <f aca="false">P31-R31-S31-T31</f>
        <v>775.6876</v>
      </c>
      <c r="V31" s="19" t="n">
        <f aca="false">IFERROR(U31/P31,0)</f>
        <v>0.292404725218285</v>
      </c>
      <c r="W31" s="48" t="n">
        <f aca="false">B31+INDEX(Parametros!$C$13:$C$16,MATCH($F31,Parametros!$A$13:$A$16,0))</f>
        <v>45746</v>
      </c>
      <c r="X31" s="31" t="s">
        <v>67</v>
      </c>
      <c r="Y31" s="53" t="n">
        <f aca="false">IF(COUNTIF($A$2:$A31,A31)=1,1,0)</f>
        <v>1</v>
      </c>
    </row>
    <row r="32" customFormat="false" ht="15" hidden="false" customHeight="false" outlineLevel="0" collapsed="false">
      <c r="A32" s="31" t="s">
        <v>263</v>
      </c>
      <c r="B32" s="36" t="n">
        <v>45671</v>
      </c>
      <c r="C32" s="49" t="n">
        <f aca="false">DATE(YEAR(B32),MONTH(B32),1)</f>
        <v>45658</v>
      </c>
      <c r="D32" s="31" t="s">
        <v>206</v>
      </c>
      <c r="E32" s="31" t="s">
        <v>41</v>
      </c>
      <c r="F32" s="31" t="s">
        <v>46</v>
      </c>
      <c r="G32" s="31" t="s">
        <v>58</v>
      </c>
      <c r="H32" s="31" t="s">
        <v>171</v>
      </c>
      <c r="I32" s="32" t="str">
        <f aca="false">INDEX(Productos!$B$2:$B$13,MATCH($H32,Productos!$A$2:$A$13,0))</f>
        <v>Tornillo DIN 7991 M8x30 avellanado inox A2</v>
      </c>
      <c r="J32" s="32" t="str">
        <f aca="false">INDEX(Productos!$C$2:$C$13,MATCH($H32,Productos!$A$2:$A$13,0))</f>
        <v>Inoxidable</v>
      </c>
      <c r="K32" s="31" t="s">
        <v>246</v>
      </c>
      <c r="L32" s="46" t="n">
        <v>110</v>
      </c>
      <c r="M32" s="50" t="n">
        <f aca="false">INDEX(Productos!$F$2:$F$13,MATCH($H32,Productos!$A$2:$A$13,0))</f>
        <v>88</v>
      </c>
      <c r="N32" s="51" t="n">
        <v>0.164</v>
      </c>
      <c r="O32" s="52" t="n">
        <f aca="false">M32*(1-N32)</f>
        <v>73.568</v>
      </c>
      <c r="P32" s="21" t="n">
        <f aca="false">L32*O32</f>
        <v>8092.48</v>
      </c>
      <c r="Q32" s="50" t="n">
        <f aca="false">INDEX(Productos!$E$2:$E$13,MATCH($H32,Productos!$A$2:$A$13,0))*INDEX(Parametros!$B$26:$B$43,MATCH($C32,Parametros!$A$26:$A$43,0))</f>
        <v>47.1045</v>
      </c>
      <c r="R32" s="21" t="n">
        <f aca="false">L32*Q32</f>
        <v>5181.495</v>
      </c>
      <c r="S32" s="18" t="n">
        <f aca="false">L32*INDEX(Parametros!$B$20:$B$22,MATCH($E32,Parametros!$A$20:$A$22,0))</f>
        <v>93.5</v>
      </c>
      <c r="T32" s="18" t="n">
        <f aca="false">P32*INDEX(Parametros!$B$13:$B$16,MATCH($F32,Parametros!$A$13:$A$16,0))</f>
        <v>323.6992</v>
      </c>
      <c r="U32" s="21" t="n">
        <f aca="false">P32-R32-S32-T32</f>
        <v>2493.7858</v>
      </c>
      <c r="V32" s="19" t="n">
        <f aca="false">IFERROR(U32/P32,0)</f>
        <v>0.308160885167464</v>
      </c>
      <c r="W32" s="48" t="n">
        <f aca="false">B32+INDEX(Parametros!$C$13:$C$16,MATCH($F32,Parametros!$A$13:$A$16,0))</f>
        <v>45746</v>
      </c>
      <c r="X32" s="31" t="s">
        <v>67</v>
      </c>
      <c r="Y32" s="53" t="n">
        <f aca="false">IF(COUNTIF($A$2:$A32,A32)=1,1,0)</f>
        <v>0</v>
      </c>
    </row>
    <row r="33" customFormat="false" ht="15" hidden="false" customHeight="false" outlineLevel="0" collapsed="false">
      <c r="A33" s="31" t="s">
        <v>263</v>
      </c>
      <c r="B33" s="36" t="n">
        <v>45671</v>
      </c>
      <c r="C33" s="49" t="n">
        <f aca="false">DATE(YEAR(B33),MONTH(B33),1)</f>
        <v>45658</v>
      </c>
      <c r="D33" s="31" t="s">
        <v>206</v>
      </c>
      <c r="E33" s="31" t="s">
        <v>41</v>
      </c>
      <c r="F33" s="31" t="s">
        <v>46</v>
      </c>
      <c r="G33" s="31" t="s">
        <v>58</v>
      </c>
      <c r="H33" s="31" t="s">
        <v>185</v>
      </c>
      <c r="I33" s="32" t="str">
        <f aca="false">INDEX(Productos!$B$2:$B$13,MATCH($H33,Productos!$A$2:$A$13,0))</f>
        <v>Varilla roscada M10 x 1 m zincada</v>
      </c>
      <c r="J33" s="32" t="str">
        <f aca="false">INDEX(Productos!$C$2:$C$13,MATCH($H33,Productos!$A$2:$A$13,0))</f>
        <v>Especial</v>
      </c>
      <c r="K33" s="31" t="s">
        <v>246</v>
      </c>
      <c r="L33" s="46" t="n">
        <v>83</v>
      </c>
      <c r="M33" s="50" t="n">
        <f aca="false">INDEX(Productos!$F$2:$F$13,MATCH($H33,Productos!$A$2:$A$13,0))</f>
        <v>54</v>
      </c>
      <c r="N33" s="51" t="n">
        <v>0.151</v>
      </c>
      <c r="O33" s="52" t="n">
        <f aca="false">M33*(1-N33)</f>
        <v>45.846</v>
      </c>
      <c r="P33" s="21" t="n">
        <f aca="false">L33*O33</f>
        <v>3805.218</v>
      </c>
      <c r="Q33" s="50" t="n">
        <f aca="false">INDEX(Productos!$E$2:$E$13,MATCH($H33,Productos!$A$2:$A$13,0))*INDEX(Parametros!$B$26:$B$43,MATCH($C33,Parametros!$A$26:$A$43,0))</f>
        <v>28.8705</v>
      </c>
      <c r="R33" s="21" t="n">
        <f aca="false">L33*Q33</f>
        <v>2396.2515</v>
      </c>
      <c r="S33" s="18" t="n">
        <f aca="false">L33*INDEX(Parametros!$B$20:$B$22,MATCH($E33,Parametros!$A$20:$A$22,0))</f>
        <v>70.55</v>
      </c>
      <c r="T33" s="18" t="n">
        <f aca="false">P33*INDEX(Parametros!$B$13:$B$16,MATCH($F33,Parametros!$A$13:$A$16,0))</f>
        <v>152.20872</v>
      </c>
      <c r="U33" s="21" t="n">
        <f aca="false">P33-R33-S33-T33</f>
        <v>1186.20778</v>
      </c>
      <c r="V33" s="19" t="n">
        <f aca="false">IFERROR(U33/P33,0)</f>
        <v>0.311731885006326</v>
      </c>
      <c r="W33" s="48" t="n">
        <f aca="false">B33+INDEX(Parametros!$C$13:$C$16,MATCH($F33,Parametros!$A$13:$A$16,0))</f>
        <v>45746</v>
      </c>
      <c r="X33" s="31" t="s">
        <v>67</v>
      </c>
      <c r="Y33" s="53" t="n">
        <f aca="false">IF(COUNTIF($A$2:$A33,A33)=1,1,0)</f>
        <v>0</v>
      </c>
    </row>
    <row r="34" customFormat="false" ht="15" hidden="false" customHeight="false" outlineLevel="0" collapsed="false">
      <c r="A34" s="31" t="s">
        <v>264</v>
      </c>
      <c r="B34" s="36" t="n">
        <v>45672</v>
      </c>
      <c r="C34" s="49" t="n">
        <f aca="false">DATE(YEAR(B34),MONTH(B34),1)</f>
        <v>45658</v>
      </c>
      <c r="D34" s="31" t="s">
        <v>210</v>
      </c>
      <c r="E34" s="31" t="s">
        <v>41</v>
      </c>
      <c r="F34" s="31" t="s">
        <v>48</v>
      </c>
      <c r="G34" s="31" t="s">
        <v>60</v>
      </c>
      <c r="H34" s="31" t="s">
        <v>167</v>
      </c>
      <c r="I34" s="32" t="str">
        <f aca="false">INDEX(Productos!$B$2:$B$13,MATCH($H34,Productos!$A$2:$A$13,0))</f>
        <v>Tornillo DIN 912 M6x25 Allen zincado</v>
      </c>
      <c r="J34" s="32" t="str">
        <f aca="false">INDEX(Productos!$C$2:$C$13,MATCH($H34,Productos!$A$2:$A$13,0))</f>
        <v>Métrica</v>
      </c>
      <c r="K34" s="31" t="s">
        <v>246</v>
      </c>
      <c r="L34" s="46" t="n">
        <v>12</v>
      </c>
      <c r="M34" s="50" t="n">
        <f aca="false">INDEX(Productos!$F$2:$F$13,MATCH($H34,Productos!$A$2:$A$13,0))</f>
        <v>42</v>
      </c>
      <c r="N34" s="51" t="n">
        <v>0.036</v>
      </c>
      <c r="O34" s="52" t="n">
        <f aca="false">M34*(1-N34)</f>
        <v>40.488</v>
      </c>
      <c r="P34" s="21" t="n">
        <f aca="false">L34*O34</f>
        <v>485.856</v>
      </c>
      <c r="Q34" s="50" t="n">
        <f aca="false">INDEX(Productos!$E$2:$E$13,MATCH($H34,Productos!$A$2:$A$13,0))*INDEX(Parametros!$B$26:$B$43,MATCH($C34,Parametros!$A$26:$A$43,0))</f>
        <v>22.0834</v>
      </c>
      <c r="R34" s="21" t="n">
        <f aca="false">L34*Q34</f>
        <v>265.0008</v>
      </c>
      <c r="S34" s="18" t="n">
        <f aca="false">L34*INDEX(Parametros!$B$20:$B$22,MATCH($E34,Parametros!$A$20:$A$22,0))</f>
        <v>10.2</v>
      </c>
      <c r="T34" s="18" t="n">
        <f aca="false">P34*INDEX(Parametros!$B$13:$B$16,MATCH($F34,Parametros!$A$13:$A$16,0))</f>
        <v>4.85856</v>
      </c>
      <c r="U34" s="21" t="n">
        <f aca="false">P34-R34-S34-T34</f>
        <v>205.79664</v>
      </c>
      <c r="V34" s="19" t="n">
        <f aca="false">IFERROR(U34/P34,0)</f>
        <v>0.423575380359613</v>
      </c>
      <c r="W34" s="48" t="n">
        <f aca="false">B34+INDEX(Parametros!$C$13:$C$16,MATCH($F34,Parametros!$A$13:$A$16,0))</f>
        <v>45672</v>
      </c>
      <c r="X34" s="31" t="s">
        <v>69</v>
      </c>
      <c r="Y34" s="53" t="n">
        <f aca="false">IF(COUNTIF($A$2:$A34,A34)=1,1,0)</f>
        <v>1</v>
      </c>
    </row>
    <row r="35" customFormat="false" ht="15" hidden="false" customHeight="false" outlineLevel="0" collapsed="false">
      <c r="A35" s="31" t="s">
        <v>264</v>
      </c>
      <c r="B35" s="36" t="n">
        <v>45672</v>
      </c>
      <c r="C35" s="49" t="n">
        <f aca="false">DATE(YEAR(B35),MONTH(B35),1)</f>
        <v>45658</v>
      </c>
      <c r="D35" s="31" t="s">
        <v>210</v>
      </c>
      <c r="E35" s="31" t="s">
        <v>41</v>
      </c>
      <c r="F35" s="31" t="s">
        <v>48</v>
      </c>
      <c r="G35" s="31" t="s">
        <v>60</v>
      </c>
      <c r="H35" s="31" t="s">
        <v>169</v>
      </c>
      <c r="I35" s="32" t="str">
        <f aca="false">INDEX(Productos!$B$2:$B$13,MATCH($H35,Productos!$A$2:$A$13,0))</f>
        <v>Tornillo DIN 912 M10x60 Allen inox A2</v>
      </c>
      <c r="J35" s="32" t="str">
        <f aca="false">INDEX(Productos!$C$2:$C$13,MATCH($H35,Productos!$A$2:$A$13,0))</f>
        <v>Inoxidable</v>
      </c>
      <c r="K35" s="31" t="s">
        <v>246</v>
      </c>
      <c r="L35" s="46" t="n">
        <v>5</v>
      </c>
      <c r="M35" s="50" t="n">
        <f aca="false">INDEX(Productos!$F$2:$F$13,MATCH($H35,Productos!$A$2:$A$13,0))</f>
        <v>79</v>
      </c>
      <c r="N35" s="51" t="n">
        <v>0.039</v>
      </c>
      <c r="O35" s="52" t="n">
        <f aca="false">M35*(1-N35)</f>
        <v>75.919</v>
      </c>
      <c r="P35" s="21" t="n">
        <f aca="false">L35*O35</f>
        <v>379.595</v>
      </c>
      <c r="Q35" s="50" t="n">
        <f aca="false">INDEX(Productos!$E$2:$E$13,MATCH($H35,Productos!$A$2:$A$13,0))*INDEX(Parametros!$B$26:$B$43,MATCH($C35,Parametros!$A$26:$A$43,0))</f>
        <v>42.546</v>
      </c>
      <c r="R35" s="21" t="n">
        <f aca="false">L35*Q35</f>
        <v>212.73</v>
      </c>
      <c r="S35" s="18" t="n">
        <f aca="false">L35*INDEX(Parametros!$B$20:$B$22,MATCH($E35,Parametros!$A$20:$A$22,0))</f>
        <v>4.25</v>
      </c>
      <c r="T35" s="18" t="n">
        <f aca="false">P35*INDEX(Parametros!$B$13:$B$16,MATCH($F35,Parametros!$A$13:$A$16,0))</f>
        <v>3.79595</v>
      </c>
      <c r="U35" s="21" t="n">
        <f aca="false">P35-R35-S35-T35</f>
        <v>158.81905</v>
      </c>
      <c r="V35" s="19" t="n">
        <f aca="false">IFERROR(U35/P35,0)</f>
        <v>0.418390784915502</v>
      </c>
      <c r="W35" s="48" t="n">
        <f aca="false">B35+INDEX(Parametros!$C$13:$C$16,MATCH($F35,Parametros!$A$13:$A$16,0))</f>
        <v>45672</v>
      </c>
      <c r="X35" s="31" t="s">
        <v>67</v>
      </c>
      <c r="Y35" s="53" t="n">
        <f aca="false">IF(COUNTIF($A$2:$A35,A35)=1,1,0)</f>
        <v>0</v>
      </c>
    </row>
    <row r="36" customFormat="false" ht="15" hidden="false" customHeight="false" outlineLevel="0" collapsed="false">
      <c r="A36" s="31" t="s">
        <v>264</v>
      </c>
      <c r="B36" s="36" t="n">
        <v>45672</v>
      </c>
      <c r="C36" s="49" t="n">
        <f aca="false">DATE(YEAR(B36),MONTH(B36),1)</f>
        <v>45658</v>
      </c>
      <c r="D36" s="31" t="s">
        <v>210</v>
      </c>
      <c r="E36" s="31" t="s">
        <v>41</v>
      </c>
      <c r="F36" s="31" t="s">
        <v>48</v>
      </c>
      <c r="G36" s="31" t="s">
        <v>60</v>
      </c>
      <c r="H36" s="31" t="s">
        <v>181</v>
      </c>
      <c r="I36" s="32" t="str">
        <f aca="false">INDEX(Productos!$B$2:$B$13,MATCH($H36,Productos!$A$2:$A$13,0))</f>
        <v>Autotaladrante 5,5x55 punta broca</v>
      </c>
      <c r="J36" s="32" t="str">
        <f aca="false">INDEX(Productos!$C$2:$C$13,MATCH($H36,Productos!$A$2:$A$13,0))</f>
        <v>Autotaladrante</v>
      </c>
      <c r="K36" s="31" t="s">
        <v>246</v>
      </c>
      <c r="L36" s="46" t="n">
        <v>4</v>
      </c>
      <c r="M36" s="50" t="n">
        <f aca="false">INDEX(Productos!$F$2:$F$13,MATCH($H36,Productos!$A$2:$A$13,0))</f>
        <v>39</v>
      </c>
      <c r="N36" s="51" t="n">
        <v>0.022</v>
      </c>
      <c r="O36" s="52" t="n">
        <f aca="false">M36*(1-N36)</f>
        <v>38.142</v>
      </c>
      <c r="P36" s="21" t="n">
        <f aca="false">L36*O36</f>
        <v>152.568</v>
      </c>
      <c r="Q36" s="50" t="n">
        <f aca="false">INDEX(Productos!$E$2:$E$13,MATCH($H36,Productos!$A$2:$A$13,0))*INDEX(Parametros!$B$26:$B$43,MATCH($C36,Parametros!$A$26:$A$43,0))</f>
        <v>20.5639</v>
      </c>
      <c r="R36" s="21" t="n">
        <f aca="false">L36*Q36</f>
        <v>82.2556</v>
      </c>
      <c r="S36" s="18" t="n">
        <f aca="false">L36*INDEX(Parametros!$B$20:$B$22,MATCH($E36,Parametros!$A$20:$A$22,0))</f>
        <v>3.4</v>
      </c>
      <c r="T36" s="18" t="n">
        <f aca="false">P36*INDEX(Parametros!$B$13:$B$16,MATCH($F36,Parametros!$A$13:$A$16,0))</f>
        <v>1.52568</v>
      </c>
      <c r="U36" s="21" t="n">
        <f aca="false">P36-R36-S36-T36</f>
        <v>65.38672</v>
      </c>
      <c r="V36" s="19" t="n">
        <f aca="false">IFERROR(U36/P36,0)</f>
        <v>0.428574275077342</v>
      </c>
      <c r="W36" s="48" t="n">
        <f aca="false">B36+INDEX(Parametros!$C$13:$C$16,MATCH($F36,Parametros!$A$13:$A$16,0))</f>
        <v>45672</v>
      </c>
      <c r="X36" s="31" t="s">
        <v>67</v>
      </c>
      <c r="Y36" s="53" t="n">
        <f aca="false">IF(COUNTIF($A$2:$A36,A36)=1,1,0)</f>
        <v>0</v>
      </c>
    </row>
    <row r="37" customFormat="false" ht="15" hidden="false" customHeight="false" outlineLevel="0" collapsed="false">
      <c r="A37" s="31" t="s">
        <v>265</v>
      </c>
      <c r="B37" s="36" t="n">
        <v>45674</v>
      </c>
      <c r="C37" s="49" t="n">
        <f aca="false">DATE(YEAR(B37),MONTH(B37),1)</f>
        <v>45658</v>
      </c>
      <c r="D37" s="31" t="s">
        <v>228</v>
      </c>
      <c r="E37" s="31" t="s">
        <v>43</v>
      </c>
      <c r="F37" s="31" t="s">
        <v>47</v>
      </c>
      <c r="G37" s="31" t="s">
        <v>59</v>
      </c>
      <c r="H37" s="31" t="s">
        <v>183</v>
      </c>
      <c r="I37" s="32" t="str">
        <f aca="false">INDEX(Productos!$B$2:$B$13,MATCH($H37,Productos!$A$2:$A$13,0))</f>
        <v>Tornillo estructural M16x90 clase 10.9</v>
      </c>
      <c r="J37" s="32" t="str">
        <f aca="false">INDEX(Productos!$C$2:$C$13,MATCH($H37,Productos!$A$2:$A$13,0))</f>
        <v>Especial</v>
      </c>
      <c r="K37" s="31" t="s">
        <v>246</v>
      </c>
      <c r="L37" s="46" t="n">
        <v>29</v>
      </c>
      <c r="M37" s="50" t="n">
        <f aca="false">INDEX(Productos!$F$2:$F$13,MATCH($H37,Productos!$A$2:$A$13,0))</f>
        <v>112</v>
      </c>
      <c r="N37" s="51" t="n">
        <v>0.089</v>
      </c>
      <c r="O37" s="52" t="n">
        <f aca="false">M37*(1-N37)</f>
        <v>102.032</v>
      </c>
      <c r="P37" s="21" t="n">
        <f aca="false">L37*O37</f>
        <v>2958.928</v>
      </c>
      <c r="Q37" s="50" t="n">
        <f aca="false">INDEX(Productos!$E$2:$E$13,MATCH($H37,Productos!$A$2:$A$13,0))*INDEX(Parametros!$B$26:$B$43,MATCH($C37,Parametros!$A$26:$A$43,0))</f>
        <v>60.78</v>
      </c>
      <c r="R37" s="21" t="n">
        <f aca="false">L37*Q37</f>
        <v>1762.62</v>
      </c>
      <c r="S37" s="18" t="n">
        <f aca="false">L37*INDEX(Parametros!$B$20:$B$22,MATCH($E37,Parametros!$A$20:$A$22,0))</f>
        <v>55.1</v>
      </c>
      <c r="T37" s="18" t="n">
        <f aca="false">P37*INDEX(Parametros!$B$13:$B$16,MATCH($F37,Parametros!$A$13:$A$16,0))</f>
        <v>103.56248</v>
      </c>
      <c r="U37" s="21" t="n">
        <f aca="false">P37-R37-S37-T37</f>
        <v>1037.64552</v>
      </c>
      <c r="V37" s="19" t="n">
        <f aca="false">IFERROR(U37/P37,0)</f>
        <v>0.350682923004548</v>
      </c>
      <c r="W37" s="48" t="n">
        <f aca="false">B37+INDEX(Parametros!$C$13:$C$16,MATCH($F37,Parametros!$A$13:$A$16,0))</f>
        <v>45719</v>
      </c>
      <c r="X37" s="31" t="s">
        <v>67</v>
      </c>
      <c r="Y37" s="53" t="n">
        <f aca="false">IF(COUNTIF($A$2:$A37,A37)=1,1,0)</f>
        <v>1</v>
      </c>
    </row>
    <row r="38" customFormat="false" ht="15" hidden="false" customHeight="false" outlineLevel="0" collapsed="false">
      <c r="A38" s="31" t="s">
        <v>266</v>
      </c>
      <c r="B38" s="36" t="n">
        <v>45677</v>
      </c>
      <c r="C38" s="49" t="n">
        <f aca="false">DATE(YEAR(B38),MONTH(B38),1)</f>
        <v>45658</v>
      </c>
      <c r="D38" s="31" t="s">
        <v>191</v>
      </c>
      <c r="E38" s="31" t="s">
        <v>41</v>
      </c>
      <c r="F38" s="31" t="s">
        <v>47</v>
      </c>
      <c r="G38" s="31" t="s">
        <v>58</v>
      </c>
      <c r="H38" s="31" t="s">
        <v>165</v>
      </c>
      <c r="I38" s="32" t="str">
        <f aca="false">INDEX(Productos!$B$2:$B$13,MATCH($H38,Productos!$A$2:$A$13,0))</f>
        <v>Tornillo DIN 933 M8x40 rosca completa zincado</v>
      </c>
      <c r="J38" s="32" t="str">
        <f aca="false">INDEX(Productos!$C$2:$C$13,MATCH($H38,Productos!$A$2:$A$13,0))</f>
        <v>Métrica</v>
      </c>
      <c r="K38" s="31" t="s">
        <v>246</v>
      </c>
      <c r="L38" s="46" t="n">
        <v>20</v>
      </c>
      <c r="M38" s="50" t="n">
        <f aca="false">INDEX(Productos!$F$2:$F$13,MATCH($H38,Productos!$A$2:$A$13,0))</f>
        <v>37.5</v>
      </c>
      <c r="N38" s="51" t="n">
        <v>0.04</v>
      </c>
      <c r="O38" s="52" t="n">
        <f aca="false">M38*(1-N38)</f>
        <v>36</v>
      </c>
      <c r="P38" s="21" t="n">
        <f aca="false">L38*O38</f>
        <v>720</v>
      </c>
      <c r="Q38" s="50" t="n">
        <f aca="false">INDEX(Productos!$E$2:$E$13,MATCH($H38,Productos!$A$2:$A$13,0))*INDEX(Parametros!$B$26:$B$43,MATCH($C38,Parametros!$A$26:$A$43,0))</f>
        <v>19.6522</v>
      </c>
      <c r="R38" s="21" t="n">
        <f aca="false">L38*Q38</f>
        <v>393.044</v>
      </c>
      <c r="S38" s="18" t="n">
        <f aca="false">L38*INDEX(Parametros!$B$20:$B$22,MATCH($E38,Parametros!$A$20:$A$22,0))</f>
        <v>17</v>
      </c>
      <c r="T38" s="18" t="n">
        <f aca="false">P38*INDEX(Parametros!$B$13:$B$16,MATCH($F38,Parametros!$A$13:$A$16,0))</f>
        <v>25.2</v>
      </c>
      <c r="U38" s="21" t="n">
        <f aca="false">P38-R38-S38-T38</f>
        <v>284.756</v>
      </c>
      <c r="V38" s="19" t="n">
        <f aca="false">IFERROR(U38/P38,0)</f>
        <v>0.395494444444445</v>
      </c>
      <c r="W38" s="48" t="n">
        <f aca="false">B38+INDEX(Parametros!$C$13:$C$16,MATCH($F38,Parametros!$A$13:$A$16,0))</f>
        <v>45722</v>
      </c>
      <c r="X38" s="31" t="s">
        <v>67</v>
      </c>
      <c r="Y38" s="53" t="n">
        <f aca="false">IF(COUNTIF($A$2:$A38,A38)=1,1,0)</f>
        <v>1</v>
      </c>
    </row>
    <row r="39" customFormat="false" ht="15" hidden="false" customHeight="false" outlineLevel="0" collapsed="false">
      <c r="A39" s="31" t="s">
        <v>267</v>
      </c>
      <c r="B39" s="36" t="n">
        <v>45677</v>
      </c>
      <c r="C39" s="49" t="n">
        <f aca="false">DATE(YEAR(B39),MONTH(B39),1)</f>
        <v>45658</v>
      </c>
      <c r="D39" s="31" t="s">
        <v>201</v>
      </c>
      <c r="E39" s="31" t="s">
        <v>41</v>
      </c>
      <c r="F39" s="31" t="s">
        <v>46</v>
      </c>
      <c r="G39" s="31" t="s">
        <v>62</v>
      </c>
      <c r="H39" s="31" t="s">
        <v>175</v>
      </c>
      <c r="I39" s="32" t="str">
        <f aca="false">INDEX(Productos!$B$2:$B$13,MATCH($H39,Productos!$A$2:$A$13,0))</f>
        <v>Tirafondo madera 5x60 cabeza plana Torx</v>
      </c>
      <c r="J39" s="32" t="str">
        <f aca="false">INDEX(Productos!$C$2:$C$13,MATCH($H39,Productos!$A$2:$A$13,0))</f>
        <v>Madera</v>
      </c>
      <c r="K39" s="31" t="s">
        <v>246</v>
      </c>
      <c r="L39" s="46" t="n">
        <v>87</v>
      </c>
      <c r="M39" s="50" t="n">
        <f aca="false">INDEX(Productos!$F$2:$F$13,MATCH($H39,Productos!$A$2:$A$13,0))</f>
        <v>26</v>
      </c>
      <c r="N39" s="51" t="n">
        <v>0.154</v>
      </c>
      <c r="O39" s="52" t="n">
        <f aca="false">M39*(1-N39)</f>
        <v>21.996</v>
      </c>
      <c r="P39" s="21" t="n">
        <f aca="false">L39*O39</f>
        <v>1913.652</v>
      </c>
      <c r="Q39" s="50" t="n">
        <f aca="false">INDEX(Productos!$E$2:$E$13,MATCH($H39,Productos!$A$2:$A$13,0))*INDEX(Parametros!$B$26:$B$43,MATCH($C39,Parametros!$A$26:$A$43,0))</f>
        <v>13.5742</v>
      </c>
      <c r="R39" s="21" t="n">
        <f aca="false">L39*Q39</f>
        <v>1180.9554</v>
      </c>
      <c r="S39" s="18" t="n">
        <f aca="false">L39*INDEX(Parametros!$B$20:$B$22,MATCH($E39,Parametros!$A$20:$A$22,0))</f>
        <v>73.95</v>
      </c>
      <c r="T39" s="18" t="n">
        <f aca="false">P39*INDEX(Parametros!$B$13:$B$16,MATCH($F39,Parametros!$A$13:$A$16,0))</f>
        <v>76.54608</v>
      </c>
      <c r="U39" s="21" t="n">
        <f aca="false">P39-R39-S39-T39</f>
        <v>582.20052</v>
      </c>
      <c r="V39" s="19" t="n">
        <f aca="false">IFERROR(U39/P39,0)</f>
        <v>0.304235315511911</v>
      </c>
      <c r="W39" s="48" t="n">
        <f aca="false">B39+INDEX(Parametros!$C$13:$C$16,MATCH($F39,Parametros!$A$13:$A$16,0))</f>
        <v>45752</v>
      </c>
      <c r="X39" s="31" t="s">
        <v>67</v>
      </c>
      <c r="Y39" s="53" t="n">
        <f aca="false">IF(COUNTIF($A$2:$A39,A39)=1,1,0)</f>
        <v>1</v>
      </c>
    </row>
    <row r="40" customFormat="false" ht="15" hidden="false" customHeight="false" outlineLevel="0" collapsed="false">
      <c r="A40" s="31" t="s">
        <v>267</v>
      </c>
      <c r="B40" s="36" t="n">
        <v>45677</v>
      </c>
      <c r="C40" s="49" t="n">
        <f aca="false">DATE(YEAR(B40),MONTH(B40),1)</f>
        <v>45658</v>
      </c>
      <c r="D40" s="31" t="s">
        <v>201</v>
      </c>
      <c r="E40" s="31" t="s">
        <v>41</v>
      </c>
      <c r="F40" s="31" t="s">
        <v>46</v>
      </c>
      <c r="G40" s="31" t="s">
        <v>62</v>
      </c>
      <c r="H40" s="31" t="s">
        <v>171</v>
      </c>
      <c r="I40" s="32" t="str">
        <f aca="false">INDEX(Productos!$B$2:$B$13,MATCH($H40,Productos!$A$2:$A$13,0))</f>
        <v>Tornillo DIN 7991 M8x30 avellanado inox A2</v>
      </c>
      <c r="J40" s="32" t="str">
        <f aca="false">INDEX(Productos!$C$2:$C$13,MATCH($H40,Productos!$A$2:$A$13,0))</f>
        <v>Inoxidable</v>
      </c>
      <c r="K40" s="31" t="s">
        <v>246</v>
      </c>
      <c r="L40" s="46" t="n">
        <v>122</v>
      </c>
      <c r="M40" s="50" t="n">
        <f aca="false">INDEX(Productos!$F$2:$F$13,MATCH($H40,Productos!$A$2:$A$13,0))</f>
        <v>88</v>
      </c>
      <c r="N40" s="51" t="n">
        <v>0.166</v>
      </c>
      <c r="O40" s="52" t="n">
        <f aca="false">M40*(1-N40)</f>
        <v>73.392</v>
      </c>
      <c r="P40" s="21" t="n">
        <f aca="false">L40*O40</f>
        <v>8953.824</v>
      </c>
      <c r="Q40" s="50" t="n">
        <f aca="false">INDEX(Productos!$E$2:$E$13,MATCH($H40,Productos!$A$2:$A$13,0))*INDEX(Parametros!$B$26:$B$43,MATCH($C40,Parametros!$A$26:$A$43,0))</f>
        <v>47.1045</v>
      </c>
      <c r="R40" s="21" t="n">
        <f aca="false">L40*Q40</f>
        <v>5746.749</v>
      </c>
      <c r="S40" s="18" t="n">
        <f aca="false">L40*INDEX(Parametros!$B$20:$B$22,MATCH($E40,Parametros!$A$20:$A$22,0))</f>
        <v>103.7</v>
      </c>
      <c r="T40" s="18" t="n">
        <f aca="false">P40*INDEX(Parametros!$B$13:$B$16,MATCH($F40,Parametros!$A$13:$A$16,0))</f>
        <v>358.15296</v>
      </c>
      <c r="U40" s="21" t="n">
        <f aca="false">P40-R40-S40-T40</f>
        <v>2745.22204</v>
      </c>
      <c r="V40" s="19" t="n">
        <f aca="false">IFERROR(U40/P40,0)</f>
        <v>0.306597721822542</v>
      </c>
      <c r="W40" s="48" t="n">
        <f aca="false">B40+INDEX(Parametros!$C$13:$C$16,MATCH($F40,Parametros!$A$13:$A$16,0))</f>
        <v>45752</v>
      </c>
      <c r="X40" s="31" t="s">
        <v>67</v>
      </c>
      <c r="Y40" s="53" t="n">
        <f aca="false">IF(COUNTIF($A$2:$A40,A40)=1,1,0)</f>
        <v>0</v>
      </c>
    </row>
    <row r="41" customFormat="false" ht="15" hidden="false" customHeight="false" outlineLevel="0" collapsed="false">
      <c r="A41" s="31" t="s">
        <v>268</v>
      </c>
      <c r="B41" s="36" t="n">
        <v>45677</v>
      </c>
      <c r="C41" s="49" t="n">
        <f aca="false">DATE(YEAR(B41),MONTH(B41),1)</f>
        <v>45658</v>
      </c>
      <c r="D41" s="31" t="s">
        <v>202</v>
      </c>
      <c r="E41" s="31" t="s">
        <v>41</v>
      </c>
      <c r="F41" s="31" t="s">
        <v>46</v>
      </c>
      <c r="G41" s="31" t="s">
        <v>62</v>
      </c>
      <c r="H41" s="31" t="s">
        <v>165</v>
      </c>
      <c r="I41" s="32" t="str">
        <f aca="false">INDEX(Productos!$B$2:$B$13,MATCH($H41,Productos!$A$2:$A$13,0))</f>
        <v>Tornillo DIN 933 M8x40 rosca completa zincado</v>
      </c>
      <c r="J41" s="32" t="str">
        <f aca="false">INDEX(Productos!$C$2:$C$13,MATCH($H41,Productos!$A$2:$A$13,0))</f>
        <v>Métrica</v>
      </c>
      <c r="K41" s="31" t="s">
        <v>246</v>
      </c>
      <c r="L41" s="46" t="n">
        <v>203</v>
      </c>
      <c r="M41" s="50" t="n">
        <f aca="false">INDEX(Productos!$F$2:$F$13,MATCH($H41,Productos!$A$2:$A$13,0))</f>
        <v>37.5</v>
      </c>
      <c r="N41" s="51" t="n">
        <v>0.107</v>
      </c>
      <c r="O41" s="52" t="n">
        <f aca="false">M41*(1-N41)</f>
        <v>33.4875</v>
      </c>
      <c r="P41" s="21" t="n">
        <f aca="false">L41*O41</f>
        <v>6797.9625</v>
      </c>
      <c r="Q41" s="50" t="n">
        <f aca="false">INDEX(Productos!$E$2:$E$13,MATCH($H41,Productos!$A$2:$A$13,0))*INDEX(Parametros!$B$26:$B$43,MATCH($C41,Parametros!$A$26:$A$43,0))</f>
        <v>19.6522</v>
      </c>
      <c r="R41" s="21" t="n">
        <f aca="false">L41*Q41</f>
        <v>3989.3966</v>
      </c>
      <c r="S41" s="18" t="n">
        <f aca="false">L41*INDEX(Parametros!$B$20:$B$22,MATCH($E41,Parametros!$A$20:$A$22,0))</f>
        <v>172.55</v>
      </c>
      <c r="T41" s="18" t="n">
        <f aca="false">P41*INDEX(Parametros!$B$13:$B$16,MATCH($F41,Parametros!$A$13:$A$16,0))</f>
        <v>271.9185</v>
      </c>
      <c r="U41" s="21" t="n">
        <f aca="false">P41-R41-S41-T41</f>
        <v>2364.0974</v>
      </c>
      <c r="V41" s="19" t="n">
        <f aca="false">IFERROR(U41/P41,0)</f>
        <v>0.347765584173199</v>
      </c>
      <c r="W41" s="48" t="n">
        <f aca="false">B41+INDEX(Parametros!$C$13:$C$16,MATCH($F41,Parametros!$A$13:$A$16,0))</f>
        <v>45752</v>
      </c>
      <c r="X41" s="31" t="s">
        <v>67</v>
      </c>
      <c r="Y41" s="53" t="n">
        <f aca="false">IF(COUNTIF($A$2:$A41,A41)=1,1,0)</f>
        <v>1</v>
      </c>
    </row>
    <row r="42" customFormat="false" ht="15" hidden="false" customHeight="false" outlineLevel="0" collapsed="false">
      <c r="A42" s="31" t="s">
        <v>269</v>
      </c>
      <c r="B42" s="36" t="n">
        <v>45677</v>
      </c>
      <c r="C42" s="49" t="n">
        <f aca="false">DATE(YEAR(B42),MONTH(B42),1)</f>
        <v>45658</v>
      </c>
      <c r="D42" s="31" t="s">
        <v>207</v>
      </c>
      <c r="E42" s="31" t="s">
        <v>41</v>
      </c>
      <c r="F42" s="31" t="s">
        <v>47</v>
      </c>
      <c r="G42" s="31" t="s">
        <v>62</v>
      </c>
      <c r="H42" s="31" t="s">
        <v>167</v>
      </c>
      <c r="I42" s="32" t="str">
        <f aca="false">INDEX(Productos!$B$2:$B$13,MATCH($H42,Productos!$A$2:$A$13,0))</f>
        <v>Tornillo DIN 912 M6x25 Allen zincado</v>
      </c>
      <c r="J42" s="32" t="str">
        <f aca="false">INDEX(Productos!$C$2:$C$13,MATCH($H42,Productos!$A$2:$A$13,0))</f>
        <v>Métrica</v>
      </c>
      <c r="K42" s="31" t="s">
        <v>246</v>
      </c>
      <c r="L42" s="46" t="n">
        <v>34</v>
      </c>
      <c r="M42" s="50" t="n">
        <f aca="false">INDEX(Productos!$F$2:$F$13,MATCH($H42,Productos!$A$2:$A$13,0))</f>
        <v>42</v>
      </c>
      <c r="N42" s="51" t="n">
        <v>0.066</v>
      </c>
      <c r="O42" s="52" t="n">
        <f aca="false">M42*(1-N42)</f>
        <v>39.228</v>
      </c>
      <c r="P42" s="21" t="n">
        <f aca="false">L42*O42</f>
        <v>1333.752</v>
      </c>
      <c r="Q42" s="50" t="n">
        <f aca="false">INDEX(Productos!$E$2:$E$13,MATCH($H42,Productos!$A$2:$A$13,0))*INDEX(Parametros!$B$26:$B$43,MATCH($C42,Parametros!$A$26:$A$43,0))</f>
        <v>22.0834</v>
      </c>
      <c r="R42" s="21" t="n">
        <f aca="false">L42*Q42</f>
        <v>750.8356</v>
      </c>
      <c r="S42" s="18" t="n">
        <f aca="false">L42*INDEX(Parametros!$B$20:$B$22,MATCH($E42,Parametros!$A$20:$A$22,0))</f>
        <v>28.9</v>
      </c>
      <c r="T42" s="18" t="n">
        <f aca="false">P42*INDEX(Parametros!$B$13:$B$16,MATCH($F42,Parametros!$A$13:$A$16,0))</f>
        <v>46.68132</v>
      </c>
      <c r="U42" s="21" t="n">
        <f aca="false">P42-R42-S42-T42</f>
        <v>507.33508</v>
      </c>
      <c r="V42" s="19" t="n">
        <f aca="false">IFERROR(U42/P42,0)</f>
        <v>0.380381870092791</v>
      </c>
      <c r="W42" s="48" t="n">
        <f aca="false">B42+INDEX(Parametros!$C$13:$C$16,MATCH($F42,Parametros!$A$13:$A$16,0))</f>
        <v>45722</v>
      </c>
      <c r="X42" s="31" t="s">
        <v>67</v>
      </c>
      <c r="Y42" s="53" t="n">
        <f aca="false">IF(COUNTIF($A$2:$A42,A42)=1,1,0)</f>
        <v>1</v>
      </c>
    </row>
    <row r="43" customFormat="false" ht="15" hidden="false" customHeight="false" outlineLevel="0" collapsed="false">
      <c r="A43" s="31" t="s">
        <v>270</v>
      </c>
      <c r="B43" s="36" t="n">
        <v>45677</v>
      </c>
      <c r="C43" s="49" t="n">
        <f aca="false">DATE(YEAR(B43),MONTH(B43),1)</f>
        <v>45658</v>
      </c>
      <c r="D43" s="31" t="s">
        <v>227</v>
      </c>
      <c r="E43" s="31" t="s">
        <v>43</v>
      </c>
      <c r="F43" s="31" t="s">
        <v>46</v>
      </c>
      <c r="G43" s="31" t="s">
        <v>59</v>
      </c>
      <c r="H43" s="31" t="s">
        <v>167</v>
      </c>
      <c r="I43" s="32" t="str">
        <f aca="false">INDEX(Productos!$B$2:$B$13,MATCH($H43,Productos!$A$2:$A$13,0))</f>
        <v>Tornillo DIN 912 M6x25 Allen zincado</v>
      </c>
      <c r="J43" s="32" t="str">
        <f aca="false">INDEX(Productos!$C$2:$C$13,MATCH($H43,Productos!$A$2:$A$13,0))</f>
        <v>Métrica</v>
      </c>
      <c r="K43" s="31" t="s">
        <v>246</v>
      </c>
      <c r="L43" s="46" t="n">
        <v>72</v>
      </c>
      <c r="M43" s="50" t="n">
        <f aca="false">INDEX(Productos!$F$2:$F$13,MATCH($H43,Productos!$A$2:$A$13,0))</f>
        <v>42</v>
      </c>
      <c r="N43" s="51" t="n">
        <v>0.08</v>
      </c>
      <c r="O43" s="52" t="n">
        <f aca="false">M43*(1-N43)</f>
        <v>38.64</v>
      </c>
      <c r="P43" s="21" t="n">
        <f aca="false">L43*O43</f>
        <v>2782.08</v>
      </c>
      <c r="Q43" s="50" t="n">
        <f aca="false">INDEX(Productos!$E$2:$E$13,MATCH($H43,Productos!$A$2:$A$13,0))*INDEX(Parametros!$B$26:$B$43,MATCH($C43,Parametros!$A$26:$A$43,0))</f>
        <v>22.0834</v>
      </c>
      <c r="R43" s="21" t="n">
        <f aca="false">L43*Q43</f>
        <v>1590.0048</v>
      </c>
      <c r="S43" s="18" t="n">
        <f aca="false">L43*INDEX(Parametros!$B$20:$B$22,MATCH($E43,Parametros!$A$20:$A$22,0))</f>
        <v>136.8</v>
      </c>
      <c r="T43" s="18" t="n">
        <f aca="false">P43*INDEX(Parametros!$B$13:$B$16,MATCH($F43,Parametros!$A$13:$A$16,0))</f>
        <v>111.2832</v>
      </c>
      <c r="U43" s="21" t="n">
        <f aca="false">P43-R43-S43-T43</f>
        <v>943.992</v>
      </c>
      <c r="V43" s="19" t="n">
        <f aca="false">IFERROR(U43/P43,0)</f>
        <v>0.339311594202899</v>
      </c>
      <c r="W43" s="48" t="n">
        <f aca="false">B43+INDEX(Parametros!$C$13:$C$16,MATCH($F43,Parametros!$A$13:$A$16,0))</f>
        <v>45752</v>
      </c>
      <c r="X43" s="31" t="s">
        <v>67</v>
      </c>
      <c r="Y43" s="53" t="n">
        <f aca="false">IF(COUNTIF($A$2:$A43,A43)=1,1,0)</f>
        <v>1</v>
      </c>
    </row>
    <row r="44" customFormat="false" ht="15" hidden="false" customHeight="false" outlineLevel="0" collapsed="false">
      <c r="A44" s="31" t="s">
        <v>270</v>
      </c>
      <c r="B44" s="36" t="n">
        <v>45677</v>
      </c>
      <c r="C44" s="49" t="n">
        <f aca="false">DATE(YEAR(B44),MONTH(B44),1)</f>
        <v>45658</v>
      </c>
      <c r="D44" s="31" t="s">
        <v>227</v>
      </c>
      <c r="E44" s="31" t="s">
        <v>43</v>
      </c>
      <c r="F44" s="31" t="s">
        <v>46</v>
      </c>
      <c r="G44" s="31" t="s">
        <v>59</v>
      </c>
      <c r="H44" s="31" t="s">
        <v>181</v>
      </c>
      <c r="I44" s="32" t="str">
        <f aca="false">INDEX(Productos!$B$2:$B$13,MATCH($H44,Productos!$A$2:$A$13,0))</f>
        <v>Autotaladrante 5,5x55 punta broca</v>
      </c>
      <c r="J44" s="32" t="str">
        <f aca="false">INDEX(Productos!$C$2:$C$13,MATCH($H44,Productos!$A$2:$A$13,0))</f>
        <v>Autotaladrante</v>
      </c>
      <c r="K44" s="31" t="s">
        <v>246</v>
      </c>
      <c r="L44" s="46" t="n">
        <v>37</v>
      </c>
      <c r="M44" s="50" t="n">
        <f aca="false">INDEX(Productos!$F$2:$F$13,MATCH($H44,Productos!$A$2:$A$13,0))</f>
        <v>39</v>
      </c>
      <c r="N44" s="51" t="n">
        <v>0.085</v>
      </c>
      <c r="O44" s="52" t="n">
        <f aca="false">M44*(1-N44)</f>
        <v>35.685</v>
      </c>
      <c r="P44" s="21" t="n">
        <f aca="false">L44*O44</f>
        <v>1320.345</v>
      </c>
      <c r="Q44" s="50" t="n">
        <f aca="false">INDEX(Productos!$E$2:$E$13,MATCH($H44,Productos!$A$2:$A$13,0))*INDEX(Parametros!$B$26:$B$43,MATCH($C44,Parametros!$A$26:$A$43,0))</f>
        <v>20.5639</v>
      </c>
      <c r="R44" s="21" t="n">
        <f aca="false">L44*Q44</f>
        <v>760.8643</v>
      </c>
      <c r="S44" s="18" t="n">
        <f aca="false">L44*INDEX(Parametros!$B$20:$B$22,MATCH($E44,Parametros!$A$20:$A$22,0))</f>
        <v>70.3</v>
      </c>
      <c r="T44" s="18" t="n">
        <f aca="false">P44*INDEX(Parametros!$B$13:$B$16,MATCH($F44,Parametros!$A$13:$A$16,0))</f>
        <v>52.8138</v>
      </c>
      <c r="U44" s="21" t="n">
        <f aca="false">P44-R44-S44-T44</f>
        <v>436.3669</v>
      </c>
      <c r="V44" s="19" t="n">
        <f aca="false">IFERROR(U44/P44,0)</f>
        <v>0.330494605576573</v>
      </c>
      <c r="W44" s="48" t="n">
        <f aca="false">B44+INDEX(Parametros!$C$13:$C$16,MATCH($F44,Parametros!$A$13:$A$16,0))</f>
        <v>45752</v>
      </c>
      <c r="X44" s="31" t="s">
        <v>67</v>
      </c>
      <c r="Y44" s="53" t="n">
        <f aca="false">IF(COUNTIF($A$2:$A44,A44)=1,1,0)</f>
        <v>0</v>
      </c>
    </row>
    <row r="45" customFormat="false" ht="15" hidden="false" customHeight="false" outlineLevel="0" collapsed="false">
      <c r="A45" s="31" t="s">
        <v>270</v>
      </c>
      <c r="B45" s="36" t="n">
        <v>45677</v>
      </c>
      <c r="C45" s="49" t="n">
        <f aca="false">DATE(YEAR(B45),MONTH(B45),1)</f>
        <v>45658</v>
      </c>
      <c r="D45" s="31" t="s">
        <v>227</v>
      </c>
      <c r="E45" s="31" t="s">
        <v>43</v>
      </c>
      <c r="F45" s="31" t="s">
        <v>46</v>
      </c>
      <c r="G45" s="31" t="s">
        <v>59</v>
      </c>
      <c r="H45" s="31" t="s">
        <v>185</v>
      </c>
      <c r="I45" s="32" t="str">
        <f aca="false">INDEX(Productos!$B$2:$B$13,MATCH($H45,Productos!$A$2:$A$13,0))</f>
        <v>Varilla roscada M10 x 1 m zincada</v>
      </c>
      <c r="J45" s="32" t="str">
        <f aca="false">INDEX(Productos!$C$2:$C$13,MATCH($H45,Productos!$A$2:$A$13,0))</f>
        <v>Especial</v>
      </c>
      <c r="K45" s="31" t="s">
        <v>246</v>
      </c>
      <c r="L45" s="46" t="n">
        <v>57</v>
      </c>
      <c r="M45" s="50" t="n">
        <f aca="false">INDEX(Productos!$F$2:$F$13,MATCH($H45,Productos!$A$2:$A$13,0))</f>
        <v>54</v>
      </c>
      <c r="N45" s="51" t="n">
        <v>0.108</v>
      </c>
      <c r="O45" s="52" t="n">
        <f aca="false">M45*(1-N45)</f>
        <v>48.168</v>
      </c>
      <c r="P45" s="21" t="n">
        <f aca="false">L45*O45</f>
        <v>2745.576</v>
      </c>
      <c r="Q45" s="50" t="n">
        <f aca="false">INDEX(Productos!$E$2:$E$13,MATCH($H45,Productos!$A$2:$A$13,0))*INDEX(Parametros!$B$26:$B$43,MATCH($C45,Parametros!$A$26:$A$43,0))</f>
        <v>28.8705</v>
      </c>
      <c r="R45" s="21" t="n">
        <f aca="false">L45*Q45</f>
        <v>1645.6185</v>
      </c>
      <c r="S45" s="18" t="n">
        <f aca="false">L45*INDEX(Parametros!$B$20:$B$22,MATCH($E45,Parametros!$A$20:$A$22,0))</f>
        <v>108.3</v>
      </c>
      <c r="T45" s="18" t="n">
        <f aca="false">P45*INDEX(Parametros!$B$13:$B$16,MATCH($F45,Parametros!$A$13:$A$16,0))</f>
        <v>109.82304</v>
      </c>
      <c r="U45" s="21" t="n">
        <f aca="false">P45-R45-S45-T45</f>
        <v>881.83446</v>
      </c>
      <c r="V45" s="19" t="n">
        <f aca="false">IFERROR(U45/P45,0)</f>
        <v>0.321183773459558</v>
      </c>
      <c r="W45" s="48" t="n">
        <f aca="false">B45+INDEX(Parametros!$C$13:$C$16,MATCH($F45,Parametros!$A$13:$A$16,0))</f>
        <v>45752</v>
      </c>
      <c r="X45" s="31" t="s">
        <v>67</v>
      </c>
      <c r="Y45" s="53" t="n">
        <f aca="false">IF(COUNTIF($A$2:$A45,A45)=1,1,0)</f>
        <v>0</v>
      </c>
    </row>
    <row r="46" customFormat="false" ht="15" hidden="false" customHeight="false" outlineLevel="0" collapsed="false">
      <c r="A46" s="31" t="s">
        <v>271</v>
      </c>
      <c r="B46" s="36" t="n">
        <v>45677</v>
      </c>
      <c r="C46" s="49" t="n">
        <f aca="false">DATE(YEAR(B46),MONTH(B46),1)</f>
        <v>45658</v>
      </c>
      <c r="D46" s="31" t="s">
        <v>222</v>
      </c>
      <c r="E46" s="31" t="s">
        <v>43</v>
      </c>
      <c r="F46" s="31" t="s">
        <v>45</v>
      </c>
      <c r="G46" s="31" t="s">
        <v>59</v>
      </c>
      <c r="H46" s="31" t="s">
        <v>177</v>
      </c>
      <c r="I46" s="32" t="str">
        <f aca="false">INDEX(Productos!$B$2:$B$13,MATCH($H46,Productos!$A$2:$A$13,0))</f>
        <v>Tirafondo madera 6x100 cabeza plana Torx</v>
      </c>
      <c r="J46" s="32" t="str">
        <f aca="false">INDEX(Productos!$C$2:$C$13,MATCH($H46,Productos!$A$2:$A$13,0))</f>
        <v>Madera</v>
      </c>
      <c r="K46" s="31" t="s">
        <v>246</v>
      </c>
      <c r="L46" s="46" t="n">
        <v>99</v>
      </c>
      <c r="M46" s="50" t="n">
        <f aca="false">INDEX(Productos!$F$2:$F$13,MATCH($H46,Productos!$A$2:$A$13,0))</f>
        <v>34</v>
      </c>
      <c r="N46" s="51" t="n">
        <v>0.13</v>
      </c>
      <c r="O46" s="52" t="n">
        <f aca="false">M46*(1-N46)</f>
        <v>29.58</v>
      </c>
      <c r="P46" s="21" t="n">
        <f aca="false">L46*O46</f>
        <v>2928.42</v>
      </c>
      <c r="Q46" s="50" t="n">
        <f aca="false">INDEX(Productos!$E$2:$E$13,MATCH($H46,Productos!$A$2:$A$13,0))*INDEX(Parametros!$B$26:$B$43,MATCH($C46,Parametros!$A$26:$A$43,0))</f>
        <v>18.0314</v>
      </c>
      <c r="R46" s="21" t="n">
        <f aca="false">L46*Q46</f>
        <v>1785.1086</v>
      </c>
      <c r="S46" s="18" t="n">
        <f aca="false">L46*INDEX(Parametros!$B$20:$B$22,MATCH($E46,Parametros!$A$20:$A$22,0))</f>
        <v>188.1</v>
      </c>
      <c r="T46" s="18" t="n">
        <f aca="false">P46*INDEX(Parametros!$B$13:$B$16,MATCH($F46,Parametros!$A$13:$A$16,0))</f>
        <v>87.8526</v>
      </c>
      <c r="U46" s="21" t="n">
        <f aca="false">P46-R46-S46-T46</f>
        <v>867.3588</v>
      </c>
      <c r="V46" s="19" t="n">
        <f aca="false">IFERROR(U46/P46,0)</f>
        <v>0.296186612576065</v>
      </c>
      <c r="W46" s="48" t="n">
        <f aca="false">B46+INDEX(Parametros!$C$13:$C$16,MATCH($F46,Parametros!$A$13:$A$16,0))</f>
        <v>45737</v>
      </c>
      <c r="X46" s="31" t="s">
        <v>67</v>
      </c>
      <c r="Y46" s="53" t="n">
        <f aca="false">IF(COUNTIF($A$2:$A46,A46)=1,1,0)</f>
        <v>1</v>
      </c>
    </row>
    <row r="47" customFormat="false" ht="15" hidden="false" customHeight="false" outlineLevel="0" collapsed="false">
      <c r="A47" s="31" t="s">
        <v>272</v>
      </c>
      <c r="B47" s="36" t="n">
        <v>45677</v>
      </c>
      <c r="C47" s="49" t="n">
        <f aca="false">DATE(YEAR(B47),MONTH(B47),1)</f>
        <v>45658</v>
      </c>
      <c r="D47" s="31" t="s">
        <v>214</v>
      </c>
      <c r="E47" s="31" t="s">
        <v>42</v>
      </c>
      <c r="F47" s="31" t="s">
        <v>46</v>
      </c>
      <c r="G47" s="31" t="s">
        <v>61</v>
      </c>
      <c r="H47" s="31" t="s">
        <v>163</v>
      </c>
      <c r="I47" s="32" t="str">
        <f aca="false">INDEX(Productos!$B$2:$B$13,MATCH($H47,Productos!$A$2:$A$13,0))</f>
        <v>Tornillo DIN 933 M6x30 rosca completa zincado</v>
      </c>
      <c r="J47" s="32" t="str">
        <f aca="false">INDEX(Productos!$C$2:$C$13,MATCH($H47,Productos!$A$2:$A$13,0))</f>
        <v>Métrica</v>
      </c>
      <c r="K47" s="31" t="s">
        <v>246</v>
      </c>
      <c r="L47" s="46" t="n">
        <v>104</v>
      </c>
      <c r="M47" s="50" t="n">
        <f aca="false">INDEX(Productos!$F$2:$F$13,MATCH($H47,Productos!$A$2:$A$13,0))</f>
        <v>32</v>
      </c>
      <c r="N47" s="51" t="n">
        <v>0.16</v>
      </c>
      <c r="O47" s="52" t="n">
        <f aca="false">M47*(1-N47)</f>
        <v>26.88</v>
      </c>
      <c r="P47" s="21" t="n">
        <f aca="false">L47*O47</f>
        <v>2795.52</v>
      </c>
      <c r="Q47" s="50" t="n">
        <f aca="false">INDEX(Productos!$E$2:$E$13,MATCH($H47,Productos!$A$2:$A$13,0))*INDEX(Parametros!$B$26:$B$43,MATCH($C47,Parametros!$A$26:$A$43,0))</f>
        <v>16.8158</v>
      </c>
      <c r="R47" s="21" t="n">
        <f aca="false">L47*Q47</f>
        <v>1748.8432</v>
      </c>
      <c r="S47" s="18" t="n">
        <f aca="false">L47*INDEX(Parametros!$B$20:$B$22,MATCH($E47,Parametros!$A$20:$A$22,0))</f>
        <v>249.6</v>
      </c>
      <c r="T47" s="18" t="n">
        <f aca="false">P47*INDEX(Parametros!$B$13:$B$16,MATCH($F47,Parametros!$A$13:$A$16,0))</f>
        <v>111.8208</v>
      </c>
      <c r="U47" s="21" t="n">
        <f aca="false">P47-R47-S47-T47</f>
        <v>685.256</v>
      </c>
      <c r="V47" s="19" t="n">
        <f aca="false">IFERROR(U47/P47,0)</f>
        <v>0.245126488095238</v>
      </c>
      <c r="W47" s="48" t="n">
        <f aca="false">B47+INDEX(Parametros!$C$13:$C$16,MATCH($F47,Parametros!$A$13:$A$16,0))</f>
        <v>45752</v>
      </c>
      <c r="X47" s="31" t="s">
        <v>67</v>
      </c>
      <c r="Y47" s="53" t="n">
        <f aca="false">IF(COUNTIF($A$2:$A47,A47)=1,1,0)</f>
        <v>1</v>
      </c>
    </row>
    <row r="48" customFormat="false" ht="15" hidden="false" customHeight="false" outlineLevel="0" collapsed="false">
      <c r="A48" s="31" t="s">
        <v>273</v>
      </c>
      <c r="B48" s="36" t="n">
        <v>45679</v>
      </c>
      <c r="C48" s="49" t="n">
        <f aca="false">DATE(YEAR(B48),MONTH(B48),1)</f>
        <v>45658</v>
      </c>
      <c r="D48" s="31" t="s">
        <v>219</v>
      </c>
      <c r="E48" s="31" t="s">
        <v>42</v>
      </c>
      <c r="F48" s="31" t="s">
        <v>45</v>
      </c>
      <c r="G48" s="31" t="s">
        <v>61</v>
      </c>
      <c r="H48" s="31" t="s">
        <v>165</v>
      </c>
      <c r="I48" s="32" t="str">
        <f aca="false">INDEX(Productos!$B$2:$B$13,MATCH($H48,Productos!$A$2:$A$13,0))</f>
        <v>Tornillo DIN 933 M8x40 rosca completa zincado</v>
      </c>
      <c r="J48" s="32" t="str">
        <f aca="false">INDEX(Productos!$C$2:$C$13,MATCH($H48,Productos!$A$2:$A$13,0))</f>
        <v>Métrica</v>
      </c>
      <c r="K48" s="31" t="s">
        <v>246</v>
      </c>
      <c r="L48" s="46" t="n">
        <v>134</v>
      </c>
      <c r="M48" s="50" t="n">
        <f aca="false">INDEX(Productos!$F$2:$F$13,MATCH($H48,Productos!$A$2:$A$13,0))</f>
        <v>37.5</v>
      </c>
      <c r="N48" s="51" t="n">
        <v>0.182</v>
      </c>
      <c r="O48" s="52" t="n">
        <f aca="false">M48*(1-N48)</f>
        <v>30.675</v>
      </c>
      <c r="P48" s="21" t="n">
        <f aca="false">L48*O48</f>
        <v>4110.45</v>
      </c>
      <c r="Q48" s="50" t="n">
        <f aca="false">INDEX(Productos!$E$2:$E$13,MATCH($H48,Productos!$A$2:$A$13,0))*INDEX(Parametros!$B$26:$B$43,MATCH($C48,Parametros!$A$26:$A$43,0))</f>
        <v>19.6522</v>
      </c>
      <c r="R48" s="21" t="n">
        <f aca="false">L48*Q48</f>
        <v>2633.3948</v>
      </c>
      <c r="S48" s="18" t="n">
        <f aca="false">L48*INDEX(Parametros!$B$20:$B$22,MATCH($E48,Parametros!$A$20:$A$22,0))</f>
        <v>321.6</v>
      </c>
      <c r="T48" s="18" t="n">
        <f aca="false">P48*INDEX(Parametros!$B$13:$B$16,MATCH($F48,Parametros!$A$13:$A$16,0))</f>
        <v>123.3135</v>
      </c>
      <c r="U48" s="21" t="n">
        <f aca="false">P48-R48-S48-T48</f>
        <v>1032.1417</v>
      </c>
      <c r="V48" s="19" t="n">
        <f aca="false">IFERROR(U48/P48,0)</f>
        <v>0.251101874490628</v>
      </c>
      <c r="W48" s="48" t="n">
        <f aca="false">B48+INDEX(Parametros!$C$13:$C$16,MATCH($F48,Parametros!$A$13:$A$16,0))</f>
        <v>45739</v>
      </c>
      <c r="X48" s="31" t="s">
        <v>67</v>
      </c>
      <c r="Y48" s="53" t="n">
        <f aca="false">IF(COUNTIF($A$2:$A48,A48)=1,1,0)</f>
        <v>1</v>
      </c>
    </row>
    <row r="49" customFormat="false" ht="15" hidden="false" customHeight="false" outlineLevel="0" collapsed="false">
      <c r="A49" s="31" t="s">
        <v>273</v>
      </c>
      <c r="B49" s="36" t="n">
        <v>45679</v>
      </c>
      <c r="C49" s="49" t="n">
        <f aca="false">DATE(YEAR(B49),MONTH(B49),1)</f>
        <v>45658</v>
      </c>
      <c r="D49" s="31" t="s">
        <v>219</v>
      </c>
      <c r="E49" s="31" t="s">
        <v>42</v>
      </c>
      <c r="F49" s="31" t="s">
        <v>45</v>
      </c>
      <c r="G49" s="31" t="s">
        <v>61</v>
      </c>
      <c r="H49" s="31" t="s">
        <v>173</v>
      </c>
      <c r="I49" s="32" t="str">
        <f aca="false">INDEX(Productos!$B$2:$B$13,MATCH($H49,Productos!$A$2:$A$13,0))</f>
        <v>Tornillo DIN 933 M12x70 clase 8.8</v>
      </c>
      <c r="J49" s="32" t="str">
        <f aca="false">INDEX(Productos!$C$2:$C$13,MATCH($H49,Productos!$A$2:$A$13,0))</f>
        <v>Métrica</v>
      </c>
      <c r="K49" s="31" t="s">
        <v>246</v>
      </c>
      <c r="L49" s="46" t="n">
        <v>114</v>
      </c>
      <c r="M49" s="50" t="n">
        <f aca="false">INDEX(Productos!$F$2:$F$13,MATCH($H49,Productos!$A$2:$A$13,0))</f>
        <v>64</v>
      </c>
      <c r="N49" s="51" t="n">
        <v>0.148</v>
      </c>
      <c r="O49" s="52" t="n">
        <f aca="false">M49*(1-N49)</f>
        <v>54.528</v>
      </c>
      <c r="P49" s="21" t="n">
        <f aca="false">L49*O49</f>
        <v>6216.192</v>
      </c>
      <c r="Q49" s="50" t="n">
        <f aca="false">INDEX(Productos!$E$2:$E$13,MATCH($H49,Productos!$A$2:$A$13,0))*INDEX(Parametros!$B$26:$B$43,MATCH($C49,Parametros!$A$26:$A$43,0))</f>
        <v>33.9355</v>
      </c>
      <c r="R49" s="21" t="n">
        <f aca="false">L49*Q49</f>
        <v>3868.647</v>
      </c>
      <c r="S49" s="18" t="n">
        <f aca="false">L49*INDEX(Parametros!$B$20:$B$22,MATCH($E49,Parametros!$A$20:$A$22,0))</f>
        <v>273.6</v>
      </c>
      <c r="T49" s="18" t="n">
        <f aca="false">P49*INDEX(Parametros!$B$13:$B$16,MATCH($F49,Parametros!$A$13:$A$16,0))</f>
        <v>186.48576</v>
      </c>
      <c r="U49" s="21" t="n">
        <f aca="false">P49-R49-S49-T49</f>
        <v>1887.45924</v>
      </c>
      <c r="V49" s="19" t="n">
        <f aca="false">IFERROR(U49/P49,0)</f>
        <v>0.303635930164319</v>
      </c>
      <c r="W49" s="48" t="n">
        <f aca="false">B49+INDEX(Parametros!$C$13:$C$16,MATCH($F49,Parametros!$A$13:$A$16,0))</f>
        <v>45739</v>
      </c>
      <c r="X49" s="31" t="s">
        <v>67</v>
      </c>
      <c r="Y49" s="53" t="n">
        <f aca="false">IF(COUNTIF($A$2:$A49,A49)=1,1,0)</f>
        <v>0</v>
      </c>
    </row>
    <row r="50" customFormat="false" ht="15" hidden="false" customHeight="false" outlineLevel="0" collapsed="false">
      <c r="A50" s="31" t="s">
        <v>274</v>
      </c>
      <c r="B50" s="36" t="n">
        <v>45679</v>
      </c>
      <c r="C50" s="49" t="n">
        <f aca="false">DATE(YEAR(B50),MONTH(B50),1)</f>
        <v>45658</v>
      </c>
      <c r="D50" s="31" t="s">
        <v>197</v>
      </c>
      <c r="E50" s="31" t="s">
        <v>41</v>
      </c>
      <c r="F50" s="31" t="s">
        <v>46</v>
      </c>
      <c r="G50" s="31" t="s">
        <v>58</v>
      </c>
      <c r="H50" s="31" t="s">
        <v>173</v>
      </c>
      <c r="I50" s="32" t="str">
        <f aca="false">INDEX(Productos!$B$2:$B$13,MATCH($H50,Productos!$A$2:$A$13,0))</f>
        <v>Tornillo DIN 933 M12x70 clase 8.8</v>
      </c>
      <c r="J50" s="32" t="str">
        <f aca="false">INDEX(Productos!$C$2:$C$13,MATCH($H50,Productos!$A$2:$A$13,0))</f>
        <v>Métrica</v>
      </c>
      <c r="K50" s="31" t="s">
        <v>275</v>
      </c>
      <c r="L50" s="46" t="n">
        <v>-23</v>
      </c>
      <c r="M50" s="50" t="n">
        <f aca="false">INDEX(Productos!$F$2:$F$13,MATCH($H50,Productos!$A$2:$A$13,0))</f>
        <v>64</v>
      </c>
      <c r="N50" s="51" t="n">
        <v>0.133</v>
      </c>
      <c r="O50" s="52" t="n">
        <f aca="false">M50*(1-N50)</f>
        <v>55.488</v>
      </c>
      <c r="P50" s="21" t="n">
        <f aca="false">L50*O50</f>
        <v>-1276.224</v>
      </c>
      <c r="Q50" s="50" t="n">
        <f aca="false">INDEX(Productos!$E$2:$E$13,MATCH($H50,Productos!$A$2:$A$13,0))*INDEX(Parametros!$B$26:$B$43,MATCH($C50,Parametros!$A$26:$A$43,0))</f>
        <v>33.9355</v>
      </c>
      <c r="R50" s="21" t="n">
        <f aca="false">L50*Q50</f>
        <v>-780.5165</v>
      </c>
      <c r="S50" s="18" t="n">
        <f aca="false">L50*INDEX(Parametros!$B$20:$B$22,MATCH($E50,Parametros!$A$20:$A$22,0))</f>
        <v>-19.55</v>
      </c>
      <c r="T50" s="18" t="n">
        <f aca="false">P50*INDEX(Parametros!$B$13:$B$16,MATCH($F50,Parametros!$A$13:$A$16,0))</f>
        <v>-51.04896</v>
      </c>
      <c r="U50" s="21" t="n">
        <f aca="false">P50-R50-S50-T50</f>
        <v>-425.10854</v>
      </c>
      <c r="V50" s="19" t="n">
        <f aca="false">IFERROR(U50/P50,0)</f>
        <v>0.333098688004614</v>
      </c>
      <c r="W50" s="48" t="n">
        <f aca="false">B50+INDEX(Parametros!$C$13:$C$16,MATCH($F50,Parametros!$A$13:$A$16,0))</f>
        <v>45754</v>
      </c>
      <c r="X50" s="31" t="s">
        <v>67</v>
      </c>
      <c r="Y50" s="53" t="n">
        <f aca="false">IF(COUNTIF($A$2:$A50,A50)=1,1,0)</f>
        <v>1</v>
      </c>
    </row>
    <row r="51" customFormat="false" ht="15" hidden="false" customHeight="false" outlineLevel="0" collapsed="false">
      <c r="A51" s="31" t="s">
        <v>274</v>
      </c>
      <c r="B51" s="36" t="n">
        <v>45679</v>
      </c>
      <c r="C51" s="49" t="n">
        <f aca="false">DATE(YEAR(B51),MONTH(B51),1)</f>
        <v>45658</v>
      </c>
      <c r="D51" s="31" t="s">
        <v>197</v>
      </c>
      <c r="E51" s="31" t="s">
        <v>41</v>
      </c>
      <c r="F51" s="31" t="s">
        <v>46</v>
      </c>
      <c r="G51" s="31" t="s">
        <v>58</v>
      </c>
      <c r="H51" s="31" t="s">
        <v>165</v>
      </c>
      <c r="I51" s="32" t="str">
        <f aca="false">INDEX(Productos!$B$2:$B$13,MATCH($H51,Productos!$A$2:$A$13,0))</f>
        <v>Tornillo DIN 933 M8x40 rosca completa zincado</v>
      </c>
      <c r="J51" s="32" t="str">
        <f aca="false">INDEX(Productos!$C$2:$C$13,MATCH($H51,Productos!$A$2:$A$13,0))</f>
        <v>Métrica</v>
      </c>
      <c r="K51" s="31" t="s">
        <v>275</v>
      </c>
      <c r="L51" s="46" t="n">
        <v>-62</v>
      </c>
      <c r="M51" s="50" t="n">
        <f aca="false">INDEX(Productos!$F$2:$F$13,MATCH($H51,Productos!$A$2:$A$13,0))</f>
        <v>37.5</v>
      </c>
      <c r="N51" s="51" t="n">
        <v>0.177</v>
      </c>
      <c r="O51" s="52" t="n">
        <f aca="false">M51*(1-N51)</f>
        <v>30.8625</v>
      </c>
      <c r="P51" s="21" t="n">
        <f aca="false">L51*O51</f>
        <v>-1913.475</v>
      </c>
      <c r="Q51" s="50" t="n">
        <f aca="false">INDEX(Productos!$E$2:$E$13,MATCH($H51,Productos!$A$2:$A$13,0))*INDEX(Parametros!$B$26:$B$43,MATCH($C51,Parametros!$A$26:$A$43,0))</f>
        <v>19.6522</v>
      </c>
      <c r="R51" s="21" t="n">
        <f aca="false">L51*Q51</f>
        <v>-1218.4364</v>
      </c>
      <c r="S51" s="18" t="n">
        <f aca="false">L51*INDEX(Parametros!$B$20:$B$22,MATCH($E51,Parametros!$A$20:$A$22,0))</f>
        <v>-52.7</v>
      </c>
      <c r="T51" s="18" t="n">
        <f aca="false">P51*INDEX(Parametros!$B$13:$B$16,MATCH($F51,Parametros!$A$13:$A$16,0))</f>
        <v>-76.539</v>
      </c>
      <c r="U51" s="21" t="n">
        <f aca="false">P51-R51-S51-T51</f>
        <v>-565.7996</v>
      </c>
      <c r="V51" s="19" t="n">
        <f aca="false">IFERROR(U51/P51,0)</f>
        <v>0.295692183070069</v>
      </c>
      <c r="W51" s="48" t="n">
        <f aca="false">B51+INDEX(Parametros!$C$13:$C$16,MATCH($F51,Parametros!$A$13:$A$16,0))</f>
        <v>45754</v>
      </c>
      <c r="X51" s="31" t="s">
        <v>67</v>
      </c>
      <c r="Y51" s="53" t="n">
        <f aca="false">IF(COUNTIF($A$2:$A51,A51)=1,1,0)</f>
        <v>0</v>
      </c>
    </row>
    <row r="52" customFormat="false" ht="15" hidden="false" customHeight="false" outlineLevel="0" collapsed="false">
      <c r="A52" s="31" t="s">
        <v>276</v>
      </c>
      <c r="B52" s="36" t="n">
        <v>45679</v>
      </c>
      <c r="C52" s="49" t="n">
        <f aca="false">DATE(YEAR(B52),MONTH(B52),1)</f>
        <v>45658</v>
      </c>
      <c r="D52" s="31" t="s">
        <v>201</v>
      </c>
      <c r="E52" s="31" t="s">
        <v>41</v>
      </c>
      <c r="F52" s="31" t="s">
        <v>46</v>
      </c>
      <c r="G52" s="31" t="s">
        <v>62</v>
      </c>
      <c r="H52" s="31" t="s">
        <v>173</v>
      </c>
      <c r="I52" s="32" t="str">
        <f aca="false">INDEX(Productos!$B$2:$B$13,MATCH($H52,Productos!$A$2:$A$13,0))</f>
        <v>Tornillo DIN 933 M12x70 clase 8.8</v>
      </c>
      <c r="J52" s="32" t="str">
        <f aca="false">INDEX(Productos!$C$2:$C$13,MATCH($H52,Productos!$A$2:$A$13,0))</f>
        <v>Métrica</v>
      </c>
      <c r="K52" s="31" t="s">
        <v>246</v>
      </c>
      <c r="L52" s="46" t="n">
        <v>34</v>
      </c>
      <c r="M52" s="50" t="n">
        <f aca="false">INDEX(Productos!$F$2:$F$13,MATCH($H52,Productos!$A$2:$A$13,0))</f>
        <v>64</v>
      </c>
      <c r="N52" s="51" t="n">
        <v>0.178</v>
      </c>
      <c r="O52" s="52" t="n">
        <f aca="false">M52*(1-N52)</f>
        <v>52.608</v>
      </c>
      <c r="P52" s="21" t="n">
        <f aca="false">L52*O52</f>
        <v>1788.672</v>
      </c>
      <c r="Q52" s="50" t="n">
        <f aca="false">INDEX(Productos!$E$2:$E$13,MATCH($H52,Productos!$A$2:$A$13,0))*INDEX(Parametros!$B$26:$B$43,MATCH($C52,Parametros!$A$26:$A$43,0))</f>
        <v>33.9355</v>
      </c>
      <c r="R52" s="21" t="n">
        <f aca="false">L52*Q52</f>
        <v>1153.807</v>
      </c>
      <c r="S52" s="18" t="n">
        <f aca="false">L52*INDEX(Parametros!$B$20:$B$22,MATCH($E52,Parametros!$A$20:$A$22,0))</f>
        <v>28.9</v>
      </c>
      <c r="T52" s="18" t="n">
        <f aca="false">P52*INDEX(Parametros!$B$13:$B$16,MATCH($F52,Parametros!$A$13:$A$16,0))</f>
        <v>71.54688</v>
      </c>
      <c r="U52" s="21" t="n">
        <f aca="false">P52-R52-S52-T52</f>
        <v>534.41812</v>
      </c>
      <c r="V52" s="19" t="n">
        <f aca="false">IFERROR(U52/P52,0)</f>
        <v>0.298779273114355</v>
      </c>
      <c r="W52" s="48" t="n">
        <f aca="false">B52+INDEX(Parametros!$C$13:$C$16,MATCH($F52,Parametros!$A$13:$A$16,0))</f>
        <v>45754</v>
      </c>
      <c r="X52" s="31" t="s">
        <v>67</v>
      </c>
      <c r="Y52" s="53" t="n">
        <f aca="false">IF(COUNTIF($A$2:$A52,A52)=1,1,0)</f>
        <v>1</v>
      </c>
    </row>
    <row r="53" customFormat="false" ht="15" hidden="false" customHeight="false" outlineLevel="0" collapsed="false">
      <c r="A53" s="31" t="s">
        <v>277</v>
      </c>
      <c r="B53" s="36" t="n">
        <v>45680</v>
      </c>
      <c r="C53" s="49" t="n">
        <f aca="false">DATE(YEAR(B53),MONTH(B53),1)</f>
        <v>45658</v>
      </c>
      <c r="D53" s="31" t="s">
        <v>201</v>
      </c>
      <c r="E53" s="31" t="s">
        <v>41</v>
      </c>
      <c r="F53" s="31" t="s">
        <v>46</v>
      </c>
      <c r="G53" s="31" t="s">
        <v>62</v>
      </c>
      <c r="H53" s="31" t="s">
        <v>163</v>
      </c>
      <c r="I53" s="32" t="str">
        <f aca="false">INDEX(Productos!$B$2:$B$13,MATCH($H53,Productos!$A$2:$A$13,0))</f>
        <v>Tornillo DIN 933 M6x30 rosca completa zincado</v>
      </c>
      <c r="J53" s="32" t="str">
        <f aca="false">INDEX(Productos!$C$2:$C$13,MATCH($H53,Productos!$A$2:$A$13,0))</f>
        <v>Métrica</v>
      </c>
      <c r="K53" s="31" t="s">
        <v>275</v>
      </c>
      <c r="L53" s="46" t="n">
        <v>-68</v>
      </c>
      <c r="M53" s="50" t="n">
        <f aca="false">INDEX(Productos!$F$2:$F$13,MATCH($H53,Productos!$A$2:$A$13,0))</f>
        <v>32</v>
      </c>
      <c r="N53" s="51" t="n">
        <v>0.14</v>
      </c>
      <c r="O53" s="52" t="n">
        <f aca="false">M53*(1-N53)</f>
        <v>27.52</v>
      </c>
      <c r="P53" s="21" t="n">
        <f aca="false">L53*O53</f>
        <v>-1871.36</v>
      </c>
      <c r="Q53" s="50" t="n">
        <f aca="false">INDEX(Productos!$E$2:$E$13,MATCH($H53,Productos!$A$2:$A$13,0))*INDEX(Parametros!$B$26:$B$43,MATCH($C53,Parametros!$A$26:$A$43,0))</f>
        <v>16.8158</v>
      </c>
      <c r="R53" s="21" t="n">
        <f aca="false">L53*Q53</f>
        <v>-1143.4744</v>
      </c>
      <c r="S53" s="18" t="n">
        <f aca="false">L53*INDEX(Parametros!$B$20:$B$22,MATCH($E53,Parametros!$A$20:$A$22,0))</f>
        <v>-57.8</v>
      </c>
      <c r="T53" s="18" t="n">
        <f aca="false">P53*INDEX(Parametros!$B$13:$B$16,MATCH($F53,Parametros!$A$13:$A$16,0))</f>
        <v>-74.8544</v>
      </c>
      <c r="U53" s="21" t="n">
        <f aca="false">P53-R53-S53-T53</f>
        <v>-595.2312</v>
      </c>
      <c r="V53" s="19" t="n">
        <f aca="false">IFERROR(U53/P53,0)</f>
        <v>0.318074127906977</v>
      </c>
      <c r="W53" s="48" t="n">
        <f aca="false">B53+INDEX(Parametros!$C$13:$C$16,MATCH($F53,Parametros!$A$13:$A$16,0))</f>
        <v>45755</v>
      </c>
      <c r="X53" s="31" t="s">
        <v>67</v>
      </c>
      <c r="Y53" s="53" t="n">
        <f aca="false">IF(COUNTIF($A$2:$A53,A53)=1,1,0)</f>
        <v>1</v>
      </c>
    </row>
    <row r="54" customFormat="false" ht="15" hidden="false" customHeight="false" outlineLevel="0" collapsed="false">
      <c r="A54" s="31" t="s">
        <v>277</v>
      </c>
      <c r="B54" s="36" t="n">
        <v>45680</v>
      </c>
      <c r="C54" s="49" t="n">
        <f aca="false">DATE(YEAR(B54),MONTH(B54),1)</f>
        <v>45658</v>
      </c>
      <c r="D54" s="31" t="s">
        <v>201</v>
      </c>
      <c r="E54" s="31" t="s">
        <v>41</v>
      </c>
      <c r="F54" s="31" t="s">
        <v>46</v>
      </c>
      <c r="G54" s="31" t="s">
        <v>62</v>
      </c>
      <c r="H54" s="31" t="s">
        <v>183</v>
      </c>
      <c r="I54" s="32" t="str">
        <f aca="false">INDEX(Productos!$B$2:$B$13,MATCH($H54,Productos!$A$2:$A$13,0))</f>
        <v>Tornillo estructural M16x90 clase 10.9</v>
      </c>
      <c r="J54" s="32" t="str">
        <f aca="false">INDEX(Productos!$C$2:$C$13,MATCH($H54,Productos!$A$2:$A$13,0))</f>
        <v>Especial</v>
      </c>
      <c r="K54" s="31" t="s">
        <v>275</v>
      </c>
      <c r="L54" s="46" t="n">
        <v>-14</v>
      </c>
      <c r="M54" s="50" t="n">
        <f aca="false">INDEX(Productos!$F$2:$F$13,MATCH($H54,Productos!$A$2:$A$13,0))</f>
        <v>112</v>
      </c>
      <c r="N54" s="51" t="n">
        <v>0.089</v>
      </c>
      <c r="O54" s="52" t="n">
        <f aca="false">M54*(1-N54)</f>
        <v>102.032</v>
      </c>
      <c r="P54" s="21" t="n">
        <f aca="false">L54*O54</f>
        <v>-1428.448</v>
      </c>
      <c r="Q54" s="50" t="n">
        <f aca="false">INDEX(Productos!$E$2:$E$13,MATCH($H54,Productos!$A$2:$A$13,0))*INDEX(Parametros!$B$26:$B$43,MATCH($C54,Parametros!$A$26:$A$43,0))</f>
        <v>60.78</v>
      </c>
      <c r="R54" s="21" t="n">
        <f aca="false">L54*Q54</f>
        <v>-850.92</v>
      </c>
      <c r="S54" s="18" t="n">
        <f aca="false">L54*INDEX(Parametros!$B$20:$B$22,MATCH($E54,Parametros!$A$20:$A$22,0))</f>
        <v>-11.9</v>
      </c>
      <c r="T54" s="18" t="n">
        <f aca="false">P54*INDEX(Parametros!$B$13:$B$16,MATCH($F54,Parametros!$A$13:$A$16,0))</f>
        <v>-57.13792</v>
      </c>
      <c r="U54" s="21" t="n">
        <f aca="false">P54-R54-S54-T54</f>
        <v>-508.49008</v>
      </c>
      <c r="V54" s="19" t="n">
        <f aca="false">IFERROR(U54/P54,0)</f>
        <v>0.355973812137369</v>
      </c>
      <c r="W54" s="48" t="n">
        <f aca="false">B54+INDEX(Parametros!$C$13:$C$16,MATCH($F54,Parametros!$A$13:$A$16,0))</f>
        <v>45755</v>
      </c>
      <c r="X54" s="31" t="s">
        <v>67</v>
      </c>
      <c r="Y54" s="53" t="n">
        <f aca="false">IF(COUNTIF($A$2:$A54,A54)=1,1,0)</f>
        <v>0</v>
      </c>
    </row>
    <row r="55" customFormat="false" ht="15" hidden="false" customHeight="false" outlineLevel="0" collapsed="false">
      <c r="A55" s="31" t="s">
        <v>277</v>
      </c>
      <c r="B55" s="36" t="n">
        <v>45680</v>
      </c>
      <c r="C55" s="49" t="n">
        <f aca="false">DATE(YEAR(B55),MONTH(B55),1)</f>
        <v>45658</v>
      </c>
      <c r="D55" s="31" t="s">
        <v>201</v>
      </c>
      <c r="E55" s="31" t="s">
        <v>41</v>
      </c>
      <c r="F55" s="31" t="s">
        <v>46</v>
      </c>
      <c r="G55" s="31" t="s">
        <v>62</v>
      </c>
      <c r="H55" s="31" t="s">
        <v>179</v>
      </c>
      <c r="I55" s="32" t="str">
        <f aca="false">INDEX(Productos!$B$2:$B$13,MATCH($H55,Productos!$A$2:$A$13,0))</f>
        <v>Autotaladrante DIN 7504 4,8x38 zincado</v>
      </c>
      <c r="J55" s="32" t="str">
        <f aca="false">INDEX(Productos!$C$2:$C$13,MATCH($H55,Productos!$A$2:$A$13,0))</f>
        <v>Autotaladrante</v>
      </c>
      <c r="K55" s="31" t="s">
        <v>275</v>
      </c>
      <c r="L55" s="46" t="n">
        <v>-5</v>
      </c>
      <c r="M55" s="50" t="n">
        <f aca="false">INDEX(Productos!$F$2:$F$13,MATCH($H55,Productos!$A$2:$A$13,0))</f>
        <v>29.5</v>
      </c>
      <c r="N55" s="51" t="n">
        <v>0.132</v>
      </c>
      <c r="O55" s="52" t="n">
        <f aca="false">M55*(1-N55)</f>
        <v>25.606</v>
      </c>
      <c r="P55" s="21" t="n">
        <f aca="false">L55*O55</f>
        <v>-128.03</v>
      </c>
      <c r="Q55" s="50" t="n">
        <f aca="false">INDEX(Productos!$E$2:$E$13,MATCH($H55,Productos!$A$2:$A$13,0))*INDEX(Parametros!$B$26:$B$43,MATCH($C55,Parametros!$A$26:$A$43,0))</f>
        <v>15.3976</v>
      </c>
      <c r="R55" s="21" t="n">
        <f aca="false">L55*Q55</f>
        <v>-76.988</v>
      </c>
      <c r="S55" s="18" t="n">
        <f aca="false">L55*INDEX(Parametros!$B$20:$B$22,MATCH($E55,Parametros!$A$20:$A$22,0))</f>
        <v>-4.25</v>
      </c>
      <c r="T55" s="18" t="n">
        <f aca="false">P55*INDEX(Parametros!$B$13:$B$16,MATCH($F55,Parametros!$A$13:$A$16,0))</f>
        <v>-5.1212</v>
      </c>
      <c r="U55" s="21" t="n">
        <f aca="false">P55-R55-S55-T55</f>
        <v>-41.6708</v>
      </c>
      <c r="V55" s="19" t="n">
        <f aca="false">IFERROR(U55/P55,0)</f>
        <v>0.325476841365305</v>
      </c>
      <c r="W55" s="48" t="n">
        <f aca="false">B55+INDEX(Parametros!$C$13:$C$16,MATCH($F55,Parametros!$A$13:$A$16,0))</f>
        <v>45755</v>
      </c>
      <c r="X55" s="31" t="s">
        <v>67</v>
      </c>
      <c r="Y55" s="53" t="n">
        <f aca="false">IF(COUNTIF($A$2:$A55,A55)=1,1,0)</f>
        <v>0</v>
      </c>
    </row>
    <row r="56" customFormat="false" ht="15" hidden="false" customHeight="false" outlineLevel="0" collapsed="false">
      <c r="A56" s="31" t="s">
        <v>277</v>
      </c>
      <c r="B56" s="36" t="n">
        <v>45680</v>
      </c>
      <c r="C56" s="49" t="n">
        <f aca="false">DATE(YEAR(B56),MONTH(B56),1)</f>
        <v>45658</v>
      </c>
      <c r="D56" s="31" t="s">
        <v>201</v>
      </c>
      <c r="E56" s="31" t="s">
        <v>41</v>
      </c>
      <c r="F56" s="31" t="s">
        <v>46</v>
      </c>
      <c r="G56" s="31" t="s">
        <v>62</v>
      </c>
      <c r="H56" s="31" t="s">
        <v>185</v>
      </c>
      <c r="I56" s="32" t="str">
        <f aca="false">INDEX(Productos!$B$2:$B$13,MATCH($H56,Productos!$A$2:$A$13,0))</f>
        <v>Varilla roscada M10 x 1 m zincada</v>
      </c>
      <c r="J56" s="32" t="str">
        <f aca="false">INDEX(Productos!$C$2:$C$13,MATCH($H56,Productos!$A$2:$A$13,0))</f>
        <v>Especial</v>
      </c>
      <c r="K56" s="31" t="s">
        <v>275</v>
      </c>
      <c r="L56" s="46" t="n">
        <v>-37</v>
      </c>
      <c r="M56" s="50" t="n">
        <f aca="false">INDEX(Productos!$F$2:$F$13,MATCH($H56,Productos!$A$2:$A$13,0))</f>
        <v>54</v>
      </c>
      <c r="N56" s="51" t="n">
        <v>0.157</v>
      </c>
      <c r="O56" s="52" t="n">
        <f aca="false">M56*(1-N56)</f>
        <v>45.522</v>
      </c>
      <c r="P56" s="21" t="n">
        <f aca="false">L56*O56</f>
        <v>-1684.314</v>
      </c>
      <c r="Q56" s="50" t="n">
        <f aca="false">INDEX(Productos!$E$2:$E$13,MATCH($H56,Productos!$A$2:$A$13,0))*INDEX(Parametros!$B$26:$B$43,MATCH($C56,Parametros!$A$26:$A$43,0))</f>
        <v>28.8705</v>
      </c>
      <c r="R56" s="21" t="n">
        <f aca="false">L56*Q56</f>
        <v>-1068.2085</v>
      </c>
      <c r="S56" s="18" t="n">
        <f aca="false">L56*INDEX(Parametros!$B$20:$B$22,MATCH($E56,Parametros!$A$20:$A$22,0))</f>
        <v>-31.45</v>
      </c>
      <c r="T56" s="18" t="n">
        <f aca="false">P56*INDEX(Parametros!$B$13:$B$16,MATCH($F56,Parametros!$A$13:$A$16,0))</f>
        <v>-67.37256</v>
      </c>
      <c r="U56" s="21" t="n">
        <f aca="false">P56-R56-S56-T56</f>
        <v>-517.28294</v>
      </c>
      <c r="V56" s="19" t="n">
        <f aca="false">IFERROR(U56/P56,0)</f>
        <v>0.307117877070427</v>
      </c>
      <c r="W56" s="48" t="n">
        <f aca="false">B56+INDEX(Parametros!$C$13:$C$16,MATCH($F56,Parametros!$A$13:$A$16,0))</f>
        <v>45755</v>
      </c>
      <c r="X56" s="31" t="s">
        <v>67</v>
      </c>
      <c r="Y56" s="53" t="n">
        <f aca="false">IF(COUNTIF($A$2:$A56,A56)=1,1,0)</f>
        <v>0</v>
      </c>
    </row>
    <row r="57" customFormat="false" ht="15" hidden="false" customHeight="false" outlineLevel="0" collapsed="false">
      <c r="A57" s="31" t="s">
        <v>278</v>
      </c>
      <c r="B57" s="36" t="n">
        <v>45684</v>
      </c>
      <c r="C57" s="49" t="n">
        <f aca="false">DATE(YEAR(B57),MONTH(B57),1)</f>
        <v>45658</v>
      </c>
      <c r="D57" s="31" t="s">
        <v>225</v>
      </c>
      <c r="E57" s="31" t="s">
        <v>43</v>
      </c>
      <c r="F57" s="31" t="s">
        <v>47</v>
      </c>
      <c r="G57" s="31" t="s">
        <v>59</v>
      </c>
      <c r="H57" s="31" t="s">
        <v>165</v>
      </c>
      <c r="I57" s="32" t="str">
        <f aca="false">INDEX(Productos!$B$2:$B$13,MATCH($H57,Productos!$A$2:$A$13,0))</f>
        <v>Tornillo DIN 933 M8x40 rosca completa zincado</v>
      </c>
      <c r="J57" s="32" t="str">
        <f aca="false">INDEX(Productos!$C$2:$C$13,MATCH($H57,Productos!$A$2:$A$13,0))</f>
        <v>Métrica</v>
      </c>
      <c r="K57" s="31" t="s">
        <v>246</v>
      </c>
      <c r="L57" s="46" t="n">
        <v>56</v>
      </c>
      <c r="M57" s="50" t="n">
        <f aca="false">INDEX(Productos!$F$2:$F$13,MATCH($H57,Productos!$A$2:$A$13,0))</f>
        <v>37.5</v>
      </c>
      <c r="N57" s="51" t="n">
        <v>0.049</v>
      </c>
      <c r="O57" s="52" t="n">
        <f aca="false">M57*(1-N57)</f>
        <v>35.6625</v>
      </c>
      <c r="P57" s="21" t="n">
        <f aca="false">L57*O57</f>
        <v>1997.1</v>
      </c>
      <c r="Q57" s="50" t="n">
        <f aca="false">INDEX(Productos!$E$2:$E$13,MATCH($H57,Productos!$A$2:$A$13,0))*INDEX(Parametros!$B$26:$B$43,MATCH($C57,Parametros!$A$26:$A$43,0))</f>
        <v>19.6522</v>
      </c>
      <c r="R57" s="21" t="n">
        <f aca="false">L57*Q57</f>
        <v>1100.5232</v>
      </c>
      <c r="S57" s="18" t="n">
        <f aca="false">L57*INDEX(Parametros!$B$20:$B$22,MATCH($E57,Parametros!$A$20:$A$22,0))</f>
        <v>106.4</v>
      </c>
      <c r="T57" s="18" t="n">
        <f aca="false">P57*INDEX(Parametros!$B$13:$B$16,MATCH($F57,Parametros!$A$13:$A$16,0))</f>
        <v>69.8985</v>
      </c>
      <c r="U57" s="21" t="n">
        <f aca="false">P57-R57-S57-T57</f>
        <v>720.2783</v>
      </c>
      <c r="V57" s="19" t="n">
        <f aca="false">IFERROR(U57/P57,0)</f>
        <v>0.360662110059587</v>
      </c>
      <c r="W57" s="48" t="n">
        <f aca="false">B57+INDEX(Parametros!$C$13:$C$16,MATCH($F57,Parametros!$A$13:$A$16,0))</f>
        <v>45729</v>
      </c>
      <c r="X57" s="31" t="s">
        <v>67</v>
      </c>
      <c r="Y57" s="53" t="n">
        <f aca="false">IF(COUNTIF($A$2:$A57,A57)=1,1,0)</f>
        <v>1</v>
      </c>
    </row>
    <row r="58" customFormat="false" ht="15" hidden="false" customHeight="false" outlineLevel="0" collapsed="false">
      <c r="A58" s="31" t="s">
        <v>278</v>
      </c>
      <c r="B58" s="36" t="n">
        <v>45684</v>
      </c>
      <c r="C58" s="49" t="n">
        <f aca="false">DATE(YEAR(B58),MONTH(B58),1)</f>
        <v>45658</v>
      </c>
      <c r="D58" s="31" t="s">
        <v>225</v>
      </c>
      <c r="E58" s="31" t="s">
        <v>43</v>
      </c>
      <c r="F58" s="31" t="s">
        <v>47</v>
      </c>
      <c r="G58" s="31" t="s">
        <v>59</v>
      </c>
      <c r="H58" s="31" t="s">
        <v>177</v>
      </c>
      <c r="I58" s="32" t="str">
        <f aca="false">INDEX(Productos!$B$2:$B$13,MATCH($H58,Productos!$A$2:$A$13,0))</f>
        <v>Tirafondo madera 6x100 cabeza plana Torx</v>
      </c>
      <c r="J58" s="32" t="str">
        <f aca="false">INDEX(Productos!$C$2:$C$13,MATCH($H58,Productos!$A$2:$A$13,0))</f>
        <v>Madera</v>
      </c>
      <c r="K58" s="31" t="s">
        <v>246</v>
      </c>
      <c r="L58" s="46" t="n">
        <v>48</v>
      </c>
      <c r="M58" s="50" t="n">
        <f aca="false">INDEX(Productos!$F$2:$F$13,MATCH($H58,Productos!$A$2:$A$13,0))</f>
        <v>34</v>
      </c>
      <c r="N58" s="51" t="n">
        <v>0.052</v>
      </c>
      <c r="O58" s="52" t="n">
        <f aca="false">M58*(1-N58)</f>
        <v>32.232</v>
      </c>
      <c r="P58" s="21" t="n">
        <f aca="false">L58*O58</f>
        <v>1547.136</v>
      </c>
      <c r="Q58" s="50" t="n">
        <f aca="false">INDEX(Productos!$E$2:$E$13,MATCH($H58,Productos!$A$2:$A$13,0))*INDEX(Parametros!$B$26:$B$43,MATCH($C58,Parametros!$A$26:$A$43,0))</f>
        <v>18.0314</v>
      </c>
      <c r="R58" s="21" t="n">
        <f aca="false">L58*Q58</f>
        <v>865.5072</v>
      </c>
      <c r="S58" s="18" t="n">
        <f aca="false">L58*INDEX(Parametros!$B$20:$B$22,MATCH($E58,Parametros!$A$20:$A$22,0))</f>
        <v>91.2</v>
      </c>
      <c r="T58" s="18" t="n">
        <f aca="false">P58*INDEX(Parametros!$B$13:$B$16,MATCH($F58,Parametros!$A$13:$A$16,0))</f>
        <v>54.14976</v>
      </c>
      <c r="U58" s="21" t="n">
        <f aca="false">P58-R58-S58-T58</f>
        <v>536.27904</v>
      </c>
      <c r="V58" s="19" t="n">
        <f aca="false">IFERROR(U58/P58,0)</f>
        <v>0.3466269545793</v>
      </c>
      <c r="W58" s="48" t="n">
        <f aca="false">B58+INDEX(Parametros!$C$13:$C$16,MATCH($F58,Parametros!$A$13:$A$16,0))</f>
        <v>45729</v>
      </c>
      <c r="X58" s="31" t="s">
        <v>67</v>
      </c>
      <c r="Y58" s="53" t="n">
        <f aca="false">IF(COUNTIF($A$2:$A58,A58)=1,1,0)</f>
        <v>0</v>
      </c>
    </row>
    <row r="59" customFormat="false" ht="15" hidden="false" customHeight="false" outlineLevel="0" collapsed="false">
      <c r="A59" s="31" t="s">
        <v>279</v>
      </c>
      <c r="B59" s="36" t="n">
        <v>45684</v>
      </c>
      <c r="C59" s="49" t="n">
        <f aca="false">DATE(YEAR(B59),MONTH(B59),1)</f>
        <v>45658</v>
      </c>
      <c r="D59" s="31" t="s">
        <v>223</v>
      </c>
      <c r="E59" s="31" t="s">
        <v>43</v>
      </c>
      <c r="F59" s="31" t="s">
        <v>46</v>
      </c>
      <c r="G59" s="31" t="s">
        <v>59</v>
      </c>
      <c r="H59" s="31" t="s">
        <v>175</v>
      </c>
      <c r="I59" s="32" t="str">
        <f aca="false">INDEX(Productos!$B$2:$B$13,MATCH($H59,Productos!$A$2:$A$13,0))</f>
        <v>Tirafondo madera 5x60 cabeza plana Torx</v>
      </c>
      <c r="J59" s="32" t="str">
        <f aca="false">INDEX(Productos!$C$2:$C$13,MATCH($H59,Productos!$A$2:$A$13,0))</f>
        <v>Madera</v>
      </c>
      <c r="K59" s="31" t="s">
        <v>246</v>
      </c>
      <c r="L59" s="46" t="n">
        <v>24</v>
      </c>
      <c r="M59" s="50" t="n">
        <f aca="false">INDEX(Productos!$F$2:$F$13,MATCH($H59,Productos!$A$2:$A$13,0))</f>
        <v>26</v>
      </c>
      <c r="N59" s="51" t="n">
        <v>0.115</v>
      </c>
      <c r="O59" s="52" t="n">
        <f aca="false">M59*(1-N59)</f>
        <v>23.01</v>
      </c>
      <c r="P59" s="21" t="n">
        <f aca="false">L59*O59</f>
        <v>552.24</v>
      </c>
      <c r="Q59" s="50" t="n">
        <f aca="false">INDEX(Productos!$E$2:$E$13,MATCH($H59,Productos!$A$2:$A$13,0))*INDEX(Parametros!$B$26:$B$43,MATCH($C59,Parametros!$A$26:$A$43,0))</f>
        <v>13.5742</v>
      </c>
      <c r="R59" s="21" t="n">
        <f aca="false">L59*Q59</f>
        <v>325.7808</v>
      </c>
      <c r="S59" s="18" t="n">
        <f aca="false">L59*INDEX(Parametros!$B$20:$B$22,MATCH($E59,Parametros!$A$20:$A$22,0))</f>
        <v>45.6</v>
      </c>
      <c r="T59" s="18" t="n">
        <f aca="false">P59*INDEX(Parametros!$B$13:$B$16,MATCH($F59,Parametros!$A$13:$A$16,0))</f>
        <v>22.0896</v>
      </c>
      <c r="U59" s="21" t="n">
        <f aca="false">P59-R59-S59-T59</f>
        <v>158.7696</v>
      </c>
      <c r="V59" s="19" t="n">
        <f aca="false">IFERROR(U59/P59,0)</f>
        <v>0.287501086484137</v>
      </c>
      <c r="W59" s="48" t="n">
        <f aca="false">B59+INDEX(Parametros!$C$13:$C$16,MATCH($F59,Parametros!$A$13:$A$16,0))</f>
        <v>45759</v>
      </c>
      <c r="X59" s="31" t="s">
        <v>67</v>
      </c>
      <c r="Y59" s="53" t="n">
        <f aca="false">IF(COUNTIF($A$2:$A59,A59)=1,1,0)</f>
        <v>1</v>
      </c>
    </row>
    <row r="60" customFormat="false" ht="15" hidden="false" customHeight="false" outlineLevel="0" collapsed="false">
      <c r="A60" s="31" t="s">
        <v>279</v>
      </c>
      <c r="B60" s="36" t="n">
        <v>45684</v>
      </c>
      <c r="C60" s="49" t="n">
        <f aca="false">DATE(YEAR(B60),MONTH(B60),1)</f>
        <v>45658</v>
      </c>
      <c r="D60" s="31" t="s">
        <v>223</v>
      </c>
      <c r="E60" s="31" t="s">
        <v>43</v>
      </c>
      <c r="F60" s="31" t="s">
        <v>46</v>
      </c>
      <c r="G60" s="31" t="s">
        <v>59</v>
      </c>
      <c r="H60" s="31" t="s">
        <v>181</v>
      </c>
      <c r="I60" s="32" t="str">
        <f aca="false">INDEX(Productos!$B$2:$B$13,MATCH($H60,Productos!$A$2:$A$13,0))</f>
        <v>Autotaladrante 5,5x55 punta broca</v>
      </c>
      <c r="J60" s="32" t="str">
        <f aca="false">INDEX(Productos!$C$2:$C$13,MATCH($H60,Productos!$A$2:$A$13,0))</f>
        <v>Autotaladrante</v>
      </c>
      <c r="K60" s="31" t="s">
        <v>246</v>
      </c>
      <c r="L60" s="46" t="n">
        <v>26</v>
      </c>
      <c r="M60" s="50" t="n">
        <f aca="false">INDEX(Productos!$F$2:$F$13,MATCH($H60,Productos!$A$2:$A$13,0))</f>
        <v>39</v>
      </c>
      <c r="N60" s="51" t="n">
        <v>0.175</v>
      </c>
      <c r="O60" s="52" t="n">
        <f aca="false">M60*(1-N60)</f>
        <v>32.175</v>
      </c>
      <c r="P60" s="21" t="n">
        <f aca="false">L60*O60</f>
        <v>836.55</v>
      </c>
      <c r="Q60" s="50" t="n">
        <f aca="false">INDEX(Productos!$E$2:$E$13,MATCH($H60,Productos!$A$2:$A$13,0))*INDEX(Parametros!$B$26:$B$43,MATCH($C60,Parametros!$A$26:$A$43,0))</f>
        <v>20.5639</v>
      </c>
      <c r="R60" s="21" t="n">
        <f aca="false">L60*Q60</f>
        <v>534.6614</v>
      </c>
      <c r="S60" s="18" t="n">
        <f aca="false">L60*INDEX(Parametros!$B$20:$B$22,MATCH($E60,Parametros!$A$20:$A$22,0))</f>
        <v>49.4</v>
      </c>
      <c r="T60" s="18" t="n">
        <f aca="false">P60*INDEX(Parametros!$B$13:$B$16,MATCH($F60,Parametros!$A$13:$A$16,0))</f>
        <v>33.462</v>
      </c>
      <c r="U60" s="21" t="n">
        <f aca="false">P60-R60-S60-T60</f>
        <v>219.0266</v>
      </c>
      <c r="V60" s="19" t="n">
        <f aca="false">IFERROR(U60/P60,0)</f>
        <v>0.26182128982129</v>
      </c>
      <c r="W60" s="48" t="n">
        <f aca="false">B60+INDEX(Parametros!$C$13:$C$16,MATCH($F60,Parametros!$A$13:$A$16,0))</f>
        <v>45759</v>
      </c>
      <c r="X60" s="31" t="s">
        <v>67</v>
      </c>
      <c r="Y60" s="53" t="n">
        <f aca="false">IF(COUNTIF($A$2:$A60,A60)=1,1,0)</f>
        <v>0</v>
      </c>
    </row>
    <row r="61" customFormat="false" ht="15" hidden="false" customHeight="false" outlineLevel="0" collapsed="false">
      <c r="A61" s="31" t="s">
        <v>279</v>
      </c>
      <c r="B61" s="36" t="n">
        <v>45684</v>
      </c>
      <c r="C61" s="49" t="n">
        <f aca="false">DATE(YEAR(B61),MONTH(B61),1)</f>
        <v>45658</v>
      </c>
      <c r="D61" s="31" t="s">
        <v>223</v>
      </c>
      <c r="E61" s="31" t="s">
        <v>43</v>
      </c>
      <c r="F61" s="31" t="s">
        <v>46</v>
      </c>
      <c r="G61" s="31" t="s">
        <v>59</v>
      </c>
      <c r="H61" s="31" t="s">
        <v>171</v>
      </c>
      <c r="I61" s="32" t="str">
        <f aca="false">INDEX(Productos!$B$2:$B$13,MATCH($H61,Productos!$A$2:$A$13,0))</f>
        <v>Tornillo DIN 7991 M8x30 avellanado inox A2</v>
      </c>
      <c r="J61" s="32" t="str">
        <f aca="false">INDEX(Productos!$C$2:$C$13,MATCH($H61,Productos!$A$2:$A$13,0))</f>
        <v>Inoxidable</v>
      </c>
      <c r="K61" s="31" t="s">
        <v>246</v>
      </c>
      <c r="L61" s="46" t="n">
        <v>76</v>
      </c>
      <c r="M61" s="50" t="n">
        <f aca="false">INDEX(Productos!$F$2:$F$13,MATCH($H61,Productos!$A$2:$A$13,0))</f>
        <v>88</v>
      </c>
      <c r="N61" s="51" t="n">
        <v>0.154</v>
      </c>
      <c r="O61" s="52" t="n">
        <f aca="false">M61*(1-N61)</f>
        <v>74.448</v>
      </c>
      <c r="P61" s="21" t="n">
        <f aca="false">L61*O61</f>
        <v>5658.048</v>
      </c>
      <c r="Q61" s="50" t="n">
        <f aca="false">INDEX(Productos!$E$2:$E$13,MATCH($H61,Productos!$A$2:$A$13,0))*INDEX(Parametros!$B$26:$B$43,MATCH($C61,Parametros!$A$26:$A$43,0))</f>
        <v>47.1045</v>
      </c>
      <c r="R61" s="21" t="n">
        <f aca="false">L61*Q61</f>
        <v>3579.942</v>
      </c>
      <c r="S61" s="18" t="n">
        <f aca="false">L61*INDEX(Parametros!$B$20:$B$22,MATCH($E61,Parametros!$A$20:$A$22,0))</f>
        <v>144.4</v>
      </c>
      <c r="T61" s="18" t="n">
        <f aca="false">P61*INDEX(Parametros!$B$13:$B$16,MATCH($F61,Parametros!$A$13:$A$16,0))</f>
        <v>226.32192</v>
      </c>
      <c r="U61" s="21" t="n">
        <f aca="false">P61-R61-S61-T61</f>
        <v>1707.38408</v>
      </c>
      <c r="V61" s="19" t="n">
        <f aca="false">IFERROR(U61/P61,0)</f>
        <v>0.301762035246078</v>
      </c>
      <c r="W61" s="48" t="n">
        <f aca="false">B61+INDEX(Parametros!$C$13:$C$16,MATCH($F61,Parametros!$A$13:$A$16,0))</f>
        <v>45759</v>
      </c>
      <c r="X61" s="31" t="s">
        <v>67</v>
      </c>
      <c r="Y61" s="53" t="n">
        <f aca="false">IF(COUNTIF($A$2:$A61,A61)=1,1,0)</f>
        <v>0</v>
      </c>
    </row>
    <row r="62" customFormat="false" ht="15" hidden="false" customHeight="false" outlineLevel="0" collapsed="false">
      <c r="A62" s="31" t="s">
        <v>279</v>
      </c>
      <c r="B62" s="36" t="n">
        <v>45684</v>
      </c>
      <c r="C62" s="49" t="n">
        <f aca="false">DATE(YEAR(B62),MONTH(B62),1)</f>
        <v>45658</v>
      </c>
      <c r="D62" s="31" t="s">
        <v>223</v>
      </c>
      <c r="E62" s="31" t="s">
        <v>43</v>
      </c>
      <c r="F62" s="31" t="s">
        <v>46</v>
      </c>
      <c r="G62" s="31" t="s">
        <v>59</v>
      </c>
      <c r="H62" s="31" t="s">
        <v>165</v>
      </c>
      <c r="I62" s="32" t="str">
        <f aca="false">INDEX(Productos!$B$2:$B$13,MATCH($H62,Productos!$A$2:$A$13,0))</f>
        <v>Tornillo DIN 933 M8x40 rosca completa zincado</v>
      </c>
      <c r="J62" s="32" t="str">
        <f aca="false">INDEX(Productos!$C$2:$C$13,MATCH($H62,Productos!$A$2:$A$13,0))</f>
        <v>Métrica</v>
      </c>
      <c r="K62" s="31" t="s">
        <v>246</v>
      </c>
      <c r="L62" s="46" t="n">
        <v>241</v>
      </c>
      <c r="M62" s="50" t="n">
        <f aca="false">INDEX(Productos!$F$2:$F$13,MATCH($H62,Productos!$A$2:$A$13,0))</f>
        <v>37.5</v>
      </c>
      <c r="N62" s="51" t="n">
        <v>0.091</v>
      </c>
      <c r="O62" s="52" t="n">
        <f aca="false">M62*(1-N62)</f>
        <v>34.0875</v>
      </c>
      <c r="P62" s="21" t="n">
        <f aca="false">L62*O62</f>
        <v>8215.0875</v>
      </c>
      <c r="Q62" s="50" t="n">
        <f aca="false">INDEX(Productos!$E$2:$E$13,MATCH($H62,Productos!$A$2:$A$13,0))*INDEX(Parametros!$B$26:$B$43,MATCH($C62,Parametros!$A$26:$A$43,0))</f>
        <v>19.6522</v>
      </c>
      <c r="R62" s="21" t="n">
        <f aca="false">L62*Q62</f>
        <v>4736.1802</v>
      </c>
      <c r="S62" s="18" t="n">
        <f aca="false">L62*INDEX(Parametros!$B$20:$B$22,MATCH($E62,Parametros!$A$20:$A$22,0))</f>
        <v>457.9</v>
      </c>
      <c r="T62" s="18" t="n">
        <f aca="false">P62*INDEX(Parametros!$B$13:$B$16,MATCH($F62,Parametros!$A$13:$A$16,0))</f>
        <v>328.6035</v>
      </c>
      <c r="U62" s="21" t="n">
        <f aca="false">P62-R62-S62-T62</f>
        <v>2692.4038</v>
      </c>
      <c r="V62" s="19" t="n">
        <f aca="false">IFERROR(U62/P62,0)</f>
        <v>0.327738907224056</v>
      </c>
      <c r="W62" s="48" t="n">
        <f aca="false">B62+INDEX(Parametros!$C$13:$C$16,MATCH($F62,Parametros!$A$13:$A$16,0))</f>
        <v>45759</v>
      </c>
      <c r="X62" s="31" t="s">
        <v>67</v>
      </c>
      <c r="Y62" s="53" t="n">
        <f aca="false">IF(COUNTIF($A$2:$A62,A62)=1,1,0)</f>
        <v>0</v>
      </c>
    </row>
    <row r="63" customFormat="false" ht="15" hidden="false" customHeight="false" outlineLevel="0" collapsed="false">
      <c r="A63" s="31" t="s">
        <v>280</v>
      </c>
      <c r="B63" s="36" t="n">
        <v>45684</v>
      </c>
      <c r="C63" s="49" t="n">
        <f aca="false">DATE(YEAR(B63),MONTH(B63),1)</f>
        <v>45658</v>
      </c>
      <c r="D63" s="31" t="s">
        <v>191</v>
      </c>
      <c r="E63" s="31" t="s">
        <v>41</v>
      </c>
      <c r="F63" s="31" t="s">
        <v>47</v>
      </c>
      <c r="G63" s="31" t="s">
        <v>58</v>
      </c>
      <c r="H63" s="31" t="s">
        <v>173</v>
      </c>
      <c r="I63" s="32" t="str">
        <f aca="false">INDEX(Productos!$B$2:$B$13,MATCH($H63,Productos!$A$2:$A$13,0))</f>
        <v>Tornillo DIN 933 M12x70 clase 8.8</v>
      </c>
      <c r="J63" s="32" t="str">
        <f aca="false">INDEX(Productos!$C$2:$C$13,MATCH($H63,Productos!$A$2:$A$13,0))</f>
        <v>Métrica</v>
      </c>
      <c r="K63" s="31" t="s">
        <v>246</v>
      </c>
      <c r="L63" s="46" t="n">
        <v>24</v>
      </c>
      <c r="M63" s="50" t="n">
        <f aca="false">INDEX(Productos!$F$2:$F$13,MATCH($H63,Productos!$A$2:$A$13,0))</f>
        <v>64</v>
      </c>
      <c r="N63" s="51" t="n">
        <v>0.073</v>
      </c>
      <c r="O63" s="52" t="n">
        <f aca="false">M63*(1-N63)</f>
        <v>59.328</v>
      </c>
      <c r="P63" s="21" t="n">
        <f aca="false">L63*O63</f>
        <v>1423.872</v>
      </c>
      <c r="Q63" s="50" t="n">
        <f aca="false">INDEX(Productos!$E$2:$E$13,MATCH($H63,Productos!$A$2:$A$13,0))*INDEX(Parametros!$B$26:$B$43,MATCH($C63,Parametros!$A$26:$A$43,0))</f>
        <v>33.9355</v>
      </c>
      <c r="R63" s="21" t="n">
        <f aca="false">L63*Q63</f>
        <v>814.452</v>
      </c>
      <c r="S63" s="18" t="n">
        <f aca="false">L63*INDEX(Parametros!$B$20:$B$22,MATCH($E63,Parametros!$A$20:$A$22,0))</f>
        <v>20.4</v>
      </c>
      <c r="T63" s="18" t="n">
        <f aca="false">P63*INDEX(Parametros!$B$13:$B$16,MATCH($F63,Parametros!$A$13:$A$16,0))</f>
        <v>49.83552</v>
      </c>
      <c r="U63" s="21" t="n">
        <f aca="false">P63-R63-S63-T63</f>
        <v>539.18448</v>
      </c>
      <c r="V63" s="19" t="n">
        <f aca="false">IFERROR(U63/P63,0)</f>
        <v>0.378674824703344</v>
      </c>
      <c r="W63" s="48" t="n">
        <f aca="false">B63+INDEX(Parametros!$C$13:$C$16,MATCH($F63,Parametros!$A$13:$A$16,0))</f>
        <v>45729</v>
      </c>
      <c r="X63" s="31" t="s">
        <v>67</v>
      </c>
      <c r="Y63" s="53" t="n">
        <f aca="false">IF(COUNTIF($A$2:$A63,A63)=1,1,0)</f>
        <v>1</v>
      </c>
    </row>
    <row r="64" customFormat="false" ht="15" hidden="false" customHeight="false" outlineLevel="0" collapsed="false">
      <c r="A64" s="31" t="s">
        <v>281</v>
      </c>
      <c r="B64" s="36" t="n">
        <v>45684</v>
      </c>
      <c r="C64" s="49" t="n">
        <f aca="false">DATE(YEAR(B64),MONTH(B64),1)</f>
        <v>45658</v>
      </c>
      <c r="D64" s="31" t="s">
        <v>209</v>
      </c>
      <c r="E64" s="31" t="s">
        <v>41</v>
      </c>
      <c r="F64" s="31" t="s">
        <v>45</v>
      </c>
      <c r="G64" s="31" t="s">
        <v>62</v>
      </c>
      <c r="H64" s="31" t="s">
        <v>167</v>
      </c>
      <c r="I64" s="32" t="str">
        <f aca="false">INDEX(Productos!$B$2:$B$13,MATCH($H64,Productos!$A$2:$A$13,0))</f>
        <v>Tornillo DIN 912 M6x25 Allen zincado</v>
      </c>
      <c r="J64" s="32" t="str">
        <f aca="false">INDEX(Productos!$C$2:$C$13,MATCH($H64,Productos!$A$2:$A$13,0))</f>
        <v>Métrica</v>
      </c>
      <c r="K64" s="31" t="s">
        <v>275</v>
      </c>
      <c r="L64" s="46" t="n">
        <v>-32</v>
      </c>
      <c r="M64" s="50" t="n">
        <f aca="false">INDEX(Productos!$F$2:$F$13,MATCH($H64,Productos!$A$2:$A$13,0))</f>
        <v>42</v>
      </c>
      <c r="N64" s="51" t="n">
        <v>0.138</v>
      </c>
      <c r="O64" s="52" t="n">
        <f aca="false">M64*(1-N64)</f>
        <v>36.204</v>
      </c>
      <c r="P64" s="21" t="n">
        <f aca="false">L64*O64</f>
        <v>-1158.528</v>
      </c>
      <c r="Q64" s="50" t="n">
        <f aca="false">INDEX(Productos!$E$2:$E$13,MATCH($H64,Productos!$A$2:$A$13,0))*INDEX(Parametros!$B$26:$B$43,MATCH($C64,Parametros!$A$26:$A$43,0))</f>
        <v>22.0834</v>
      </c>
      <c r="R64" s="21" t="n">
        <f aca="false">L64*Q64</f>
        <v>-706.6688</v>
      </c>
      <c r="S64" s="18" t="n">
        <f aca="false">L64*INDEX(Parametros!$B$20:$B$22,MATCH($E64,Parametros!$A$20:$A$22,0))</f>
        <v>-27.2</v>
      </c>
      <c r="T64" s="18" t="n">
        <f aca="false">P64*INDEX(Parametros!$B$13:$B$16,MATCH($F64,Parametros!$A$13:$A$16,0))</f>
        <v>-34.75584</v>
      </c>
      <c r="U64" s="21" t="n">
        <f aca="false">P64-R64-S64-T64</f>
        <v>-389.90336</v>
      </c>
      <c r="V64" s="19" t="n">
        <f aca="false">IFERROR(U64/P64,0)</f>
        <v>0.336550657385924</v>
      </c>
      <c r="W64" s="48" t="n">
        <f aca="false">B64+INDEX(Parametros!$C$13:$C$16,MATCH($F64,Parametros!$A$13:$A$16,0))</f>
        <v>45744</v>
      </c>
      <c r="X64" s="31" t="s">
        <v>67</v>
      </c>
      <c r="Y64" s="53" t="n">
        <f aca="false">IF(COUNTIF($A$2:$A64,A64)=1,1,0)</f>
        <v>1</v>
      </c>
    </row>
    <row r="65" customFormat="false" ht="15" hidden="false" customHeight="false" outlineLevel="0" collapsed="false">
      <c r="A65" s="31" t="s">
        <v>282</v>
      </c>
      <c r="B65" s="36" t="n">
        <v>45684</v>
      </c>
      <c r="C65" s="49" t="n">
        <f aca="false">DATE(YEAR(B65),MONTH(B65),1)</f>
        <v>45658</v>
      </c>
      <c r="D65" s="31" t="s">
        <v>228</v>
      </c>
      <c r="E65" s="31" t="s">
        <v>43</v>
      </c>
      <c r="F65" s="31" t="s">
        <v>47</v>
      </c>
      <c r="G65" s="31" t="s">
        <v>59</v>
      </c>
      <c r="H65" s="31" t="s">
        <v>165</v>
      </c>
      <c r="I65" s="32" t="str">
        <f aca="false">INDEX(Productos!$B$2:$B$13,MATCH($H65,Productos!$A$2:$A$13,0))</f>
        <v>Tornillo DIN 933 M8x40 rosca completa zincado</v>
      </c>
      <c r="J65" s="32" t="str">
        <f aca="false">INDEX(Productos!$C$2:$C$13,MATCH($H65,Productos!$A$2:$A$13,0))</f>
        <v>Métrica</v>
      </c>
      <c r="K65" s="31" t="s">
        <v>246</v>
      </c>
      <c r="L65" s="46" t="n">
        <v>115</v>
      </c>
      <c r="M65" s="50" t="n">
        <f aca="false">INDEX(Productos!$F$2:$F$13,MATCH($H65,Productos!$A$2:$A$13,0))</f>
        <v>37.5</v>
      </c>
      <c r="N65" s="51" t="n">
        <v>0.052</v>
      </c>
      <c r="O65" s="52" t="n">
        <f aca="false">M65*(1-N65)</f>
        <v>35.55</v>
      </c>
      <c r="P65" s="21" t="n">
        <f aca="false">L65*O65</f>
        <v>4088.25</v>
      </c>
      <c r="Q65" s="50" t="n">
        <f aca="false">INDEX(Productos!$E$2:$E$13,MATCH($H65,Productos!$A$2:$A$13,0))*INDEX(Parametros!$B$26:$B$43,MATCH($C65,Parametros!$A$26:$A$43,0))</f>
        <v>19.6522</v>
      </c>
      <c r="R65" s="21" t="n">
        <f aca="false">L65*Q65</f>
        <v>2260.003</v>
      </c>
      <c r="S65" s="18" t="n">
        <f aca="false">L65*INDEX(Parametros!$B$20:$B$22,MATCH($E65,Parametros!$A$20:$A$22,0))</f>
        <v>218.5</v>
      </c>
      <c r="T65" s="18" t="n">
        <f aca="false">P65*INDEX(Parametros!$B$13:$B$16,MATCH($F65,Parametros!$A$13:$A$16,0))</f>
        <v>143.08875</v>
      </c>
      <c r="U65" s="21" t="n">
        <f aca="false">P65-R65-S65-T65</f>
        <v>1466.65825</v>
      </c>
      <c r="V65" s="19" t="n">
        <f aca="false">IFERROR(U65/P65,0)</f>
        <v>0.35874964838256</v>
      </c>
      <c r="W65" s="48" t="n">
        <f aca="false">B65+INDEX(Parametros!$C$13:$C$16,MATCH($F65,Parametros!$A$13:$A$16,0))</f>
        <v>45729</v>
      </c>
      <c r="X65" s="31" t="s">
        <v>67</v>
      </c>
      <c r="Y65" s="53" t="n">
        <f aca="false">IF(COUNTIF($A$2:$A65,A65)=1,1,0)</f>
        <v>1</v>
      </c>
    </row>
    <row r="66" customFormat="false" ht="15" hidden="false" customHeight="false" outlineLevel="0" collapsed="false">
      <c r="A66" s="31" t="s">
        <v>282</v>
      </c>
      <c r="B66" s="36" t="n">
        <v>45684</v>
      </c>
      <c r="C66" s="49" t="n">
        <f aca="false">DATE(YEAR(B66),MONTH(B66),1)</f>
        <v>45658</v>
      </c>
      <c r="D66" s="31" t="s">
        <v>228</v>
      </c>
      <c r="E66" s="31" t="s">
        <v>43</v>
      </c>
      <c r="F66" s="31" t="s">
        <v>47</v>
      </c>
      <c r="G66" s="31" t="s">
        <v>59</v>
      </c>
      <c r="H66" s="31" t="s">
        <v>177</v>
      </c>
      <c r="I66" s="32" t="str">
        <f aca="false">INDEX(Productos!$B$2:$B$13,MATCH($H66,Productos!$A$2:$A$13,0))</f>
        <v>Tirafondo madera 6x100 cabeza plana Torx</v>
      </c>
      <c r="J66" s="32" t="str">
        <f aca="false">INDEX(Productos!$C$2:$C$13,MATCH($H66,Productos!$A$2:$A$13,0))</f>
        <v>Madera</v>
      </c>
      <c r="K66" s="31" t="s">
        <v>246</v>
      </c>
      <c r="L66" s="46" t="n">
        <v>142</v>
      </c>
      <c r="M66" s="50" t="n">
        <f aca="false">INDEX(Productos!$F$2:$F$13,MATCH($H66,Productos!$A$2:$A$13,0))</f>
        <v>34</v>
      </c>
      <c r="N66" s="51" t="n">
        <v>0.037</v>
      </c>
      <c r="O66" s="52" t="n">
        <f aca="false">M66*(1-N66)</f>
        <v>32.742</v>
      </c>
      <c r="P66" s="21" t="n">
        <f aca="false">L66*O66</f>
        <v>4649.364</v>
      </c>
      <c r="Q66" s="50" t="n">
        <f aca="false">INDEX(Productos!$E$2:$E$13,MATCH($H66,Productos!$A$2:$A$13,0))*INDEX(Parametros!$B$26:$B$43,MATCH($C66,Parametros!$A$26:$A$43,0))</f>
        <v>18.0314</v>
      </c>
      <c r="R66" s="21" t="n">
        <f aca="false">L66*Q66</f>
        <v>2560.4588</v>
      </c>
      <c r="S66" s="18" t="n">
        <f aca="false">L66*INDEX(Parametros!$B$20:$B$22,MATCH($E66,Parametros!$A$20:$A$22,0))</f>
        <v>269.8</v>
      </c>
      <c r="T66" s="18" t="n">
        <f aca="false">P66*INDEX(Parametros!$B$13:$B$16,MATCH($F66,Parametros!$A$13:$A$16,0))</f>
        <v>162.72774</v>
      </c>
      <c r="U66" s="21" t="n">
        <f aca="false">P66-R66-S66-T66</f>
        <v>1656.37746</v>
      </c>
      <c r="V66" s="19" t="n">
        <f aca="false">IFERROR(U66/P66,0)</f>
        <v>0.356258933479934</v>
      </c>
      <c r="W66" s="48" t="n">
        <f aca="false">B66+INDEX(Parametros!$C$13:$C$16,MATCH($F66,Parametros!$A$13:$A$16,0))</f>
        <v>45729</v>
      </c>
      <c r="X66" s="31" t="s">
        <v>67</v>
      </c>
      <c r="Y66" s="53" t="n">
        <f aca="false">IF(COUNTIF($A$2:$A66,A66)=1,1,0)</f>
        <v>0</v>
      </c>
    </row>
    <row r="67" customFormat="false" ht="15" hidden="false" customHeight="false" outlineLevel="0" collapsed="false">
      <c r="A67" s="31" t="s">
        <v>283</v>
      </c>
      <c r="B67" s="36" t="n">
        <v>45685</v>
      </c>
      <c r="C67" s="49" t="n">
        <f aca="false">DATE(YEAR(B67),MONTH(B67),1)</f>
        <v>45658</v>
      </c>
      <c r="D67" s="31" t="s">
        <v>225</v>
      </c>
      <c r="E67" s="31" t="s">
        <v>43</v>
      </c>
      <c r="F67" s="31" t="s">
        <v>47</v>
      </c>
      <c r="G67" s="31" t="s">
        <v>59</v>
      </c>
      <c r="H67" s="31" t="s">
        <v>167</v>
      </c>
      <c r="I67" s="32" t="str">
        <f aca="false">INDEX(Productos!$B$2:$B$13,MATCH($H67,Productos!$A$2:$A$13,0))</f>
        <v>Tornillo DIN 912 M6x25 Allen zincado</v>
      </c>
      <c r="J67" s="32" t="str">
        <f aca="false">INDEX(Productos!$C$2:$C$13,MATCH($H67,Productos!$A$2:$A$13,0))</f>
        <v>Métrica</v>
      </c>
      <c r="K67" s="31" t="s">
        <v>246</v>
      </c>
      <c r="L67" s="46" t="n">
        <v>66</v>
      </c>
      <c r="M67" s="50" t="n">
        <f aca="false">INDEX(Productos!$F$2:$F$13,MATCH($H67,Productos!$A$2:$A$13,0))</f>
        <v>42</v>
      </c>
      <c r="N67" s="51" t="n">
        <v>0.059</v>
      </c>
      <c r="O67" s="52" t="n">
        <f aca="false">M67*(1-N67)</f>
        <v>39.522</v>
      </c>
      <c r="P67" s="21" t="n">
        <f aca="false">L67*O67</f>
        <v>2608.452</v>
      </c>
      <c r="Q67" s="50" t="n">
        <f aca="false">INDEX(Productos!$E$2:$E$13,MATCH($H67,Productos!$A$2:$A$13,0))*INDEX(Parametros!$B$26:$B$43,MATCH($C67,Parametros!$A$26:$A$43,0))</f>
        <v>22.0834</v>
      </c>
      <c r="R67" s="21" t="n">
        <f aca="false">L67*Q67</f>
        <v>1457.5044</v>
      </c>
      <c r="S67" s="18" t="n">
        <f aca="false">L67*INDEX(Parametros!$B$20:$B$22,MATCH($E67,Parametros!$A$20:$A$22,0))</f>
        <v>125.4</v>
      </c>
      <c r="T67" s="18" t="n">
        <f aca="false">P67*INDEX(Parametros!$B$13:$B$16,MATCH($F67,Parametros!$A$13:$A$16,0))</f>
        <v>91.29582</v>
      </c>
      <c r="U67" s="21" t="n">
        <f aca="false">P67-R67-S67-T67</f>
        <v>934.25178</v>
      </c>
      <c r="V67" s="19" t="n">
        <f aca="false">IFERROR(U67/P67,0)</f>
        <v>0.358163301452356</v>
      </c>
      <c r="W67" s="48" t="n">
        <f aca="false">B67+INDEX(Parametros!$C$13:$C$16,MATCH($F67,Parametros!$A$13:$A$16,0))</f>
        <v>45730</v>
      </c>
      <c r="X67" s="31" t="s">
        <v>67</v>
      </c>
      <c r="Y67" s="53" t="n">
        <f aca="false">IF(COUNTIF($A$2:$A67,A67)=1,1,0)</f>
        <v>1</v>
      </c>
    </row>
    <row r="68" customFormat="false" ht="15" hidden="false" customHeight="false" outlineLevel="0" collapsed="false">
      <c r="A68" s="31" t="s">
        <v>284</v>
      </c>
      <c r="B68" s="36" t="n">
        <v>45685</v>
      </c>
      <c r="C68" s="49" t="n">
        <f aca="false">DATE(YEAR(B68),MONTH(B68),1)</f>
        <v>45658</v>
      </c>
      <c r="D68" s="31" t="s">
        <v>209</v>
      </c>
      <c r="E68" s="31" t="s">
        <v>41</v>
      </c>
      <c r="F68" s="31" t="s">
        <v>45</v>
      </c>
      <c r="G68" s="31" t="s">
        <v>62</v>
      </c>
      <c r="H68" s="31" t="s">
        <v>179</v>
      </c>
      <c r="I68" s="32" t="str">
        <f aca="false">INDEX(Productos!$B$2:$B$13,MATCH($H68,Productos!$A$2:$A$13,0))</f>
        <v>Autotaladrante DIN 7504 4,8x38 zincado</v>
      </c>
      <c r="J68" s="32" t="str">
        <f aca="false">INDEX(Productos!$C$2:$C$13,MATCH($H68,Productos!$A$2:$A$13,0))</f>
        <v>Autotaladrante</v>
      </c>
      <c r="K68" s="31" t="s">
        <v>246</v>
      </c>
      <c r="L68" s="46" t="n">
        <v>30</v>
      </c>
      <c r="M68" s="50" t="n">
        <f aca="false">INDEX(Productos!$F$2:$F$13,MATCH($H68,Productos!$A$2:$A$13,0))</f>
        <v>29.5</v>
      </c>
      <c r="N68" s="51" t="n">
        <v>0.128</v>
      </c>
      <c r="O68" s="52" t="n">
        <f aca="false">M68*(1-N68)</f>
        <v>25.724</v>
      </c>
      <c r="P68" s="21" t="n">
        <f aca="false">L68*O68</f>
        <v>771.72</v>
      </c>
      <c r="Q68" s="50" t="n">
        <f aca="false">INDEX(Productos!$E$2:$E$13,MATCH($H68,Productos!$A$2:$A$13,0))*INDEX(Parametros!$B$26:$B$43,MATCH($C68,Parametros!$A$26:$A$43,0))</f>
        <v>15.3976</v>
      </c>
      <c r="R68" s="21" t="n">
        <f aca="false">L68*Q68</f>
        <v>461.928</v>
      </c>
      <c r="S68" s="18" t="n">
        <f aca="false">L68*INDEX(Parametros!$B$20:$B$22,MATCH($E68,Parametros!$A$20:$A$22,0))</f>
        <v>25.5</v>
      </c>
      <c r="T68" s="18" t="n">
        <f aca="false">P68*INDEX(Parametros!$B$13:$B$16,MATCH($F68,Parametros!$A$13:$A$16,0))</f>
        <v>23.1516</v>
      </c>
      <c r="U68" s="21" t="n">
        <f aca="false">P68-R68-S68-T68</f>
        <v>261.1404</v>
      </c>
      <c r="V68" s="19" t="n">
        <f aca="false">IFERROR(U68/P68,0)</f>
        <v>0.33838749805629</v>
      </c>
      <c r="W68" s="48" t="n">
        <f aca="false">B68+INDEX(Parametros!$C$13:$C$16,MATCH($F68,Parametros!$A$13:$A$16,0))</f>
        <v>45745</v>
      </c>
      <c r="X68" s="31" t="s">
        <v>67</v>
      </c>
      <c r="Y68" s="53" t="n">
        <f aca="false">IF(COUNTIF($A$2:$A68,A68)=1,1,0)</f>
        <v>1</v>
      </c>
    </row>
    <row r="69" customFormat="false" ht="15" hidden="false" customHeight="false" outlineLevel="0" collapsed="false">
      <c r="A69" s="31" t="s">
        <v>284</v>
      </c>
      <c r="B69" s="36" t="n">
        <v>45685</v>
      </c>
      <c r="C69" s="49" t="n">
        <f aca="false">DATE(YEAR(B69),MONTH(B69),1)</f>
        <v>45658</v>
      </c>
      <c r="D69" s="31" t="s">
        <v>209</v>
      </c>
      <c r="E69" s="31" t="s">
        <v>41</v>
      </c>
      <c r="F69" s="31" t="s">
        <v>45</v>
      </c>
      <c r="G69" s="31" t="s">
        <v>62</v>
      </c>
      <c r="H69" s="31" t="s">
        <v>171</v>
      </c>
      <c r="I69" s="32" t="str">
        <f aca="false">INDEX(Productos!$B$2:$B$13,MATCH($H69,Productos!$A$2:$A$13,0))</f>
        <v>Tornillo DIN 7991 M8x30 avellanado inox A2</v>
      </c>
      <c r="J69" s="32" t="str">
        <f aca="false">INDEX(Productos!$C$2:$C$13,MATCH($H69,Productos!$A$2:$A$13,0))</f>
        <v>Inoxidable</v>
      </c>
      <c r="K69" s="31" t="s">
        <v>246</v>
      </c>
      <c r="L69" s="46" t="n">
        <v>139</v>
      </c>
      <c r="M69" s="50" t="n">
        <f aca="false">INDEX(Productos!$F$2:$F$13,MATCH($H69,Productos!$A$2:$A$13,0))</f>
        <v>88</v>
      </c>
      <c r="N69" s="51" t="n">
        <v>0.161</v>
      </c>
      <c r="O69" s="52" t="n">
        <f aca="false">M69*(1-N69)</f>
        <v>73.832</v>
      </c>
      <c r="P69" s="21" t="n">
        <f aca="false">L69*O69</f>
        <v>10262.648</v>
      </c>
      <c r="Q69" s="50" t="n">
        <f aca="false">INDEX(Productos!$E$2:$E$13,MATCH($H69,Productos!$A$2:$A$13,0))*INDEX(Parametros!$B$26:$B$43,MATCH($C69,Parametros!$A$26:$A$43,0))</f>
        <v>47.1045</v>
      </c>
      <c r="R69" s="21" t="n">
        <f aca="false">L69*Q69</f>
        <v>6547.5255</v>
      </c>
      <c r="S69" s="18" t="n">
        <f aca="false">L69*INDEX(Parametros!$B$20:$B$22,MATCH($E69,Parametros!$A$20:$A$22,0))</f>
        <v>118.15</v>
      </c>
      <c r="T69" s="18" t="n">
        <f aca="false">P69*INDEX(Parametros!$B$13:$B$16,MATCH($F69,Parametros!$A$13:$A$16,0))</f>
        <v>307.87944</v>
      </c>
      <c r="U69" s="21" t="n">
        <f aca="false">P69-R69-S69-T69</f>
        <v>3289.09306</v>
      </c>
      <c r="V69" s="19" t="n">
        <f aca="false">IFERROR(U69/P69,0)</f>
        <v>0.320491656734207</v>
      </c>
      <c r="W69" s="48" t="n">
        <f aca="false">B69+INDEX(Parametros!$C$13:$C$16,MATCH($F69,Parametros!$A$13:$A$16,0))</f>
        <v>45745</v>
      </c>
      <c r="X69" s="31" t="s">
        <v>67</v>
      </c>
      <c r="Y69" s="53" t="n">
        <f aca="false">IF(COUNTIF($A$2:$A69,A69)=1,1,0)</f>
        <v>0</v>
      </c>
    </row>
    <row r="70" customFormat="false" ht="15" hidden="false" customHeight="false" outlineLevel="0" collapsed="false">
      <c r="A70" s="31" t="s">
        <v>284</v>
      </c>
      <c r="B70" s="36" t="n">
        <v>45685</v>
      </c>
      <c r="C70" s="49" t="n">
        <f aca="false">DATE(YEAR(B70),MONTH(B70),1)</f>
        <v>45658</v>
      </c>
      <c r="D70" s="31" t="s">
        <v>209</v>
      </c>
      <c r="E70" s="31" t="s">
        <v>41</v>
      </c>
      <c r="F70" s="31" t="s">
        <v>45</v>
      </c>
      <c r="G70" s="31" t="s">
        <v>62</v>
      </c>
      <c r="H70" s="31" t="s">
        <v>181</v>
      </c>
      <c r="I70" s="32" t="str">
        <f aca="false">INDEX(Productos!$B$2:$B$13,MATCH($H70,Productos!$A$2:$A$13,0))</f>
        <v>Autotaladrante 5,5x55 punta broca</v>
      </c>
      <c r="J70" s="32" t="str">
        <f aca="false">INDEX(Productos!$C$2:$C$13,MATCH($H70,Productos!$A$2:$A$13,0))</f>
        <v>Autotaladrante</v>
      </c>
      <c r="K70" s="31" t="s">
        <v>246</v>
      </c>
      <c r="L70" s="46" t="n">
        <v>104</v>
      </c>
      <c r="M70" s="50" t="n">
        <f aca="false">INDEX(Productos!$F$2:$F$13,MATCH($H70,Productos!$A$2:$A$13,0))</f>
        <v>39</v>
      </c>
      <c r="N70" s="51" t="n">
        <v>0.205</v>
      </c>
      <c r="O70" s="52" t="n">
        <f aca="false">M70*(1-N70)</f>
        <v>31.005</v>
      </c>
      <c r="P70" s="21" t="n">
        <f aca="false">L70*O70</f>
        <v>3224.52</v>
      </c>
      <c r="Q70" s="50" t="n">
        <f aca="false">INDEX(Productos!$E$2:$E$13,MATCH($H70,Productos!$A$2:$A$13,0))*INDEX(Parametros!$B$26:$B$43,MATCH($C70,Parametros!$A$26:$A$43,0))</f>
        <v>20.5639</v>
      </c>
      <c r="R70" s="21" t="n">
        <f aca="false">L70*Q70</f>
        <v>2138.6456</v>
      </c>
      <c r="S70" s="18" t="n">
        <f aca="false">L70*INDEX(Parametros!$B$20:$B$22,MATCH($E70,Parametros!$A$20:$A$22,0))</f>
        <v>88.4</v>
      </c>
      <c r="T70" s="18" t="n">
        <f aca="false">P70*INDEX(Parametros!$B$13:$B$16,MATCH($F70,Parametros!$A$13:$A$16,0))</f>
        <v>96.7356</v>
      </c>
      <c r="U70" s="21" t="n">
        <f aca="false">P70-R70-S70-T70</f>
        <v>900.738800000001</v>
      </c>
      <c r="V70" s="19" t="n">
        <f aca="false">IFERROR(U70/P70,0)</f>
        <v>0.279340428963071</v>
      </c>
      <c r="W70" s="48" t="n">
        <f aca="false">B70+INDEX(Parametros!$C$13:$C$16,MATCH($F70,Parametros!$A$13:$A$16,0))</f>
        <v>45745</v>
      </c>
      <c r="X70" s="31" t="s">
        <v>67</v>
      </c>
      <c r="Y70" s="53" t="n">
        <f aca="false">IF(COUNTIF($A$2:$A70,A70)=1,1,0)</f>
        <v>0</v>
      </c>
    </row>
    <row r="71" customFormat="false" ht="15" hidden="false" customHeight="false" outlineLevel="0" collapsed="false">
      <c r="A71" s="31" t="s">
        <v>284</v>
      </c>
      <c r="B71" s="36" t="n">
        <v>45685</v>
      </c>
      <c r="C71" s="49" t="n">
        <f aca="false">DATE(YEAR(B71),MONTH(B71),1)</f>
        <v>45658</v>
      </c>
      <c r="D71" s="31" t="s">
        <v>209</v>
      </c>
      <c r="E71" s="31" t="s">
        <v>41</v>
      </c>
      <c r="F71" s="31" t="s">
        <v>45</v>
      </c>
      <c r="G71" s="31" t="s">
        <v>62</v>
      </c>
      <c r="H71" s="31" t="s">
        <v>163</v>
      </c>
      <c r="I71" s="32" t="str">
        <f aca="false">INDEX(Productos!$B$2:$B$13,MATCH($H71,Productos!$A$2:$A$13,0))</f>
        <v>Tornillo DIN 933 M6x30 rosca completa zincado</v>
      </c>
      <c r="J71" s="32" t="str">
        <f aca="false">INDEX(Productos!$C$2:$C$13,MATCH($H71,Productos!$A$2:$A$13,0))</f>
        <v>Métrica</v>
      </c>
      <c r="K71" s="31" t="s">
        <v>246</v>
      </c>
      <c r="L71" s="46" t="n">
        <v>22</v>
      </c>
      <c r="M71" s="50" t="n">
        <f aca="false">INDEX(Productos!$F$2:$F$13,MATCH($H71,Productos!$A$2:$A$13,0))</f>
        <v>32</v>
      </c>
      <c r="N71" s="51" t="n">
        <v>0.203</v>
      </c>
      <c r="O71" s="52" t="n">
        <f aca="false">M71*(1-N71)</f>
        <v>25.504</v>
      </c>
      <c r="P71" s="21" t="n">
        <f aca="false">L71*O71</f>
        <v>561.088</v>
      </c>
      <c r="Q71" s="50" t="n">
        <f aca="false">INDEX(Productos!$E$2:$E$13,MATCH($H71,Productos!$A$2:$A$13,0))*INDEX(Parametros!$B$26:$B$43,MATCH($C71,Parametros!$A$26:$A$43,0))</f>
        <v>16.8158</v>
      </c>
      <c r="R71" s="21" t="n">
        <f aca="false">L71*Q71</f>
        <v>369.9476</v>
      </c>
      <c r="S71" s="18" t="n">
        <f aca="false">L71*INDEX(Parametros!$B$20:$B$22,MATCH($E71,Parametros!$A$20:$A$22,0))</f>
        <v>18.7</v>
      </c>
      <c r="T71" s="18" t="n">
        <f aca="false">P71*INDEX(Parametros!$B$13:$B$16,MATCH($F71,Parametros!$A$13:$A$16,0))</f>
        <v>16.83264</v>
      </c>
      <c r="U71" s="21" t="n">
        <f aca="false">P71-R71-S71-T71</f>
        <v>155.60776</v>
      </c>
      <c r="V71" s="19" t="n">
        <f aca="false">IFERROR(U71/P71,0)</f>
        <v>0.277332183186951</v>
      </c>
      <c r="W71" s="48" t="n">
        <f aca="false">B71+INDEX(Parametros!$C$13:$C$16,MATCH($F71,Parametros!$A$13:$A$16,0))</f>
        <v>45745</v>
      </c>
      <c r="X71" s="31" t="s">
        <v>67</v>
      </c>
      <c r="Y71" s="53" t="n">
        <f aca="false">IF(COUNTIF($A$2:$A71,A71)=1,1,0)</f>
        <v>0</v>
      </c>
    </row>
    <row r="72" customFormat="false" ht="15" hidden="false" customHeight="false" outlineLevel="0" collapsed="false">
      <c r="A72" s="31" t="s">
        <v>285</v>
      </c>
      <c r="B72" s="36" t="n">
        <v>45685</v>
      </c>
      <c r="C72" s="49" t="n">
        <f aca="false">DATE(YEAR(B72),MONTH(B72),1)</f>
        <v>45658</v>
      </c>
      <c r="D72" s="31" t="s">
        <v>215</v>
      </c>
      <c r="E72" s="31" t="s">
        <v>42</v>
      </c>
      <c r="F72" s="31" t="s">
        <v>46</v>
      </c>
      <c r="G72" s="31" t="s">
        <v>61</v>
      </c>
      <c r="H72" s="31" t="s">
        <v>179</v>
      </c>
      <c r="I72" s="32" t="str">
        <f aca="false">INDEX(Productos!$B$2:$B$13,MATCH($H72,Productos!$A$2:$A$13,0))</f>
        <v>Autotaladrante DIN 7504 4,8x38 zincado</v>
      </c>
      <c r="J72" s="32" t="str">
        <f aca="false">INDEX(Productos!$C$2:$C$13,MATCH($H72,Productos!$A$2:$A$13,0))</f>
        <v>Autotaladrante</v>
      </c>
      <c r="K72" s="31" t="s">
        <v>246</v>
      </c>
      <c r="L72" s="46" t="n">
        <v>94</v>
      </c>
      <c r="M72" s="50" t="n">
        <f aca="false">INDEX(Productos!$F$2:$F$13,MATCH($H72,Productos!$A$2:$A$13,0))</f>
        <v>29.5</v>
      </c>
      <c r="N72" s="51" t="n">
        <v>0.118</v>
      </c>
      <c r="O72" s="52" t="n">
        <f aca="false">M72*(1-N72)</f>
        <v>26.019</v>
      </c>
      <c r="P72" s="21" t="n">
        <f aca="false">L72*O72</f>
        <v>2445.786</v>
      </c>
      <c r="Q72" s="50" t="n">
        <f aca="false">INDEX(Productos!$E$2:$E$13,MATCH($H72,Productos!$A$2:$A$13,0))*INDEX(Parametros!$B$26:$B$43,MATCH($C72,Parametros!$A$26:$A$43,0))</f>
        <v>15.3976</v>
      </c>
      <c r="R72" s="21" t="n">
        <f aca="false">L72*Q72</f>
        <v>1447.3744</v>
      </c>
      <c r="S72" s="18" t="n">
        <f aca="false">L72*INDEX(Parametros!$B$20:$B$22,MATCH($E72,Parametros!$A$20:$A$22,0))</f>
        <v>225.6</v>
      </c>
      <c r="T72" s="18" t="n">
        <f aca="false">P72*INDEX(Parametros!$B$13:$B$16,MATCH($F72,Parametros!$A$13:$A$16,0))</f>
        <v>97.83144</v>
      </c>
      <c r="U72" s="21" t="n">
        <f aca="false">P72-R72-S72-T72</f>
        <v>674.98016</v>
      </c>
      <c r="V72" s="19" t="n">
        <f aca="false">IFERROR(U72/P72,0)</f>
        <v>0.275976786194704</v>
      </c>
      <c r="W72" s="48" t="n">
        <f aca="false">B72+INDEX(Parametros!$C$13:$C$16,MATCH($F72,Parametros!$A$13:$A$16,0))</f>
        <v>45760</v>
      </c>
      <c r="X72" s="31" t="s">
        <v>67</v>
      </c>
      <c r="Y72" s="53" t="n">
        <f aca="false">IF(COUNTIF($A$2:$A72,A72)=1,1,0)</f>
        <v>1</v>
      </c>
    </row>
    <row r="73" customFormat="false" ht="15" hidden="false" customHeight="false" outlineLevel="0" collapsed="false">
      <c r="A73" s="31" t="s">
        <v>286</v>
      </c>
      <c r="B73" s="36" t="n">
        <v>45685</v>
      </c>
      <c r="C73" s="49" t="n">
        <f aca="false">DATE(YEAR(B73),MONTH(B73),1)</f>
        <v>45658</v>
      </c>
      <c r="D73" s="31" t="s">
        <v>221</v>
      </c>
      <c r="E73" s="31" t="s">
        <v>43</v>
      </c>
      <c r="F73" s="31" t="s">
        <v>45</v>
      </c>
      <c r="G73" s="31" t="s">
        <v>59</v>
      </c>
      <c r="H73" s="31" t="s">
        <v>177</v>
      </c>
      <c r="I73" s="32" t="str">
        <f aca="false">INDEX(Productos!$B$2:$B$13,MATCH($H73,Productos!$A$2:$A$13,0))</f>
        <v>Tirafondo madera 6x100 cabeza plana Torx</v>
      </c>
      <c r="J73" s="32" t="str">
        <f aca="false">INDEX(Productos!$C$2:$C$13,MATCH($H73,Productos!$A$2:$A$13,0))</f>
        <v>Madera</v>
      </c>
      <c r="K73" s="31" t="s">
        <v>246</v>
      </c>
      <c r="L73" s="46" t="n">
        <v>123</v>
      </c>
      <c r="M73" s="50" t="n">
        <f aca="false">INDEX(Productos!$F$2:$F$13,MATCH($H73,Productos!$A$2:$A$13,0))</f>
        <v>34</v>
      </c>
      <c r="N73" s="51" t="n">
        <v>0.141</v>
      </c>
      <c r="O73" s="52" t="n">
        <f aca="false">M73*(1-N73)</f>
        <v>29.206</v>
      </c>
      <c r="P73" s="21" t="n">
        <f aca="false">L73*O73</f>
        <v>3592.338</v>
      </c>
      <c r="Q73" s="50" t="n">
        <f aca="false">INDEX(Productos!$E$2:$E$13,MATCH($H73,Productos!$A$2:$A$13,0))*INDEX(Parametros!$B$26:$B$43,MATCH($C73,Parametros!$A$26:$A$43,0))</f>
        <v>18.0314</v>
      </c>
      <c r="R73" s="21" t="n">
        <f aca="false">L73*Q73</f>
        <v>2217.8622</v>
      </c>
      <c r="S73" s="18" t="n">
        <f aca="false">L73*INDEX(Parametros!$B$20:$B$22,MATCH($E73,Parametros!$A$20:$A$22,0))</f>
        <v>233.7</v>
      </c>
      <c r="T73" s="18" t="n">
        <f aca="false">P73*INDEX(Parametros!$B$13:$B$16,MATCH($F73,Parametros!$A$13:$A$16,0))</f>
        <v>107.77014</v>
      </c>
      <c r="U73" s="21" t="n">
        <f aca="false">P73-R73-S73-T73</f>
        <v>1033.00566</v>
      </c>
      <c r="V73" s="19" t="n">
        <f aca="false">IFERROR(U73/P73,0)</f>
        <v>0.287558036019996</v>
      </c>
      <c r="W73" s="48" t="n">
        <f aca="false">B73+INDEX(Parametros!$C$13:$C$16,MATCH($F73,Parametros!$A$13:$A$16,0))</f>
        <v>45745</v>
      </c>
      <c r="X73" s="31" t="s">
        <v>67</v>
      </c>
      <c r="Y73" s="53" t="n">
        <f aca="false">IF(COUNTIF($A$2:$A73,A73)=1,1,0)</f>
        <v>1</v>
      </c>
    </row>
    <row r="74" customFormat="false" ht="15" hidden="false" customHeight="false" outlineLevel="0" collapsed="false">
      <c r="A74" s="31" t="s">
        <v>287</v>
      </c>
      <c r="B74" s="36" t="n">
        <v>45691</v>
      </c>
      <c r="C74" s="49" t="n">
        <f aca="false">DATE(YEAR(B74),MONTH(B74),1)</f>
        <v>45689</v>
      </c>
      <c r="D74" s="31" t="s">
        <v>195</v>
      </c>
      <c r="E74" s="31" t="s">
        <v>41</v>
      </c>
      <c r="F74" s="31" t="s">
        <v>45</v>
      </c>
      <c r="G74" s="31" t="s">
        <v>58</v>
      </c>
      <c r="H74" s="31" t="s">
        <v>167</v>
      </c>
      <c r="I74" s="32" t="str">
        <f aca="false">INDEX(Productos!$B$2:$B$13,MATCH($H74,Productos!$A$2:$A$13,0))</f>
        <v>Tornillo DIN 912 M6x25 Allen zincado</v>
      </c>
      <c r="J74" s="32" t="str">
        <f aca="false">INDEX(Productos!$C$2:$C$13,MATCH($H74,Productos!$A$2:$A$13,0))</f>
        <v>Métrica</v>
      </c>
      <c r="K74" s="31" t="s">
        <v>246</v>
      </c>
      <c r="L74" s="46" t="n">
        <v>86</v>
      </c>
      <c r="M74" s="50" t="n">
        <f aca="false">INDEX(Productos!$F$2:$F$13,MATCH($H74,Productos!$A$2:$A$13,0))</f>
        <v>42</v>
      </c>
      <c r="N74" s="51" t="n">
        <v>0.127</v>
      </c>
      <c r="O74" s="52" t="n">
        <f aca="false">M74*(1-N74)</f>
        <v>36.666</v>
      </c>
      <c r="P74" s="21" t="n">
        <f aca="false">L74*O74</f>
        <v>3153.276</v>
      </c>
      <c r="Q74" s="50" t="n">
        <f aca="false">INDEX(Productos!$E$2:$E$13,MATCH($H74,Productos!$A$2:$A$13,0))*INDEX(Parametros!$B$26:$B$43,MATCH($C74,Parametros!$A$26:$A$43,0))</f>
        <v>22.6938</v>
      </c>
      <c r="R74" s="21" t="n">
        <f aca="false">L74*Q74</f>
        <v>1951.6668</v>
      </c>
      <c r="S74" s="18" t="n">
        <f aca="false">L74*INDEX(Parametros!$B$20:$B$22,MATCH($E74,Parametros!$A$20:$A$22,0))</f>
        <v>73.1</v>
      </c>
      <c r="T74" s="18" t="n">
        <f aca="false">P74*INDEX(Parametros!$B$13:$B$16,MATCH($F74,Parametros!$A$13:$A$16,0))</f>
        <v>94.59828</v>
      </c>
      <c r="U74" s="21" t="n">
        <f aca="false">P74-R74-S74-T74</f>
        <v>1033.91092</v>
      </c>
      <c r="V74" s="19" t="n">
        <f aca="false">IFERROR(U74/P74,0)</f>
        <v>0.327884688812524</v>
      </c>
      <c r="W74" s="48" t="n">
        <f aca="false">B74+INDEX(Parametros!$C$13:$C$16,MATCH($F74,Parametros!$A$13:$A$16,0))</f>
        <v>45751</v>
      </c>
      <c r="X74" s="31" t="s">
        <v>67</v>
      </c>
      <c r="Y74" s="53" t="n">
        <f aca="false">IF(COUNTIF($A$2:$A74,A74)=1,1,0)</f>
        <v>1</v>
      </c>
    </row>
    <row r="75" customFormat="false" ht="15" hidden="false" customHeight="false" outlineLevel="0" collapsed="false">
      <c r="A75" s="31" t="s">
        <v>287</v>
      </c>
      <c r="B75" s="36" t="n">
        <v>45691</v>
      </c>
      <c r="C75" s="49" t="n">
        <f aca="false">DATE(YEAR(B75),MONTH(B75),1)</f>
        <v>45689</v>
      </c>
      <c r="D75" s="31" t="s">
        <v>195</v>
      </c>
      <c r="E75" s="31" t="s">
        <v>41</v>
      </c>
      <c r="F75" s="31" t="s">
        <v>45</v>
      </c>
      <c r="G75" s="31" t="s">
        <v>58</v>
      </c>
      <c r="H75" s="31" t="s">
        <v>163</v>
      </c>
      <c r="I75" s="32" t="str">
        <f aca="false">INDEX(Productos!$B$2:$B$13,MATCH($H75,Productos!$A$2:$A$13,0))</f>
        <v>Tornillo DIN 933 M6x30 rosca completa zincado</v>
      </c>
      <c r="J75" s="32" t="str">
        <f aca="false">INDEX(Productos!$C$2:$C$13,MATCH($H75,Productos!$A$2:$A$13,0))</f>
        <v>Métrica</v>
      </c>
      <c r="K75" s="31" t="s">
        <v>246</v>
      </c>
      <c r="L75" s="46" t="n">
        <v>117</v>
      </c>
      <c r="M75" s="50" t="n">
        <f aca="false">INDEX(Productos!$F$2:$F$13,MATCH($H75,Productos!$A$2:$A$13,0))</f>
        <v>32</v>
      </c>
      <c r="N75" s="51" t="n">
        <v>0.186</v>
      </c>
      <c r="O75" s="52" t="n">
        <f aca="false">M75*(1-N75)</f>
        <v>26.048</v>
      </c>
      <c r="P75" s="21" t="n">
        <f aca="false">L75*O75</f>
        <v>3047.616</v>
      </c>
      <c r="Q75" s="50" t="n">
        <f aca="false">INDEX(Productos!$E$2:$E$13,MATCH($H75,Productos!$A$2:$A$13,0))*INDEX(Parametros!$B$26:$B$43,MATCH($C75,Parametros!$A$26:$A$43,0))</f>
        <v>17.2806</v>
      </c>
      <c r="R75" s="21" t="n">
        <f aca="false">L75*Q75</f>
        <v>2021.8302</v>
      </c>
      <c r="S75" s="18" t="n">
        <f aca="false">L75*INDEX(Parametros!$B$20:$B$22,MATCH($E75,Parametros!$A$20:$A$22,0))</f>
        <v>99.45</v>
      </c>
      <c r="T75" s="18" t="n">
        <f aca="false">P75*INDEX(Parametros!$B$13:$B$16,MATCH($F75,Parametros!$A$13:$A$16,0))</f>
        <v>91.42848</v>
      </c>
      <c r="U75" s="21" t="n">
        <f aca="false">P75-R75-S75-T75</f>
        <v>834.90732</v>
      </c>
      <c r="V75" s="19" t="n">
        <f aca="false">IFERROR(U75/P75,0)</f>
        <v>0.273954238329238</v>
      </c>
      <c r="W75" s="48" t="n">
        <f aca="false">B75+INDEX(Parametros!$C$13:$C$16,MATCH($F75,Parametros!$A$13:$A$16,0))</f>
        <v>45751</v>
      </c>
      <c r="X75" s="31" t="s">
        <v>67</v>
      </c>
      <c r="Y75" s="53" t="n">
        <f aca="false">IF(COUNTIF($A$2:$A75,A75)=1,1,0)</f>
        <v>0</v>
      </c>
    </row>
    <row r="76" customFormat="false" ht="15" hidden="false" customHeight="false" outlineLevel="0" collapsed="false">
      <c r="A76" s="31" t="s">
        <v>287</v>
      </c>
      <c r="B76" s="36" t="n">
        <v>45691</v>
      </c>
      <c r="C76" s="49" t="n">
        <f aca="false">DATE(YEAR(B76),MONTH(B76),1)</f>
        <v>45689</v>
      </c>
      <c r="D76" s="31" t="s">
        <v>195</v>
      </c>
      <c r="E76" s="31" t="s">
        <v>41</v>
      </c>
      <c r="F76" s="31" t="s">
        <v>45</v>
      </c>
      <c r="G76" s="31" t="s">
        <v>58</v>
      </c>
      <c r="H76" s="31" t="s">
        <v>179</v>
      </c>
      <c r="I76" s="32" t="str">
        <f aca="false">INDEX(Productos!$B$2:$B$13,MATCH($H76,Productos!$A$2:$A$13,0))</f>
        <v>Autotaladrante DIN 7504 4,8x38 zincado</v>
      </c>
      <c r="J76" s="32" t="str">
        <f aca="false">INDEX(Productos!$C$2:$C$13,MATCH($H76,Productos!$A$2:$A$13,0))</f>
        <v>Autotaladrante</v>
      </c>
      <c r="K76" s="31" t="s">
        <v>246</v>
      </c>
      <c r="L76" s="46" t="n">
        <v>30</v>
      </c>
      <c r="M76" s="50" t="n">
        <f aca="false">INDEX(Productos!$F$2:$F$13,MATCH($H76,Productos!$A$2:$A$13,0))</f>
        <v>29.5</v>
      </c>
      <c r="N76" s="51" t="n">
        <v>0.215</v>
      </c>
      <c r="O76" s="52" t="n">
        <f aca="false">M76*(1-N76)</f>
        <v>23.1575</v>
      </c>
      <c r="P76" s="21" t="n">
        <f aca="false">L76*O76</f>
        <v>694.725</v>
      </c>
      <c r="Q76" s="50" t="n">
        <f aca="false">INDEX(Productos!$E$2:$E$13,MATCH($H76,Productos!$A$2:$A$13,0))*INDEX(Parametros!$B$26:$B$43,MATCH($C76,Parametros!$A$26:$A$43,0))</f>
        <v>15.8232</v>
      </c>
      <c r="R76" s="21" t="n">
        <f aca="false">L76*Q76</f>
        <v>474.696</v>
      </c>
      <c r="S76" s="18" t="n">
        <f aca="false">L76*INDEX(Parametros!$B$20:$B$22,MATCH($E76,Parametros!$A$20:$A$22,0))</f>
        <v>25.5</v>
      </c>
      <c r="T76" s="18" t="n">
        <f aca="false">P76*INDEX(Parametros!$B$13:$B$16,MATCH($F76,Parametros!$A$13:$A$16,0))</f>
        <v>20.84175</v>
      </c>
      <c r="U76" s="21" t="n">
        <f aca="false">P76-R76-S76-T76</f>
        <v>173.68725</v>
      </c>
      <c r="V76" s="19" t="n">
        <f aca="false">IFERROR(U76/P76,0)</f>
        <v>0.25000863651085</v>
      </c>
      <c r="W76" s="48" t="n">
        <f aca="false">B76+INDEX(Parametros!$C$13:$C$16,MATCH($F76,Parametros!$A$13:$A$16,0))</f>
        <v>45751</v>
      </c>
      <c r="X76" s="31" t="s">
        <v>67</v>
      </c>
      <c r="Y76" s="53" t="n">
        <f aca="false">IF(COUNTIF($A$2:$A76,A76)=1,1,0)</f>
        <v>0</v>
      </c>
    </row>
    <row r="77" customFormat="false" ht="15" hidden="false" customHeight="false" outlineLevel="0" collapsed="false">
      <c r="A77" s="31" t="s">
        <v>288</v>
      </c>
      <c r="B77" s="36" t="n">
        <v>45691</v>
      </c>
      <c r="C77" s="49" t="n">
        <f aca="false">DATE(YEAR(B77),MONTH(B77),1)</f>
        <v>45689</v>
      </c>
      <c r="D77" s="31" t="s">
        <v>202</v>
      </c>
      <c r="E77" s="31" t="s">
        <v>41</v>
      </c>
      <c r="F77" s="31" t="s">
        <v>46</v>
      </c>
      <c r="G77" s="31" t="s">
        <v>62</v>
      </c>
      <c r="H77" s="31" t="s">
        <v>165</v>
      </c>
      <c r="I77" s="32" t="str">
        <f aca="false">INDEX(Productos!$B$2:$B$13,MATCH($H77,Productos!$A$2:$A$13,0))</f>
        <v>Tornillo DIN 933 M8x40 rosca completa zincado</v>
      </c>
      <c r="J77" s="32" t="str">
        <f aca="false">INDEX(Productos!$C$2:$C$13,MATCH($H77,Productos!$A$2:$A$13,0))</f>
        <v>Métrica</v>
      </c>
      <c r="K77" s="31" t="s">
        <v>246</v>
      </c>
      <c r="L77" s="46" t="n">
        <v>37</v>
      </c>
      <c r="M77" s="50" t="n">
        <f aca="false">INDEX(Productos!$F$2:$F$13,MATCH($H77,Productos!$A$2:$A$13,0))</f>
        <v>37.5</v>
      </c>
      <c r="N77" s="51" t="n">
        <v>0.129</v>
      </c>
      <c r="O77" s="52" t="n">
        <f aca="false">M77*(1-N77)</f>
        <v>32.6625</v>
      </c>
      <c r="P77" s="21" t="n">
        <f aca="false">L77*O77</f>
        <v>1208.5125</v>
      </c>
      <c r="Q77" s="50" t="n">
        <f aca="false">INDEX(Productos!$E$2:$E$13,MATCH($H77,Productos!$A$2:$A$13,0))*INDEX(Parametros!$B$26:$B$43,MATCH($C77,Parametros!$A$26:$A$43,0))</f>
        <v>20.1954</v>
      </c>
      <c r="R77" s="21" t="n">
        <f aca="false">L77*Q77</f>
        <v>747.2298</v>
      </c>
      <c r="S77" s="18" t="n">
        <f aca="false">L77*INDEX(Parametros!$B$20:$B$22,MATCH($E77,Parametros!$A$20:$A$22,0))</f>
        <v>31.45</v>
      </c>
      <c r="T77" s="18" t="n">
        <f aca="false">P77*INDEX(Parametros!$B$13:$B$16,MATCH($F77,Parametros!$A$13:$A$16,0))</f>
        <v>48.3405</v>
      </c>
      <c r="U77" s="21" t="n">
        <f aca="false">P77-R77-S77-T77</f>
        <v>381.4922</v>
      </c>
      <c r="V77" s="19" t="n">
        <f aca="false">IFERROR(U77/P77,0)</f>
        <v>0.315670876387294</v>
      </c>
      <c r="W77" s="48" t="n">
        <f aca="false">B77+INDEX(Parametros!$C$13:$C$16,MATCH($F77,Parametros!$A$13:$A$16,0))</f>
        <v>45766</v>
      </c>
      <c r="X77" s="31" t="s">
        <v>67</v>
      </c>
      <c r="Y77" s="53" t="n">
        <f aca="false">IF(COUNTIF($A$2:$A77,A77)=1,1,0)</f>
        <v>1</v>
      </c>
    </row>
    <row r="78" customFormat="false" ht="15" hidden="false" customHeight="false" outlineLevel="0" collapsed="false">
      <c r="A78" s="31" t="s">
        <v>289</v>
      </c>
      <c r="B78" s="36" t="n">
        <v>45691</v>
      </c>
      <c r="C78" s="49" t="n">
        <f aca="false">DATE(YEAR(B78),MONTH(B78),1)</f>
        <v>45689</v>
      </c>
      <c r="D78" s="31" t="s">
        <v>205</v>
      </c>
      <c r="E78" s="31" t="s">
        <v>41</v>
      </c>
      <c r="F78" s="31" t="s">
        <v>45</v>
      </c>
      <c r="G78" s="31" t="s">
        <v>62</v>
      </c>
      <c r="H78" s="31" t="s">
        <v>169</v>
      </c>
      <c r="I78" s="32" t="str">
        <f aca="false">INDEX(Productos!$B$2:$B$13,MATCH($H78,Productos!$A$2:$A$13,0))</f>
        <v>Tornillo DIN 912 M10x60 Allen inox A2</v>
      </c>
      <c r="J78" s="32" t="str">
        <f aca="false">INDEX(Productos!$C$2:$C$13,MATCH($H78,Productos!$A$2:$A$13,0))</f>
        <v>Inoxidable</v>
      </c>
      <c r="K78" s="31" t="s">
        <v>246</v>
      </c>
      <c r="L78" s="46" t="n">
        <v>43</v>
      </c>
      <c r="M78" s="50" t="n">
        <f aca="false">INDEX(Productos!$F$2:$F$13,MATCH($H78,Productos!$A$2:$A$13,0))</f>
        <v>79</v>
      </c>
      <c r="N78" s="51" t="n">
        <v>0.168</v>
      </c>
      <c r="O78" s="52" t="n">
        <f aca="false">M78*(1-N78)</f>
        <v>65.728</v>
      </c>
      <c r="P78" s="21" t="n">
        <f aca="false">L78*O78</f>
        <v>2826.304</v>
      </c>
      <c r="Q78" s="50" t="n">
        <f aca="false">INDEX(Productos!$E$2:$E$13,MATCH($H78,Productos!$A$2:$A$13,0))*INDEX(Parametros!$B$26:$B$43,MATCH($C78,Parametros!$A$26:$A$43,0))</f>
        <v>43.722</v>
      </c>
      <c r="R78" s="21" t="n">
        <f aca="false">L78*Q78</f>
        <v>1880.046</v>
      </c>
      <c r="S78" s="18" t="n">
        <f aca="false">L78*INDEX(Parametros!$B$20:$B$22,MATCH($E78,Parametros!$A$20:$A$22,0))</f>
        <v>36.55</v>
      </c>
      <c r="T78" s="18" t="n">
        <f aca="false">P78*INDEX(Parametros!$B$13:$B$16,MATCH($F78,Parametros!$A$13:$A$16,0))</f>
        <v>84.78912</v>
      </c>
      <c r="U78" s="21" t="n">
        <f aca="false">P78-R78-S78-T78</f>
        <v>824.91888</v>
      </c>
      <c r="V78" s="19" t="n">
        <f aca="false">IFERROR(U78/P78,0)</f>
        <v>0.291871957156767</v>
      </c>
      <c r="W78" s="48" t="n">
        <f aca="false">B78+INDEX(Parametros!$C$13:$C$16,MATCH($F78,Parametros!$A$13:$A$16,0))</f>
        <v>45751</v>
      </c>
      <c r="X78" s="31" t="s">
        <v>67</v>
      </c>
      <c r="Y78" s="53" t="n">
        <f aca="false">IF(COUNTIF($A$2:$A78,A78)=1,1,0)</f>
        <v>1</v>
      </c>
    </row>
    <row r="79" customFormat="false" ht="15" hidden="false" customHeight="false" outlineLevel="0" collapsed="false">
      <c r="A79" s="31" t="s">
        <v>290</v>
      </c>
      <c r="B79" s="36" t="n">
        <v>45691</v>
      </c>
      <c r="C79" s="49" t="n">
        <f aca="false">DATE(YEAR(B79),MONTH(B79),1)</f>
        <v>45689</v>
      </c>
      <c r="D79" s="31" t="s">
        <v>199</v>
      </c>
      <c r="E79" s="31" t="s">
        <v>41</v>
      </c>
      <c r="F79" s="31" t="s">
        <v>45</v>
      </c>
      <c r="G79" s="31" t="s">
        <v>58</v>
      </c>
      <c r="H79" s="31" t="s">
        <v>163</v>
      </c>
      <c r="I79" s="32" t="str">
        <f aca="false">INDEX(Productos!$B$2:$B$13,MATCH($H79,Productos!$A$2:$A$13,0))</f>
        <v>Tornillo DIN 933 M6x30 rosca completa zincado</v>
      </c>
      <c r="J79" s="32" t="str">
        <f aca="false">INDEX(Productos!$C$2:$C$13,MATCH($H79,Productos!$A$2:$A$13,0))</f>
        <v>Métrica</v>
      </c>
      <c r="K79" s="31" t="s">
        <v>246</v>
      </c>
      <c r="L79" s="46" t="n">
        <v>123</v>
      </c>
      <c r="M79" s="50" t="n">
        <f aca="false">INDEX(Productos!$F$2:$F$13,MATCH($H79,Productos!$A$2:$A$13,0))</f>
        <v>32</v>
      </c>
      <c r="N79" s="51" t="n">
        <v>0.161</v>
      </c>
      <c r="O79" s="52" t="n">
        <f aca="false">M79*(1-N79)</f>
        <v>26.848</v>
      </c>
      <c r="P79" s="21" t="n">
        <f aca="false">L79*O79</f>
        <v>3302.304</v>
      </c>
      <c r="Q79" s="50" t="n">
        <f aca="false">INDEX(Productos!$E$2:$E$13,MATCH($H79,Productos!$A$2:$A$13,0))*INDEX(Parametros!$B$26:$B$43,MATCH($C79,Parametros!$A$26:$A$43,0))</f>
        <v>17.2806</v>
      </c>
      <c r="R79" s="21" t="n">
        <f aca="false">L79*Q79</f>
        <v>2125.5138</v>
      </c>
      <c r="S79" s="18" t="n">
        <f aca="false">L79*INDEX(Parametros!$B$20:$B$22,MATCH($E79,Parametros!$A$20:$A$22,0))</f>
        <v>104.55</v>
      </c>
      <c r="T79" s="18" t="n">
        <f aca="false">P79*INDEX(Parametros!$B$13:$B$16,MATCH($F79,Parametros!$A$13:$A$16,0))</f>
        <v>99.06912</v>
      </c>
      <c r="U79" s="21" t="n">
        <f aca="false">P79-R79-S79-T79</f>
        <v>973.17108</v>
      </c>
      <c r="V79" s="19" t="n">
        <f aca="false">IFERROR(U79/P79,0)</f>
        <v>0.294694576877235</v>
      </c>
      <c r="W79" s="48" t="n">
        <f aca="false">B79+INDEX(Parametros!$C$13:$C$16,MATCH($F79,Parametros!$A$13:$A$16,0))</f>
        <v>45751</v>
      </c>
      <c r="X79" s="31" t="s">
        <v>67</v>
      </c>
      <c r="Y79" s="53" t="n">
        <f aca="false">IF(COUNTIF($A$2:$A79,A79)=1,1,0)</f>
        <v>1</v>
      </c>
    </row>
    <row r="80" customFormat="false" ht="15" hidden="false" customHeight="false" outlineLevel="0" collapsed="false">
      <c r="A80" s="31" t="s">
        <v>290</v>
      </c>
      <c r="B80" s="36" t="n">
        <v>45691</v>
      </c>
      <c r="C80" s="49" t="n">
        <f aca="false">DATE(YEAR(B80),MONTH(B80),1)</f>
        <v>45689</v>
      </c>
      <c r="D80" s="31" t="s">
        <v>199</v>
      </c>
      <c r="E80" s="31" t="s">
        <v>41</v>
      </c>
      <c r="F80" s="31" t="s">
        <v>45</v>
      </c>
      <c r="G80" s="31" t="s">
        <v>58</v>
      </c>
      <c r="H80" s="31" t="s">
        <v>167</v>
      </c>
      <c r="I80" s="32" t="str">
        <f aca="false">INDEX(Productos!$B$2:$B$13,MATCH($H80,Productos!$A$2:$A$13,0))</f>
        <v>Tornillo DIN 912 M6x25 Allen zincado</v>
      </c>
      <c r="J80" s="32" t="str">
        <f aca="false">INDEX(Productos!$C$2:$C$13,MATCH($H80,Productos!$A$2:$A$13,0))</f>
        <v>Métrica</v>
      </c>
      <c r="K80" s="31" t="s">
        <v>246</v>
      </c>
      <c r="L80" s="46" t="n">
        <v>95</v>
      </c>
      <c r="M80" s="50" t="n">
        <f aca="false">INDEX(Productos!$F$2:$F$13,MATCH($H80,Productos!$A$2:$A$13,0))</f>
        <v>42</v>
      </c>
      <c r="N80" s="51" t="n">
        <v>0.182</v>
      </c>
      <c r="O80" s="52" t="n">
        <f aca="false">M80*(1-N80)</f>
        <v>34.356</v>
      </c>
      <c r="P80" s="21" t="n">
        <f aca="false">L80*O80</f>
        <v>3263.82</v>
      </c>
      <c r="Q80" s="50" t="n">
        <f aca="false">INDEX(Productos!$E$2:$E$13,MATCH($H80,Productos!$A$2:$A$13,0))*INDEX(Parametros!$B$26:$B$43,MATCH($C80,Parametros!$A$26:$A$43,0))</f>
        <v>22.6938</v>
      </c>
      <c r="R80" s="21" t="n">
        <f aca="false">L80*Q80</f>
        <v>2155.911</v>
      </c>
      <c r="S80" s="18" t="n">
        <f aca="false">L80*INDEX(Parametros!$B$20:$B$22,MATCH($E80,Parametros!$A$20:$A$22,0))</f>
        <v>80.75</v>
      </c>
      <c r="T80" s="18" t="n">
        <f aca="false">P80*INDEX(Parametros!$B$13:$B$16,MATCH($F80,Parametros!$A$13:$A$16,0))</f>
        <v>97.9146</v>
      </c>
      <c r="U80" s="21" t="n">
        <f aca="false">P80-R80-S80-T80</f>
        <v>929.2444</v>
      </c>
      <c r="V80" s="19" t="n">
        <f aca="false">IFERROR(U80/P80,0)</f>
        <v>0.284710676446618</v>
      </c>
      <c r="W80" s="48" t="n">
        <f aca="false">B80+INDEX(Parametros!$C$13:$C$16,MATCH($F80,Parametros!$A$13:$A$16,0))</f>
        <v>45751</v>
      </c>
      <c r="X80" s="31" t="s">
        <v>67</v>
      </c>
      <c r="Y80" s="53" t="n">
        <f aca="false">IF(COUNTIF($A$2:$A80,A80)=1,1,0)</f>
        <v>0</v>
      </c>
    </row>
    <row r="81" customFormat="false" ht="15" hidden="false" customHeight="false" outlineLevel="0" collapsed="false">
      <c r="A81" s="31" t="s">
        <v>291</v>
      </c>
      <c r="B81" s="36" t="n">
        <v>45691</v>
      </c>
      <c r="C81" s="49" t="n">
        <f aca="false">DATE(YEAR(B81),MONTH(B81),1)</f>
        <v>45689</v>
      </c>
      <c r="D81" s="31" t="s">
        <v>222</v>
      </c>
      <c r="E81" s="31" t="s">
        <v>43</v>
      </c>
      <c r="F81" s="31" t="s">
        <v>45</v>
      </c>
      <c r="G81" s="31" t="s">
        <v>59</v>
      </c>
      <c r="H81" s="31" t="s">
        <v>179</v>
      </c>
      <c r="I81" s="32" t="str">
        <f aca="false">INDEX(Productos!$B$2:$B$13,MATCH($H81,Productos!$A$2:$A$13,0))</f>
        <v>Autotaladrante DIN 7504 4,8x38 zincado</v>
      </c>
      <c r="J81" s="32" t="str">
        <f aca="false">INDEX(Productos!$C$2:$C$13,MATCH($H81,Productos!$A$2:$A$13,0))</f>
        <v>Autotaladrante</v>
      </c>
      <c r="K81" s="31" t="s">
        <v>246</v>
      </c>
      <c r="L81" s="46" t="n">
        <v>119</v>
      </c>
      <c r="M81" s="50" t="n">
        <f aca="false">INDEX(Productos!$F$2:$F$13,MATCH($H81,Productos!$A$2:$A$13,0))</f>
        <v>29.5</v>
      </c>
      <c r="N81" s="51" t="n">
        <v>0.19</v>
      </c>
      <c r="O81" s="52" t="n">
        <f aca="false">M81*(1-N81)</f>
        <v>23.895</v>
      </c>
      <c r="P81" s="21" t="n">
        <f aca="false">L81*O81</f>
        <v>2843.505</v>
      </c>
      <c r="Q81" s="50" t="n">
        <f aca="false">INDEX(Productos!$E$2:$E$13,MATCH($H81,Productos!$A$2:$A$13,0))*INDEX(Parametros!$B$26:$B$43,MATCH($C81,Parametros!$A$26:$A$43,0))</f>
        <v>15.8232</v>
      </c>
      <c r="R81" s="21" t="n">
        <f aca="false">L81*Q81</f>
        <v>1882.9608</v>
      </c>
      <c r="S81" s="18" t="n">
        <f aca="false">L81*INDEX(Parametros!$B$20:$B$22,MATCH($E81,Parametros!$A$20:$A$22,0))</f>
        <v>226.1</v>
      </c>
      <c r="T81" s="18" t="n">
        <f aca="false">P81*INDEX(Parametros!$B$13:$B$16,MATCH($F81,Parametros!$A$13:$A$16,0))</f>
        <v>85.30515</v>
      </c>
      <c r="U81" s="21" t="n">
        <f aca="false">P81-R81-S81-T81</f>
        <v>649.139050000001</v>
      </c>
      <c r="V81" s="19" t="n">
        <f aca="false">IFERROR(U81/P81,0)</f>
        <v>0.228288344842017</v>
      </c>
      <c r="W81" s="48" t="n">
        <f aca="false">B81+INDEX(Parametros!$C$13:$C$16,MATCH($F81,Parametros!$A$13:$A$16,0))</f>
        <v>45751</v>
      </c>
      <c r="X81" s="31" t="s">
        <v>67</v>
      </c>
      <c r="Y81" s="53" t="n">
        <f aca="false">IF(COUNTIF($A$2:$A81,A81)=1,1,0)</f>
        <v>1</v>
      </c>
    </row>
    <row r="82" customFormat="false" ht="15" hidden="false" customHeight="false" outlineLevel="0" collapsed="false">
      <c r="A82" s="31" t="s">
        <v>291</v>
      </c>
      <c r="B82" s="36" t="n">
        <v>45691</v>
      </c>
      <c r="C82" s="49" t="n">
        <f aca="false">DATE(YEAR(B82),MONTH(B82),1)</f>
        <v>45689</v>
      </c>
      <c r="D82" s="31" t="s">
        <v>222</v>
      </c>
      <c r="E82" s="31" t="s">
        <v>43</v>
      </c>
      <c r="F82" s="31" t="s">
        <v>45</v>
      </c>
      <c r="G82" s="31" t="s">
        <v>59</v>
      </c>
      <c r="H82" s="31" t="s">
        <v>177</v>
      </c>
      <c r="I82" s="32" t="str">
        <f aca="false">INDEX(Productos!$B$2:$B$13,MATCH($H82,Productos!$A$2:$A$13,0))</f>
        <v>Tirafondo madera 6x100 cabeza plana Torx</v>
      </c>
      <c r="J82" s="32" t="str">
        <f aca="false">INDEX(Productos!$C$2:$C$13,MATCH($H82,Productos!$A$2:$A$13,0))</f>
        <v>Madera</v>
      </c>
      <c r="K82" s="31" t="s">
        <v>246</v>
      </c>
      <c r="L82" s="46" t="n">
        <v>51</v>
      </c>
      <c r="M82" s="50" t="n">
        <f aca="false">INDEX(Productos!$F$2:$F$13,MATCH($H82,Productos!$A$2:$A$13,0))</f>
        <v>34</v>
      </c>
      <c r="N82" s="51" t="n">
        <v>0.159</v>
      </c>
      <c r="O82" s="52" t="n">
        <f aca="false">M82*(1-N82)</f>
        <v>28.594</v>
      </c>
      <c r="P82" s="21" t="n">
        <f aca="false">L82*O82</f>
        <v>1458.294</v>
      </c>
      <c r="Q82" s="50" t="n">
        <f aca="false">INDEX(Productos!$E$2:$E$13,MATCH($H82,Productos!$A$2:$A$13,0))*INDEX(Parametros!$B$26:$B$43,MATCH($C82,Parametros!$A$26:$A$43,0))</f>
        <v>18.5298</v>
      </c>
      <c r="R82" s="21" t="n">
        <f aca="false">L82*Q82</f>
        <v>945.0198</v>
      </c>
      <c r="S82" s="18" t="n">
        <f aca="false">L82*INDEX(Parametros!$B$20:$B$22,MATCH($E82,Parametros!$A$20:$A$22,0))</f>
        <v>96.9</v>
      </c>
      <c r="T82" s="18" t="n">
        <f aca="false">P82*INDEX(Parametros!$B$13:$B$16,MATCH($F82,Parametros!$A$13:$A$16,0))</f>
        <v>43.74882</v>
      </c>
      <c r="U82" s="21" t="n">
        <f aca="false">P82-R82-S82-T82</f>
        <v>372.62538</v>
      </c>
      <c r="V82" s="19" t="n">
        <f aca="false">IFERROR(U82/P82,0)</f>
        <v>0.255521438063929</v>
      </c>
      <c r="W82" s="48" t="n">
        <f aca="false">B82+INDEX(Parametros!$C$13:$C$16,MATCH($F82,Parametros!$A$13:$A$16,0))</f>
        <v>45751</v>
      </c>
      <c r="X82" s="31" t="s">
        <v>67</v>
      </c>
      <c r="Y82" s="53" t="n">
        <f aca="false">IF(COUNTIF($A$2:$A82,A82)=1,1,0)</f>
        <v>0</v>
      </c>
    </row>
    <row r="83" customFormat="false" ht="15" hidden="false" customHeight="false" outlineLevel="0" collapsed="false">
      <c r="A83" s="31" t="s">
        <v>291</v>
      </c>
      <c r="B83" s="36" t="n">
        <v>45691</v>
      </c>
      <c r="C83" s="49" t="n">
        <f aca="false">DATE(YEAR(B83),MONTH(B83),1)</f>
        <v>45689</v>
      </c>
      <c r="D83" s="31" t="s">
        <v>222</v>
      </c>
      <c r="E83" s="31" t="s">
        <v>43</v>
      </c>
      <c r="F83" s="31" t="s">
        <v>45</v>
      </c>
      <c r="G83" s="31" t="s">
        <v>59</v>
      </c>
      <c r="H83" s="31" t="s">
        <v>181</v>
      </c>
      <c r="I83" s="32" t="str">
        <f aca="false">INDEX(Productos!$B$2:$B$13,MATCH($H83,Productos!$A$2:$A$13,0))</f>
        <v>Autotaladrante 5,5x55 punta broca</v>
      </c>
      <c r="J83" s="32" t="str">
        <f aca="false">INDEX(Productos!$C$2:$C$13,MATCH($H83,Productos!$A$2:$A$13,0))</f>
        <v>Autotaladrante</v>
      </c>
      <c r="K83" s="31" t="s">
        <v>246</v>
      </c>
      <c r="L83" s="46" t="n">
        <v>320</v>
      </c>
      <c r="M83" s="50" t="n">
        <f aca="false">INDEX(Productos!$F$2:$F$13,MATCH($H83,Productos!$A$2:$A$13,0))</f>
        <v>39</v>
      </c>
      <c r="N83" s="51" t="n">
        <v>0.137</v>
      </c>
      <c r="O83" s="52" t="n">
        <f aca="false">M83*(1-N83)</f>
        <v>33.657</v>
      </c>
      <c r="P83" s="21" t="n">
        <f aca="false">L83*O83</f>
        <v>10770.24</v>
      </c>
      <c r="Q83" s="50" t="n">
        <f aca="false">INDEX(Productos!$E$2:$E$13,MATCH($H83,Productos!$A$2:$A$13,0))*INDEX(Parametros!$B$26:$B$43,MATCH($C83,Parametros!$A$26:$A$43,0))</f>
        <v>21.1323</v>
      </c>
      <c r="R83" s="21" t="n">
        <f aca="false">L83*Q83</f>
        <v>6762.336</v>
      </c>
      <c r="S83" s="18" t="n">
        <f aca="false">L83*INDEX(Parametros!$B$20:$B$22,MATCH($E83,Parametros!$A$20:$A$22,0))</f>
        <v>608</v>
      </c>
      <c r="T83" s="18" t="n">
        <f aca="false">P83*INDEX(Parametros!$B$13:$B$16,MATCH($F83,Parametros!$A$13:$A$16,0))</f>
        <v>323.1072</v>
      </c>
      <c r="U83" s="21" t="n">
        <f aca="false">P83-R83-S83-T83</f>
        <v>3076.7968</v>
      </c>
      <c r="V83" s="19" t="n">
        <f aca="false">IFERROR(U83/P83,0)</f>
        <v>0.285675788097572</v>
      </c>
      <c r="W83" s="48" t="n">
        <f aca="false">B83+INDEX(Parametros!$C$13:$C$16,MATCH($F83,Parametros!$A$13:$A$16,0))</f>
        <v>45751</v>
      </c>
      <c r="X83" s="31" t="s">
        <v>67</v>
      </c>
      <c r="Y83" s="53" t="n">
        <f aca="false">IF(COUNTIF($A$2:$A83,A83)=1,1,0)</f>
        <v>0</v>
      </c>
    </row>
    <row r="84" customFormat="false" ht="15" hidden="false" customHeight="false" outlineLevel="0" collapsed="false">
      <c r="A84" s="31" t="s">
        <v>292</v>
      </c>
      <c r="B84" s="36" t="n">
        <v>45691</v>
      </c>
      <c r="C84" s="49" t="n">
        <f aca="false">DATE(YEAR(B84),MONTH(B84),1)</f>
        <v>45689</v>
      </c>
      <c r="D84" s="31" t="s">
        <v>201</v>
      </c>
      <c r="E84" s="31" t="s">
        <v>41</v>
      </c>
      <c r="F84" s="31" t="s">
        <v>46</v>
      </c>
      <c r="G84" s="31" t="s">
        <v>62</v>
      </c>
      <c r="H84" s="31" t="s">
        <v>185</v>
      </c>
      <c r="I84" s="32" t="str">
        <f aca="false">INDEX(Productos!$B$2:$B$13,MATCH($H84,Productos!$A$2:$A$13,0))</f>
        <v>Varilla roscada M10 x 1 m zincada</v>
      </c>
      <c r="J84" s="32" t="str">
        <f aca="false">INDEX(Productos!$C$2:$C$13,MATCH($H84,Productos!$A$2:$A$13,0))</f>
        <v>Especial</v>
      </c>
      <c r="K84" s="31" t="s">
        <v>246</v>
      </c>
      <c r="L84" s="46" t="n">
        <v>97</v>
      </c>
      <c r="M84" s="50" t="n">
        <f aca="false">INDEX(Productos!$F$2:$F$13,MATCH($H84,Productos!$A$2:$A$13,0))</f>
        <v>54</v>
      </c>
      <c r="N84" s="51" t="n">
        <v>0.141</v>
      </c>
      <c r="O84" s="52" t="n">
        <f aca="false">M84*(1-N84)</f>
        <v>46.386</v>
      </c>
      <c r="P84" s="21" t="n">
        <f aca="false">L84*O84</f>
        <v>4499.442</v>
      </c>
      <c r="Q84" s="50" t="n">
        <f aca="false">INDEX(Productos!$E$2:$E$13,MATCH($H84,Productos!$A$2:$A$13,0))*INDEX(Parametros!$B$26:$B$43,MATCH($C84,Parametros!$A$26:$A$43,0))</f>
        <v>29.6685</v>
      </c>
      <c r="R84" s="21" t="n">
        <f aca="false">L84*Q84</f>
        <v>2877.8445</v>
      </c>
      <c r="S84" s="18" t="n">
        <f aca="false">L84*INDEX(Parametros!$B$20:$B$22,MATCH($E84,Parametros!$A$20:$A$22,0))</f>
        <v>82.45</v>
      </c>
      <c r="T84" s="18" t="n">
        <f aca="false">P84*INDEX(Parametros!$B$13:$B$16,MATCH($F84,Parametros!$A$13:$A$16,0))</f>
        <v>179.97768</v>
      </c>
      <c r="U84" s="21" t="n">
        <f aca="false">P84-R84-S84-T84</f>
        <v>1359.16982</v>
      </c>
      <c r="V84" s="19" t="n">
        <f aca="false">IFERROR(U84/P84,0)</f>
        <v>0.302075195101971</v>
      </c>
      <c r="W84" s="48" t="n">
        <f aca="false">B84+INDEX(Parametros!$C$13:$C$16,MATCH($F84,Parametros!$A$13:$A$16,0))</f>
        <v>45766</v>
      </c>
      <c r="X84" s="31" t="s">
        <v>67</v>
      </c>
      <c r="Y84" s="53" t="n">
        <f aca="false">IF(COUNTIF($A$2:$A84,A84)=1,1,0)</f>
        <v>1</v>
      </c>
    </row>
    <row r="85" customFormat="false" ht="15" hidden="false" customHeight="false" outlineLevel="0" collapsed="false">
      <c r="A85" s="31" t="s">
        <v>292</v>
      </c>
      <c r="B85" s="36" t="n">
        <v>45691</v>
      </c>
      <c r="C85" s="49" t="n">
        <f aca="false">DATE(YEAR(B85),MONTH(B85),1)</f>
        <v>45689</v>
      </c>
      <c r="D85" s="31" t="s">
        <v>201</v>
      </c>
      <c r="E85" s="31" t="s">
        <v>41</v>
      </c>
      <c r="F85" s="31" t="s">
        <v>46</v>
      </c>
      <c r="G85" s="31" t="s">
        <v>62</v>
      </c>
      <c r="H85" s="31" t="s">
        <v>169</v>
      </c>
      <c r="I85" s="32" t="str">
        <f aca="false">INDEX(Productos!$B$2:$B$13,MATCH($H85,Productos!$A$2:$A$13,0))</f>
        <v>Tornillo DIN 912 M10x60 Allen inox A2</v>
      </c>
      <c r="J85" s="32" t="str">
        <f aca="false">INDEX(Productos!$C$2:$C$13,MATCH($H85,Productos!$A$2:$A$13,0))</f>
        <v>Inoxidable</v>
      </c>
      <c r="K85" s="31" t="s">
        <v>246</v>
      </c>
      <c r="L85" s="46" t="n">
        <v>29</v>
      </c>
      <c r="M85" s="50" t="n">
        <f aca="false">INDEX(Productos!$F$2:$F$13,MATCH($H85,Productos!$A$2:$A$13,0))</f>
        <v>79</v>
      </c>
      <c r="N85" s="51" t="n">
        <v>0.126</v>
      </c>
      <c r="O85" s="52" t="n">
        <f aca="false">M85*(1-N85)</f>
        <v>69.046</v>
      </c>
      <c r="P85" s="21" t="n">
        <f aca="false">L85*O85</f>
        <v>2002.334</v>
      </c>
      <c r="Q85" s="50" t="n">
        <f aca="false">INDEX(Productos!$E$2:$E$13,MATCH($H85,Productos!$A$2:$A$13,0))*INDEX(Parametros!$B$26:$B$43,MATCH($C85,Parametros!$A$26:$A$43,0))</f>
        <v>43.722</v>
      </c>
      <c r="R85" s="21" t="n">
        <f aca="false">L85*Q85</f>
        <v>1267.938</v>
      </c>
      <c r="S85" s="18" t="n">
        <f aca="false">L85*INDEX(Parametros!$B$20:$B$22,MATCH($E85,Parametros!$A$20:$A$22,0))</f>
        <v>24.65</v>
      </c>
      <c r="T85" s="18" t="n">
        <f aca="false">P85*INDEX(Parametros!$B$13:$B$16,MATCH($F85,Parametros!$A$13:$A$16,0))</f>
        <v>80.09336</v>
      </c>
      <c r="U85" s="21" t="n">
        <f aca="false">P85-R85-S85-T85</f>
        <v>629.652640000001</v>
      </c>
      <c r="V85" s="19" t="n">
        <f aca="false">IFERROR(U85/P85,0)</f>
        <v>0.314459345943284</v>
      </c>
      <c r="W85" s="48" t="n">
        <f aca="false">B85+INDEX(Parametros!$C$13:$C$16,MATCH($F85,Parametros!$A$13:$A$16,0))</f>
        <v>45766</v>
      </c>
      <c r="X85" s="31" t="s">
        <v>67</v>
      </c>
      <c r="Y85" s="53" t="n">
        <f aca="false">IF(COUNTIF($A$2:$A85,A85)=1,1,0)</f>
        <v>0</v>
      </c>
    </row>
    <row r="86" customFormat="false" ht="15" hidden="false" customHeight="false" outlineLevel="0" collapsed="false">
      <c r="A86" s="31" t="s">
        <v>293</v>
      </c>
      <c r="B86" s="36" t="n">
        <v>45691</v>
      </c>
      <c r="C86" s="49" t="n">
        <f aca="false">DATE(YEAR(B86),MONTH(B86),1)</f>
        <v>45689</v>
      </c>
      <c r="D86" s="31" t="s">
        <v>202</v>
      </c>
      <c r="E86" s="31" t="s">
        <v>41</v>
      </c>
      <c r="F86" s="31" t="s">
        <v>46</v>
      </c>
      <c r="G86" s="31" t="s">
        <v>62</v>
      </c>
      <c r="H86" s="31" t="s">
        <v>163</v>
      </c>
      <c r="I86" s="32" t="str">
        <f aca="false">INDEX(Productos!$B$2:$B$13,MATCH($H86,Productos!$A$2:$A$13,0))</f>
        <v>Tornillo DIN 933 M6x30 rosca completa zincado</v>
      </c>
      <c r="J86" s="32" t="str">
        <f aca="false">INDEX(Productos!$C$2:$C$13,MATCH($H86,Productos!$A$2:$A$13,0))</f>
        <v>Métrica</v>
      </c>
      <c r="K86" s="31" t="s">
        <v>246</v>
      </c>
      <c r="L86" s="46" t="n">
        <v>124</v>
      </c>
      <c r="M86" s="50" t="n">
        <f aca="false">INDEX(Productos!$F$2:$F$13,MATCH($H86,Productos!$A$2:$A$13,0))</f>
        <v>32</v>
      </c>
      <c r="N86" s="51" t="n">
        <v>0.165</v>
      </c>
      <c r="O86" s="52" t="n">
        <f aca="false">M86*(1-N86)</f>
        <v>26.72</v>
      </c>
      <c r="P86" s="21" t="n">
        <f aca="false">L86*O86</f>
        <v>3313.28</v>
      </c>
      <c r="Q86" s="50" t="n">
        <f aca="false">INDEX(Productos!$E$2:$E$13,MATCH($H86,Productos!$A$2:$A$13,0))*INDEX(Parametros!$B$26:$B$43,MATCH($C86,Parametros!$A$26:$A$43,0))</f>
        <v>17.2806</v>
      </c>
      <c r="R86" s="21" t="n">
        <f aca="false">L86*Q86</f>
        <v>2142.7944</v>
      </c>
      <c r="S86" s="18" t="n">
        <f aca="false">L86*INDEX(Parametros!$B$20:$B$22,MATCH($E86,Parametros!$A$20:$A$22,0))</f>
        <v>105.4</v>
      </c>
      <c r="T86" s="18" t="n">
        <f aca="false">P86*INDEX(Parametros!$B$13:$B$16,MATCH($F86,Parametros!$A$13:$A$16,0))</f>
        <v>132.5312</v>
      </c>
      <c r="U86" s="21" t="n">
        <f aca="false">P86-R86-S86-T86</f>
        <v>932.5544</v>
      </c>
      <c r="V86" s="19" t="n">
        <f aca="false">IFERROR(U86/P86,0)</f>
        <v>0.281459580838323</v>
      </c>
      <c r="W86" s="48" t="n">
        <f aca="false">B86+INDEX(Parametros!$C$13:$C$16,MATCH($F86,Parametros!$A$13:$A$16,0))</f>
        <v>45766</v>
      </c>
      <c r="X86" s="31" t="s">
        <v>67</v>
      </c>
      <c r="Y86" s="53" t="n">
        <f aca="false">IF(COUNTIF($A$2:$A86,A86)=1,1,0)</f>
        <v>1</v>
      </c>
    </row>
    <row r="87" customFormat="false" ht="15" hidden="false" customHeight="false" outlineLevel="0" collapsed="false">
      <c r="A87" s="31" t="s">
        <v>293</v>
      </c>
      <c r="B87" s="36" t="n">
        <v>45691</v>
      </c>
      <c r="C87" s="49" t="n">
        <f aca="false">DATE(YEAR(B87),MONTH(B87),1)</f>
        <v>45689</v>
      </c>
      <c r="D87" s="31" t="s">
        <v>202</v>
      </c>
      <c r="E87" s="31" t="s">
        <v>41</v>
      </c>
      <c r="F87" s="31" t="s">
        <v>46</v>
      </c>
      <c r="G87" s="31" t="s">
        <v>62</v>
      </c>
      <c r="H87" s="31" t="s">
        <v>171</v>
      </c>
      <c r="I87" s="32" t="str">
        <f aca="false">INDEX(Productos!$B$2:$B$13,MATCH($H87,Productos!$A$2:$A$13,0))</f>
        <v>Tornillo DIN 7991 M8x30 avellanado inox A2</v>
      </c>
      <c r="J87" s="32" t="str">
        <f aca="false">INDEX(Productos!$C$2:$C$13,MATCH($H87,Productos!$A$2:$A$13,0))</f>
        <v>Inoxidable</v>
      </c>
      <c r="K87" s="31" t="s">
        <v>246</v>
      </c>
      <c r="L87" s="46" t="n">
        <v>31</v>
      </c>
      <c r="M87" s="50" t="n">
        <f aca="false">INDEX(Productos!$F$2:$F$13,MATCH($H87,Productos!$A$2:$A$13,0))</f>
        <v>88</v>
      </c>
      <c r="N87" s="51" t="n">
        <v>0.13</v>
      </c>
      <c r="O87" s="52" t="n">
        <f aca="false">M87*(1-N87)</f>
        <v>76.56</v>
      </c>
      <c r="P87" s="21" t="n">
        <f aca="false">L87*O87</f>
        <v>2373.36</v>
      </c>
      <c r="Q87" s="50" t="n">
        <f aca="false">INDEX(Productos!$E$2:$E$13,MATCH($H87,Productos!$A$2:$A$13,0))*INDEX(Parametros!$B$26:$B$43,MATCH($C87,Parametros!$A$26:$A$43,0))</f>
        <v>48.4065</v>
      </c>
      <c r="R87" s="21" t="n">
        <f aca="false">L87*Q87</f>
        <v>1500.6015</v>
      </c>
      <c r="S87" s="18" t="n">
        <f aca="false">L87*INDEX(Parametros!$B$20:$B$22,MATCH($E87,Parametros!$A$20:$A$22,0))</f>
        <v>26.35</v>
      </c>
      <c r="T87" s="18" t="n">
        <f aca="false">P87*INDEX(Parametros!$B$13:$B$16,MATCH($F87,Parametros!$A$13:$A$16,0))</f>
        <v>94.9344</v>
      </c>
      <c r="U87" s="21" t="n">
        <f aca="false">P87-R87-S87-T87</f>
        <v>751.4741</v>
      </c>
      <c r="V87" s="19" t="n">
        <f aca="false">IFERROR(U87/P87,0)</f>
        <v>0.316628787878788</v>
      </c>
      <c r="W87" s="48" t="n">
        <f aca="false">B87+INDEX(Parametros!$C$13:$C$16,MATCH($F87,Parametros!$A$13:$A$16,0))</f>
        <v>45766</v>
      </c>
      <c r="X87" s="31" t="s">
        <v>67</v>
      </c>
      <c r="Y87" s="53" t="n">
        <f aca="false">IF(COUNTIF($A$2:$A87,A87)=1,1,0)</f>
        <v>0</v>
      </c>
    </row>
    <row r="88" customFormat="false" ht="15" hidden="false" customHeight="false" outlineLevel="0" collapsed="false">
      <c r="A88" s="31" t="s">
        <v>294</v>
      </c>
      <c r="B88" s="36" t="n">
        <v>45691</v>
      </c>
      <c r="C88" s="49" t="n">
        <f aca="false">DATE(YEAR(B88),MONTH(B88),1)</f>
        <v>45689</v>
      </c>
      <c r="D88" s="31" t="s">
        <v>204</v>
      </c>
      <c r="E88" s="31" t="s">
        <v>41</v>
      </c>
      <c r="F88" s="31" t="s">
        <v>47</v>
      </c>
      <c r="G88" s="31" t="s">
        <v>62</v>
      </c>
      <c r="H88" s="31" t="s">
        <v>173</v>
      </c>
      <c r="I88" s="32" t="str">
        <f aca="false">INDEX(Productos!$B$2:$B$13,MATCH($H88,Productos!$A$2:$A$13,0))</f>
        <v>Tornillo DIN 933 M12x70 clase 8.8</v>
      </c>
      <c r="J88" s="32" t="str">
        <f aca="false">INDEX(Productos!$C$2:$C$13,MATCH($H88,Productos!$A$2:$A$13,0))</f>
        <v>Métrica</v>
      </c>
      <c r="K88" s="31" t="s">
        <v>246</v>
      </c>
      <c r="L88" s="46" t="n">
        <v>81</v>
      </c>
      <c r="M88" s="50" t="n">
        <f aca="false">INDEX(Productos!$F$2:$F$13,MATCH($H88,Productos!$A$2:$A$13,0))</f>
        <v>64</v>
      </c>
      <c r="N88" s="51" t="n">
        <v>0.086</v>
      </c>
      <c r="O88" s="52" t="n">
        <f aca="false">M88*(1-N88)</f>
        <v>58.496</v>
      </c>
      <c r="P88" s="21" t="n">
        <f aca="false">L88*O88</f>
        <v>4738.176</v>
      </c>
      <c r="Q88" s="50" t="n">
        <f aca="false">INDEX(Productos!$E$2:$E$13,MATCH($H88,Productos!$A$2:$A$13,0))*INDEX(Parametros!$B$26:$B$43,MATCH($C88,Parametros!$A$26:$A$43,0))</f>
        <v>34.8735</v>
      </c>
      <c r="R88" s="21" t="n">
        <f aca="false">L88*Q88</f>
        <v>2824.7535</v>
      </c>
      <c r="S88" s="18" t="n">
        <f aca="false">L88*INDEX(Parametros!$B$20:$B$22,MATCH($E88,Parametros!$A$20:$A$22,0))</f>
        <v>68.85</v>
      </c>
      <c r="T88" s="18" t="n">
        <f aca="false">P88*INDEX(Parametros!$B$13:$B$16,MATCH($F88,Parametros!$A$13:$A$16,0))</f>
        <v>165.83616</v>
      </c>
      <c r="U88" s="21" t="n">
        <f aca="false">P88-R88-S88-T88</f>
        <v>1678.73634</v>
      </c>
      <c r="V88" s="19" t="n">
        <f aca="false">IFERROR(U88/P88,0)</f>
        <v>0.354300123085339</v>
      </c>
      <c r="W88" s="48" t="n">
        <f aca="false">B88+INDEX(Parametros!$C$13:$C$16,MATCH($F88,Parametros!$A$13:$A$16,0))</f>
        <v>45736</v>
      </c>
      <c r="X88" s="31" t="s">
        <v>67</v>
      </c>
      <c r="Y88" s="53" t="n">
        <f aca="false">IF(COUNTIF($A$2:$A88,A88)=1,1,0)</f>
        <v>1</v>
      </c>
    </row>
    <row r="89" customFormat="false" ht="15" hidden="false" customHeight="false" outlineLevel="0" collapsed="false">
      <c r="A89" s="31" t="s">
        <v>295</v>
      </c>
      <c r="B89" s="36" t="n">
        <v>45692</v>
      </c>
      <c r="C89" s="49" t="n">
        <f aca="false">DATE(YEAR(B89),MONTH(B89),1)</f>
        <v>45689</v>
      </c>
      <c r="D89" s="31" t="s">
        <v>221</v>
      </c>
      <c r="E89" s="31" t="s">
        <v>43</v>
      </c>
      <c r="F89" s="31" t="s">
        <v>45</v>
      </c>
      <c r="G89" s="31" t="s">
        <v>59</v>
      </c>
      <c r="H89" s="31" t="s">
        <v>177</v>
      </c>
      <c r="I89" s="32" t="str">
        <f aca="false">INDEX(Productos!$B$2:$B$13,MATCH($H89,Productos!$A$2:$A$13,0))</f>
        <v>Tirafondo madera 6x100 cabeza plana Torx</v>
      </c>
      <c r="J89" s="32" t="str">
        <f aca="false">INDEX(Productos!$C$2:$C$13,MATCH($H89,Productos!$A$2:$A$13,0))</f>
        <v>Madera</v>
      </c>
      <c r="K89" s="31" t="s">
        <v>246</v>
      </c>
      <c r="L89" s="46" t="n">
        <v>199</v>
      </c>
      <c r="M89" s="50" t="n">
        <f aca="false">INDEX(Productos!$F$2:$F$13,MATCH($H89,Productos!$A$2:$A$13,0))</f>
        <v>34</v>
      </c>
      <c r="N89" s="51" t="n">
        <v>0.181</v>
      </c>
      <c r="O89" s="52" t="n">
        <f aca="false">M89*(1-N89)</f>
        <v>27.846</v>
      </c>
      <c r="P89" s="21" t="n">
        <f aca="false">L89*O89</f>
        <v>5541.354</v>
      </c>
      <c r="Q89" s="50" t="n">
        <f aca="false">INDEX(Productos!$E$2:$E$13,MATCH($H89,Productos!$A$2:$A$13,0))*INDEX(Parametros!$B$26:$B$43,MATCH($C89,Parametros!$A$26:$A$43,0))</f>
        <v>18.5298</v>
      </c>
      <c r="R89" s="21" t="n">
        <f aca="false">L89*Q89</f>
        <v>3687.4302</v>
      </c>
      <c r="S89" s="18" t="n">
        <f aca="false">L89*INDEX(Parametros!$B$20:$B$22,MATCH($E89,Parametros!$A$20:$A$22,0))</f>
        <v>378.1</v>
      </c>
      <c r="T89" s="18" t="n">
        <f aca="false">P89*INDEX(Parametros!$B$13:$B$16,MATCH($F89,Parametros!$A$13:$A$16,0))</f>
        <v>166.24062</v>
      </c>
      <c r="U89" s="21" t="n">
        <f aca="false">P89-R89-S89-T89</f>
        <v>1309.58318</v>
      </c>
      <c r="V89" s="19" t="n">
        <f aca="false">IFERROR(U89/P89,0)</f>
        <v>0.23632909574086</v>
      </c>
      <c r="W89" s="48" t="n">
        <f aca="false">B89+INDEX(Parametros!$C$13:$C$16,MATCH($F89,Parametros!$A$13:$A$16,0))</f>
        <v>45752</v>
      </c>
      <c r="X89" s="31" t="s">
        <v>67</v>
      </c>
      <c r="Y89" s="53" t="n">
        <f aca="false">IF(COUNTIF($A$2:$A89,A89)=1,1,0)</f>
        <v>1</v>
      </c>
    </row>
    <row r="90" customFormat="false" ht="15" hidden="false" customHeight="false" outlineLevel="0" collapsed="false">
      <c r="A90" s="31" t="s">
        <v>296</v>
      </c>
      <c r="B90" s="36" t="n">
        <v>45693</v>
      </c>
      <c r="C90" s="49" t="n">
        <f aca="false">DATE(YEAR(B90),MONTH(B90),1)</f>
        <v>45689</v>
      </c>
      <c r="D90" s="31" t="s">
        <v>209</v>
      </c>
      <c r="E90" s="31" t="s">
        <v>41</v>
      </c>
      <c r="F90" s="31" t="s">
        <v>45</v>
      </c>
      <c r="G90" s="31" t="s">
        <v>62</v>
      </c>
      <c r="H90" s="31" t="s">
        <v>165</v>
      </c>
      <c r="I90" s="32" t="str">
        <f aca="false">INDEX(Productos!$B$2:$B$13,MATCH($H90,Productos!$A$2:$A$13,0))</f>
        <v>Tornillo DIN 933 M8x40 rosca completa zincado</v>
      </c>
      <c r="J90" s="32" t="str">
        <f aca="false">INDEX(Productos!$C$2:$C$13,MATCH($H90,Productos!$A$2:$A$13,0))</f>
        <v>Métrica</v>
      </c>
      <c r="K90" s="31" t="s">
        <v>246</v>
      </c>
      <c r="L90" s="46" t="n">
        <v>186</v>
      </c>
      <c r="M90" s="50" t="n">
        <f aca="false">INDEX(Productos!$F$2:$F$13,MATCH($H90,Productos!$A$2:$A$13,0))</f>
        <v>37.5</v>
      </c>
      <c r="N90" s="51" t="n">
        <v>0.13</v>
      </c>
      <c r="O90" s="52" t="n">
        <f aca="false">M90*(1-N90)</f>
        <v>32.625</v>
      </c>
      <c r="P90" s="21" t="n">
        <f aca="false">L90*O90</f>
        <v>6068.25</v>
      </c>
      <c r="Q90" s="50" t="n">
        <f aca="false">INDEX(Productos!$E$2:$E$13,MATCH($H90,Productos!$A$2:$A$13,0))*INDEX(Parametros!$B$26:$B$43,MATCH($C90,Parametros!$A$26:$A$43,0))</f>
        <v>20.1954</v>
      </c>
      <c r="R90" s="21" t="n">
        <f aca="false">L90*Q90</f>
        <v>3756.3444</v>
      </c>
      <c r="S90" s="18" t="n">
        <f aca="false">L90*INDEX(Parametros!$B$20:$B$22,MATCH($E90,Parametros!$A$20:$A$22,0))</f>
        <v>158.1</v>
      </c>
      <c r="T90" s="18" t="n">
        <f aca="false">P90*INDEX(Parametros!$B$13:$B$16,MATCH($F90,Parametros!$A$13:$A$16,0))</f>
        <v>182.0475</v>
      </c>
      <c r="U90" s="21" t="n">
        <f aca="false">P90-R90-S90-T90</f>
        <v>1971.7581</v>
      </c>
      <c r="V90" s="19" t="n">
        <f aca="false">IFERROR(U90/P90,0)</f>
        <v>0.324930268199234</v>
      </c>
      <c r="W90" s="48" t="n">
        <f aca="false">B90+INDEX(Parametros!$C$13:$C$16,MATCH($F90,Parametros!$A$13:$A$16,0))</f>
        <v>45753</v>
      </c>
      <c r="X90" s="31" t="s">
        <v>67</v>
      </c>
      <c r="Y90" s="53" t="n">
        <f aca="false">IF(COUNTIF($A$2:$A90,A90)=1,1,0)</f>
        <v>1</v>
      </c>
    </row>
    <row r="91" customFormat="false" ht="15" hidden="false" customHeight="false" outlineLevel="0" collapsed="false">
      <c r="A91" s="31" t="s">
        <v>296</v>
      </c>
      <c r="B91" s="36" t="n">
        <v>45693</v>
      </c>
      <c r="C91" s="49" t="n">
        <f aca="false">DATE(YEAR(B91),MONTH(B91),1)</f>
        <v>45689</v>
      </c>
      <c r="D91" s="31" t="s">
        <v>209</v>
      </c>
      <c r="E91" s="31" t="s">
        <v>41</v>
      </c>
      <c r="F91" s="31" t="s">
        <v>45</v>
      </c>
      <c r="G91" s="31" t="s">
        <v>62</v>
      </c>
      <c r="H91" s="31" t="s">
        <v>183</v>
      </c>
      <c r="I91" s="32" t="str">
        <f aca="false">INDEX(Productos!$B$2:$B$13,MATCH($H91,Productos!$A$2:$A$13,0))</f>
        <v>Tornillo estructural M16x90 clase 10.9</v>
      </c>
      <c r="J91" s="32" t="str">
        <f aca="false">INDEX(Productos!$C$2:$C$13,MATCH($H91,Productos!$A$2:$A$13,0))</f>
        <v>Especial</v>
      </c>
      <c r="K91" s="31" t="s">
        <v>246</v>
      </c>
      <c r="L91" s="46" t="n">
        <v>104</v>
      </c>
      <c r="M91" s="50" t="n">
        <f aca="false">INDEX(Productos!$F$2:$F$13,MATCH($H91,Productos!$A$2:$A$13,0))</f>
        <v>112</v>
      </c>
      <c r="N91" s="51" t="n">
        <v>0.156</v>
      </c>
      <c r="O91" s="52" t="n">
        <f aca="false">M91*(1-N91)</f>
        <v>94.528</v>
      </c>
      <c r="P91" s="21" t="n">
        <f aca="false">L91*O91</f>
        <v>9830.912</v>
      </c>
      <c r="Q91" s="50" t="n">
        <f aca="false">INDEX(Productos!$E$2:$E$13,MATCH($H91,Productos!$A$2:$A$13,0))*INDEX(Parametros!$B$26:$B$43,MATCH($C91,Parametros!$A$26:$A$43,0))</f>
        <v>62.46</v>
      </c>
      <c r="R91" s="21" t="n">
        <f aca="false">L91*Q91</f>
        <v>6495.84</v>
      </c>
      <c r="S91" s="18" t="n">
        <f aca="false">L91*INDEX(Parametros!$B$20:$B$22,MATCH($E91,Parametros!$A$20:$A$22,0))</f>
        <v>88.4</v>
      </c>
      <c r="T91" s="18" t="n">
        <f aca="false">P91*INDEX(Parametros!$B$13:$B$16,MATCH($F91,Parametros!$A$13:$A$16,0))</f>
        <v>294.92736</v>
      </c>
      <c r="U91" s="21" t="n">
        <f aca="false">P91-R91-S91-T91</f>
        <v>2951.74464</v>
      </c>
      <c r="V91" s="19" t="n">
        <f aca="false">IFERROR(U91/P91,0)</f>
        <v>0.300251354096141</v>
      </c>
      <c r="W91" s="48" t="n">
        <f aca="false">B91+INDEX(Parametros!$C$13:$C$16,MATCH($F91,Parametros!$A$13:$A$16,0))</f>
        <v>45753</v>
      </c>
      <c r="X91" s="31" t="s">
        <v>67</v>
      </c>
      <c r="Y91" s="53" t="n">
        <f aca="false">IF(COUNTIF($A$2:$A91,A91)=1,1,0)</f>
        <v>0</v>
      </c>
    </row>
    <row r="92" customFormat="false" ht="15" hidden="false" customHeight="false" outlineLevel="0" collapsed="false">
      <c r="A92" s="31" t="s">
        <v>297</v>
      </c>
      <c r="B92" s="36" t="n">
        <v>45693</v>
      </c>
      <c r="C92" s="49" t="n">
        <f aca="false">DATE(YEAR(B92),MONTH(B92),1)</f>
        <v>45689</v>
      </c>
      <c r="D92" s="31" t="s">
        <v>221</v>
      </c>
      <c r="E92" s="31" t="s">
        <v>43</v>
      </c>
      <c r="F92" s="31" t="s">
        <v>45</v>
      </c>
      <c r="G92" s="31" t="s">
        <v>59</v>
      </c>
      <c r="H92" s="31" t="s">
        <v>181</v>
      </c>
      <c r="I92" s="32" t="str">
        <f aca="false">INDEX(Productos!$B$2:$B$13,MATCH($H92,Productos!$A$2:$A$13,0))</f>
        <v>Autotaladrante 5,5x55 punta broca</v>
      </c>
      <c r="J92" s="32" t="str">
        <f aca="false">INDEX(Productos!$C$2:$C$13,MATCH($H92,Productos!$A$2:$A$13,0))</f>
        <v>Autotaladrante</v>
      </c>
      <c r="K92" s="31" t="s">
        <v>246</v>
      </c>
      <c r="L92" s="46" t="n">
        <v>71</v>
      </c>
      <c r="M92" s="50" t="n">
        <f aca="false">INDEX(Productos!$F$2:$F$13,MATCH($H92,Productos!$A$2:$A$13,0))</f>
        <v>39</v>
      </c>
      <c r="N92" s="51" t="n">
        <v>0.192</v>
      </c>
      <c r="O92" s="52" t="n">
        <f aca="false">M92*(1-N92)</f>
        <v>31.512</v>
      </c>
      <c r="P92" s="21" t="n">
        <f aca="false">L92*O92</f>
        <v>2237.352</v>
      </c>
      <c r="Q92" s="50" t="n">
        <f aca="false">INDEX(Productos!$E$2:$E$13,MATCH($H92,Productos!$A$2:$A$13,0))*INDEX(Parametros!$B$26:$B$43,MATCH($C92,Parametros!$A$26:$A$43,0))</f>
        <v>21.1323</v>
      </c>
      <c r="R92" s="21" t="n">
        <f aca="false">L92*Q92</f>
        <v>1500.3933</v>
      </c>
      <c r="S92" s="18" t="n">
        <f aca="false">L92*INDEX(Parametros!$B$20:$B$22,MATCH($E92,Parametros!$A$20:$A$22,0))</f>
        <v>134.9</v>
      </c>
      <c r="T92" s="18" t="n">
        <f aca="false">P92*INDEX(Parametros!$B$13:$B$16,MATCH($F92,Parametros!$A$13:$A$16,0))</f>
        <v>67.12056</v>
      </c>
      <c r="U92" s="21" t="n">
        <f aca="false">P92-R92-S92-T92</f>
        <v>534.93814</v>
      </c>
      <c r="V92" s="19" t="n">
        <f aca="false">IFERROR(U92/P92,0)</f>
        <v>0.239094313277482</v>
      </c>
      <c r="W92" s="48" t="n">
        <f aca="false">B92+INDEX(Parametros!$C$13:$C$16,MATCH($F92,Parametros!$A$13:$A$16,0))</f>
        <v>45753</v>
      </c>
      <c r="X92" s="31" t="s">
        <v>67</v>
      </c>
      <c r="Y92" s="53" t="n">
        <f aca="false">IF(COUNTIF($A$2:$A92,A92)=1,1,0)</f>
        <v>1</v>
      </c>
    </row>
    <row r="93" customFormat="false" ht="15" hidden="false" customHeight="false" outlineLevel="0" collapsed="false">
      <c r="A93" s="31" t="s">
        <v>298</v>
      </c>
      <c r="B93" s="36" t="n">
        <v>45693</v>
      </c>
      <c r="C93" s="49" t="n">
        <f aca="false">DATE(YEAR(B93),MONTH(B93),1)</f>
        <v>45689</v>
      </c>
      <c r="D93" s="31" t="s">
        <v>228</v>
      </c>
      <c r="E93" s="31" t="s">
        <v>43</v>
      </c>
      <c r="F93" s="31" t="s">
        <v>47</v>
      </c>
      <c r="G93" s="31" t="s">
        <v>59</v>
      </c>
      <c r="H93" s="31" t="s">
        <v>183</v>
      </c>
      <c r="I93" s="32" t="str">
        <f aca="false">INDEX(Productos!$B$2:$B$13,MATCH($H93,Productos!$A$2:$A$13,0))</f>
        <v>Tornillo estructural M16x90 clase 10.9</v>
      </c>
      <c r="J93" s="32" t="str">
        <f aca="false">INDEX(Productos!$C$2:$C$13,MATCH($H93,Productos!$A$2:$A$13,0))</f>
        <v>Especial</v>
      </c>
      <c r="K93" s="31" t="s">
        <v>246</v>
      </c>
      <c r="L93" s="46" t="n">
        <v>136</v>
      </c>
      <c r="M93" s="50" t="n">
        <f aca="false">INDEX(Productos!$F$2:$F$13,MATCH($H93,Productos!$A$2:$A$13,0))</f>
        <v>112</v>
      </c>
      <c r="N93" s="51" t="n">
        <v>0.091</v>
      </c>
      <c r="O93" s="52" t="n">
        <f aca="false">M93*(1-N93)</f>
        <v>101.808</v>
      </c>
      <c r="P93" s="21" t="n">
        <f aca="false">L93*O93</f>
        <v>13845.888</v>
      </c>
      <c r="Q93" s="50" t="n">
        <f aca="false">INDEX(Productos!$E$2:$E$13,MATCH($H93,Productos!$A$2:$A$13,0))*INDEX(Parametros!$B$26:$B$43,MATCH($C93,Parametros!$A$26:$A$43,0))</f>
        <v>62.46</v>
      </c>
      <c r="R93" s="21" t="n">
        <f aca="false">L93*Q93</f>
        <v>8494.56</v>
      </c>
      <c r="S93" s="18" t="n">
        <f aca="false">L93*INDEX(Parametros!$B$20:$B$22,MATCH($E93,Parametros!$A$20:$A$22,0))</f>
        <v>258.4</v>
      </c>
      <c r="T93" s="18" t="n">
        <f aca="false">P93*INDEX(Parametros!$B$13:$B$16,MATCH($F93,Parametros!$A$13:$A$16,0))</f>
        <v>484.60608</v>
      </c>
      <c r="U93" s="21" t="n">
        <f aca="false">P93-R93-S93-T93</f>
        <v>4608.32192</v>
      </c>
      <c r="V93" s="19" t="n">
        <f aca="false">IFERROR(U93/P93,0)</f>
        <v>0.332829640106868</v>
      </c>
      <c r="W93" s="48" t="n">
        <f aca="false">B93+INDEX(Parametros!$C$13:$C$16,MATCH($F93,Parametros!$A$13:$A$16,0))</f>
        <v>45738</v>
      </c>
      <c r="X93" s="31" t="s">
        <v>67</v>
      </c>
      <c r="Y93" s="53" t="n">
        <f aca="false">IF(COUNTIF($A$2:$A93,A93)=1,1,0)</f>
        <v>1</v>
      </c>
    </row>
    <row r="94" customFormat="false" ht="15" hidden="false" customHeight="false" outlineLevel="0" collapsed="false">
      <c r="A94" s="31" t="s">
        <v>298</v>
      </c>
      <c r="B94" s="36" t="n">
        <v>45693</v>
      </c>
      <c r="C94" s="49" t="n">
        <f aca="false">DATE(YEAR(B94),MONTH(B94),1)</f>
        <v>45689</v>
      </c>
      <c r="D94" s="31" t="s">
        <v>228</v>
      </c>
      <c r="E94" s="31" t="s">
        <v>43</v>
      </c>
      <c r="F94" s="31" t="s">
        <v>47</v>
      </c>
      <c r="G94" s="31" t="s">
        <v>59</v>
      </c>
      <c r="H94" s="31" t="s">
        <v>173</v>
      </c>
      <c r="I94" s="32" t="str">
        <f aca="false">INDEX(Productos!$B$2:$B$13,MATCH($H94,Productos!$A$2:$A$13,0))</f>
        <v>Tornillo DIN 933 M12x70 clase 8.8</v>
      </c>
      <c r="J94" s="32" t="str">
        <f aca="false">INDEX(Productos!$C$2:$C$13,MATCH($H94,Productos!$A$2:$A$13,0))</f>
        <v>Métrica</v>
      </c>
      <c r="K94" s="31" t="s">
        <v>246</v>
      </c>
      <c r="L94" s="46" t="n">
        <v>16</v>
      </c>
      <c r="M94" s="50" t="n">
        <f aca="false">INDEX(Productos!$F$2:$F$13,MATCH($H94,Productos!$A$2:$A$13,0))</f>
        <v>64</v>
      </c>
      <c r="N94" s="51" t="n">
        <v>0.04</v>
      </c>
      <c r="O94" s="52" t="n">
        <f aca="false">M94*(1-N94)</f>
        <v>61.44</v>
      </c>
      <c r="P94" s="21" t="n">
        <f aca="false">L94*O94</f>
        <v>983.04</v>
      </c>
      <c r="Q94" s="50" t="n">
        <f aca="false">INDEX(Productos!$E$2:$E$13,MATCH($H94,Productos!$A$2:$A$13,0))*INDEX(Parametros!$B$26:$B$43,MATCH($C94,Parametros!$A$26:$A$43,0))</f>
        <v>34.8735</v>
      </c>
      <c r="R94" s="21" t="n">
        <f aca="false">L94*Q94</f>
        <v>557.976</v>
      </c>
      <c r="S94" s="18" t="n">
        <f aca="false">L94*INDEX(Parametros!$B$20:$B$22,MATCH($E94,Parametros!$A$20:$A$22,0))</f>
        <v>30.4</v>
      </c>
      <c r="T94" s="18" t="n">
        <f aca="false">P94*INDEX(Parametros!$B$13:$B$16,MATCH($F94,Parametros!$A$13:$A$16,0))</f>
        <v>34.4064</v>
      </c>
      <c r="U94" s="21" t="n">
        <f aca="false">P94-R94-S94-T94</f>
        <v>360.2576</v>
      </c>
      <c r="V94" s="19" t="n">
        <f aca="false">IFERROR(U94/P94,0)</f>
        <v>0.366472981770833</v>
      </c>
      <c r="W94" s="48" t="n">
        <f aca="false">B94+INDEX(Parametros!$C$13:$C$16,MATCH($F94,Parametros!$A$13:$A$16,0))</f>
        <v>45738</v>
      </c>
      <c r="X94" s="31" t="s">
        <v>67</v>
      </c>
      <c r="Y94" s="53" t="n">
        <f aca="false">IF(COUNTIF($A$2:$A94,A94)=1,1,0)</f>
        <v>0</v>
      </c>
    </row>
    <row r="95" customFormat="false" ht="15" hidden="false" customHeight="false" outlineLevel="0" collapsed="false">
      <c r="A95" s="31" t="s">
        <v>298</v>
      </c>
      <c r="B95" s="36" t="n">
        <v>45693</v>
      </c>
      <c r="C95" s="49" t="n">
        <f aca="false">DATE(YEAR(B95),MONTH(B95),1)</f>
        <v>45689</v>
      </c>
      <c r="D95" s="31" t="s">
        <v>228</v>
      </c>
      <c r="E95" s="31" t="s">
        <v>43</v>
      </c>
      <c r="F95" s="31" t="s">
        <v>47</v>
      </c>
      <c r="G95" s="31" t="s">
        <v>59</v>
      </c>
      <c r="H95" s="31" t="s">
        <v>167</v>
      </c>
      <c r="I95" s="32" t="str">
        <f aca="false">INDEX(Productos!$B$2:$B$13,MATCH($H95,Productos!$A$2:$A$13,0))</f>
        <v>Tornillo DIN 912 M6x25 Allen zincado</v>
      </c>
      <c r="J95" s="32" t="str">
        <f aca="false">INDEX(Productos!$C$2:$C$13,MATCH($H95,Productos!$A$2:$A$13,0))</f>
        <v>Métrica</v>
      </c>
      <c r="K95" s="31" t="s">
        <v>246</v>
      </c>
      <c r="L95" s="46" t="n">
        <v>19</v>
      </c>
      <c r="M95" s="50" t="n">
        <f aca="false">INDEX(Productos!$F$2:$F$13,MATCH($H95,Productos!$A$2:$A$13,0))</f>
        <v>42</v>
      </c>
      <c r="N95" s="51" t="n">
        <v>0.071</v>
      </c>
      <c r="O95" s="52" t="n">
        <f aca="false">M95*(1-N95)</f>
        <v>39.018</v>
      </c>
      <c r="P95" s="21" t="n">
        <f aca="false">L95*O95</f>
        <v>741.342</v>
      </c>
      <c r="Q95" s="50" t="n">
        <f aca="false">INDEX(Productos!$E$2:$E$13,MATCH($H95,Productos!$A$2:$A$13,0))*INDEX(Parametros!$B$26:$B$43,MATCH($C95,Parametros!$A$26:$A$43,0))</f>
        <v>22.6938</v>
      </c>
      <c r="R95" s="21" t="n">
        <f aca="false">L95*Q95</f>
        <v>431.1822</v>
      </c>
      <c r="S95" s="18" t="n">
        <f aca="false">L95*INDEX(Parametros!$B$20:$B$22,MATCH($E95,Parametros!$A$20:$A$22,0))</f>
        <v>36.1</v>
      </c>
      <c r="T95" s="18" t="n">
        <f aca="false">P95*INDEX(Parametros!$B$13:$B$16,MATCH($F95,Parametros!$A$13:$A$16,0))</f>
        <v>25.94697</v>
      </c>
      <c r="U95" s="21" t="n">
        <f aca="false">P95-R95-S95-T95</f>
        <v>248.11283</v>
      </c>
      <c r="V95" s="19" t="n">
        <f aca="false">IFERROR(U95/P95,0)</f>
        <v>0.334680660208109</v>
      </c>
      <c r="W95" s="48" t="n">
        <f aca="false">B95+INDEX(Parametros!$C$13:$C$16,MATCH($F95,Parametros!$A$13:$A$16,0))</f>
        <v>45738</v>
      </c>
      <c r="X95" s="31" t="s">
        <v>67</v>
      </c>
      <c r="Y95" s="53" t="n">
        <f aca="false">IF(COUNTIF($A$2:$A95,A95)=1,1,0)</f>
        <v>0</v>
      </c>
    </row>
    <row r="96" customFormat="false" ht="15" hidden="false" customHeight="false" outlineLevel="0" collapsed="false">
      <c r="A96" s="31" t="s">
        <v>299</v>
      </c>
      <c r="B96" s="36" t="n">
        <v>45694</v>
      </c>
      <c r="C96" s="49" t="n">
        <f aca="false">DATE(YEAR(B96),MONTH(B96),1)</f>
        <v>45689</v>
      </c>
      <c r="D96" s="31" t="s">
        <v>210</v>
      </c>
      <c r="E96" s="31" t="s">
        <v>41</v>
      </c>
      <c r="F96" s="31" t="s">
        <v>48</v>
      </c>
      <c r="G96" s="31" t="s">
        <v>60</v>
      </c>
      <c r="H96" s="31" t="s">
        <v>173</v>
      </c>
      <c r="I96" s="32" t="str">
        <f aca="false">INDEX(Productos!$B$2:$B$13,MATCH($H96,Productos!$A$2:$A$13,0))</f>
        <v>Tornillo DIN 933 M12x70 clase 8.8</v>
      </c>
      <c r="J96" s="32" t="str">
        <f aca="false">INDEX(Productos!$C$2:$C$13,MATCH($H96,Productos!$A$2:$A$13,0))</f>
        <v>Métrica</v>
      </c>
      <c r="K96" s="31" t="s">
        <v>246</v>
      </c>
      <c r="L96" s="46" t="n">
        <v>7</v>
      </c>
      <c r="M96" s="50" t="n">
        <f aca="false">INDEX(Productos!$F$2:$F$13,MATCH($H96,Productos!$A$2:$A$13,0))</f>
        <v>64</v>
      </c>
      <c r="N96" s="51" t="n">
        <v>0.02</v>
      </c>
      <c r="O96" s="52" t="n">
        <f aca="false">M96*(1-N96)</f>
        <v>62.72</v>
      </c>
      <c r="P96" s="21" t="n">
        <f aca="false">L96*O96</f>
        <v>439.04</v>
      </c>
      <c r="Q96" s="50" t="n">
        <f aca="false">INDEX(Productos!$E$2:$E$13,MATCH($H96,Productos!$A$2:$A$13,0))*INDEX(Parametros!$B$26:$B$43,MATCH($C96,Parametros!$A$26:$A$43,0))</f>
        <v>34.8735</v>
      </c>
      <c r="R96" s="21" t="n">
        <f aca="false">L96*Q96</f>
        <v>244.1145</v>
      </c>
      <c r="S96" s="18" t="n">
        <f aca="false">L96*INDEX(Parametros!$B$20:$B$22,MATCH($E96,Parametros!$A$20:$A$22,0))</f>
        <v>5.95</v>
      </c>
      <c r="T96" s="18" t="n">
        <f aca="false">P96*INDEX(Parametros!$B$13:$B$16,MATCH($F96,Parametros!$A$13:$A$16,0))</f>
        <v>4.3904</v>
      </c>
      <c r="U96" s="21" t="n">
        <f aca="false">P96-R96-S96-T96</f>
        <v>184.5851</v>
      </c>
      <c r="V96" s="19" t="n">
        <f aca="false">IFERROR(U96/P96,0)</f>
        <v>0.420428890306122</v>
      </c>
      <c r="W96" s="48" t="n">
        <f aca="false">B96+INDEX(Parametros!$C$13:$C$16,MATCH($F96,Parametros!$A$13:$A$16,0))</f>
        <v>45694</v>
      </c>
      <c r="X96" s="31" t="s">
        <v>67</v>
      </c>
      <c r="Y96" s="53" t="n">
        <f aca="false">IF(COUNTIF($A$2:$A96,A96)=1,1,0)</f>
        <v>1</v>
      </c>
    </row>
    <row r="97" customFormat="false" ht="15" hidden="false" customHeight="false" outlineLevel="0" collapsed="false">
      <c r="A97" s="31" t="s">
        <v>300</v>
      </c>
      <c r="B97" s="36" t="n">
        <v>45694</v>
      </c>
      <c r="C97" s="49" t="n">
        <f aca="false">DATE(YEAR(B97),MONTH(B97),1)</f>
        <v>45689</v>
      </c>
      <c r="D97" s="31" t="s">
        <v>212</v>
      </c>
      <c r="E97" s="31" t="s">
        <v>42</v>
      </c>
      <c r="F97" s="31" t="s">
        <v>45</v>
      </c>
      <c r="G97" s="31" t="s">
        <v>61</v>
      </c>
      <c r="H97" s="31" t="s">
        <v>179</v>
      </c>
      <c r="I97" s="32" t="str">
        <f aca="false">INDEX(Productos!$B$2:$B$13,MATCH($H97,Productos!$A$2:$A$13,0))</f>
        <v>Autotaladrante DIN 7504 4,8x38 zincado</v>
      </c>
      <c r="J97" s="32" t="str">
        <f aca="false">INDEX(Productos!$C$2:$C$13,MATCH($H97,Productos!$A$2:$A$13,0))</f>
        <v>Autotaladrante</v>
      </c>
      <c r="K97" s="31" t="s">
        <v>246</v>
      </c>
      <c r="L97" s="46" t="n">
        <v>31</v>
      </c>
      <c r="M97" s="50" t="n">
        <f aca="false">INDEX(Productos!$F$2:$F$13,MATCH($H97,Productos!$A$2:$A$13,0))</f>
        <v>29.5</v>
      </c>
      <c r="N97" s="51" t="n">
        <v>0.184</v>
      </c>
      <c r="O97" s="52" t="n">
        <f aca="false">M97*(1-N97)</f>
        <v>24.072</v>
      </c>
      <c r="P97" s="21" t="n">
        <f aca="false">L97*O97</f>
        <v>746.232</v>
      </c>
      <c r="Q97" s="50" t="n">
        <f aca="false">INDEX(Productos!$E$2:$E$13,MATCH($H97,Productos!$A$2:$A$13,0))*INDEX(Parametros!$B$26:$B$43,MATCH($C97,Parametros!$A$26:$A$43,0))</f>
        <v>15.8232</v>
      </c>
      <c r="R97" s="21" t="n">
        <f aca="false">L97*Q97</f>
        <v>490.5192</v>
      </c>
      <c r="S97" s="18" t="n">
        <f aca="false">L97*INDEX(Parametros!$B$20:$B$22,MATCH($E97,Parametros!$A$20:$A$22,0))</f>
        <v>74.4</v>
      </c>
      <c r="T97" s="18" t="n">
        <f aca="false">P97*INDEX(Parametros!$B$13:$B$16,MATCH($F97,Parametros!$A$13:$A$16,0))</f>
        <v>22.38696</v>
      </c>
      <c r="U97" s="21" t="n">
        <f aca="false">P97-R97-S97-T97</f>
        <v>158.92584</v>
      </c>
      <c r="V97" s="19" t="n">
        <f aca="false">IFERROR(U97/P97,0)</f>
        <v>0.212971086739781</v>
      </c>
      <c r="W97" s="48" t="n">
        <f aca="false">B97+INDEX(Parametros!$C$13:$C$16,MATCH($F97,Parametros!$A$13:$A$16,0))</f>
        <v>45754</v>
      </c>
      <c r="X97" s="31" t="s">
        <v>67</v>
      </c>
      <c r="Y97" s="53" t="n">
        <f aca="false">IF(COUNTIF($A$2:$A97,A97)=1,1,0)</f>
        <v>1</v>
      </c>
    </row>
    <row r="98" customFormat="false" ht="15" hidden="false" customHeight="false" outlineLevel="0" collapsed="false">
      <c r="A98" s="31" t="s">
        <v>301</v>
      </c>
      <c r="B98" s="36" t="n">
        <v>45694</v>
      </c>
      <c r="C98" s="49" t="n">
        <f aca="false">DATE(YEAR(B98),MONTH(B98),1)</f>
        <v>45689</v>
      </c>
      <c r="D98" s="31" t="s">
        <v>209</v>
      </c>
      <c r="E98" s="31" t="s">
        <v>41</v>
      </c>
      <c r="F98" s="31" t="s">
        <v>45</v>
      </c>
      <c r="G98" s="31" t="s">
        <v>62</v>
      </c>
      <c r="H98" s="31" t="s">
        <v>183</v>
      </c>
      <c r="I98" s="32" t="str">
        <f aca="false">INDEX(Productos!$B$2:$B$13,MATCH($H98,Productos!$A$2:$A$13,0))</f>
        <v>Tornillo estructural M16x90 clase 10.9</v>
      </c>
      <c r="J98" s="32" t="str">
        <f aca="false">INDEX(Productos!$C$2:$C$13,MATCH($H98,Productos!$A$2:$A$13,0))</f>
        <v>Especial</v>
      </c>
      <c r="K98" s="31" t="s">
        <v>246</v>
      </c>
      <c r="L98" s="46" t="n">
        <v>90</v>
      </c>
      <c r="M98" s="50" t="n">
        <f aca="false">INDEX(Productos!$F$2:$F$13,MATCH($H98,Productos!$A$2:$A$13,0))</f>
        <v>112</v>
      </c>
      <c r="N98" s="51" t="n">
        <v>0.159</v>
      </c>
      <c r="O98" s="52" t="n">
        <f aca="false">M98*(1-N98)</f>
        <v>94.192</v>
      </c>
      <c r="P98" s="21" t="n">
        <f aca="false">L98*O98</f>
        <v>8477.28</v>
      </c>
      <c r="Q98" s="50" t="n">
        <f aca="false">INDEX(Productos!$E$2:$E$13,MATCH($H98,Productos!$A$2:$A$13,0))*INDEX(Parametros!$B$26:$B$43,MATCH($C98,Parametros!$A$26:$A$43,0))</f>
        <v>62.46</v>
      </c>
      <c r="R98" s="21" t="n">
        <f aca="false">L98*Q98</f>
        <v>5621.4</v>
      </c>
      <c r="S98" s="18" t="n">
        <f aca="false">L98*INDEX(Parametros!$B$20:$B$22,MATCH($E98,Parametros!$A$20:$A$22,0))</f>
        <v>76.5</v>
      </c>
      <c r="T98" s="18" t="n">
        <f aca="false">P98*INDEX(Parametros!$B$13:$B$16,MATCH($F98,Parametros!$A$13:$A$16,0))</f>
        <v>254.3184</v>
      </c>
      <c r="U98" s="21" t="n">
        <f aca="false">P98-R98-S98-T98</f>
        <v>2525.0616</v>
      </c>
      <c r="V98" s="19" t="n">
        <f aca="false">IFERROR(U98/P98,0)</f>
        <v>0.297862238831323</v>
      </c>
      <c r="W98" s="48" t="n">
        <f aca="false">B98+INDEX(Parametros!$C$13:$C$16,MATCH($F98,Parametros!$A$13:$A$16,0))</f>
        <v>45754</v>
      </c>
      <c r="X98" s="31" t="s">
        <v>67</v>
      </c>
      <c r="Y98" s="53" t="n">
        <f aca="false">IF(COUNTIF($A$2:$A98,A98)=1,1,0)</f>
        <v>1</v>
      </c>
    </row>
    <row r="99" customFormat="false" ht="15" hidden="false" customHeight="false" outlineLevel="0" collapsed="false">
      <c r="A99" s="31" t="s">
        <v>301</v>
      </c>
      <c r="B99" s="36" t="n">
        <v>45694</v>
      </c>
      <c r="C99" s="49" t="n">
        <f aca="false">DATE(YEAR(B99),MONTH(B99),1)</f>
        <v>45689</v>
      </c>
      <c r="D99" s="31" t="s">
        <v>209</v>
      </c>
      <c r="E99" s="31" t="s">
        <v>41</v>
      </c>
      <c r="F99" s="31" t="s">
        <v>45</v>
      </c>
      <c r="G99" s="31" t="s">
        <v>62</v>
      </c>
      <c r="H99" s="31" t="s">
        <v>179</v>
      </c>
      <c r="I99" s="32" t="str">
        <f aca="false">INDEX(Productos!$B$2:$B$13,MATCH($H99,Productos!$A$2:$A$13,0))</f>
        <v>Autotaladrante DIN 7504 4,8x38 zincado</v>
      </c>
      <c r="J99" s="32" t="str">
        <f aca="false">INDEX(Productos!$C$2:$C$13,MATCH($H99,Productos!$A$2:$A$13,0))</f>
        <v>Autotaladrante</v>
      </c>
      <c r="K99" s="31" t="s">
        <v>246</v>
      </c>
      <c r="L99" s="46" t="n">
        <v>99</v>
      </c>
      <c r="M99" s="50" t="n">
        <f aca="false">INDEX(Productos!$F$2:$F$13,MATCH($H99,Productos!$A$2:$A$13,0))</f>
        <v>29.5</v>
      </c>
      <c r="N99" s="51" t="n">
        <v>0.134</v>
      </c>
      <c r="O99" s="52" t="n">
        <f aca="false">M99*(1-N99)</f>
        <v>25.547</v>
      </c>
      <c r="P99" s="21" t="n">
        <f aca="false">L99*O99</f>
        <v>2529.153</v>
      </c>
      <c r="Q99" s="50" t="n">
        <f aca="false">INDEX(Productos!$E$2:$E$13,MATCH($H99,Productos!$A$2:$A$13,0))*INDEX(Parametros!$B$26:$B$43,MATCH($C99,Parametros!$A$26:$A$43,0))</f>
        <v>15.8232</v>
      </c>
      <c r="R99" s="21" t="n">
        <f aca="false">L99*Q99</f>
        <v>1566.4968</v>
      </c>
      <c r="S99" s="18" t="n">
        <f aca="false">L99*INDEX(Parametros!$B$20:$B$22,MATCH($E99,Parametros!$A$20:$A$22,0))</f>
        <v>84.15</v>
      </c>
      <c r="T99" s="18" t="n">
        <f aca="false">P99*INDEX(Parametros!$B$13:$B$16,MATCH($F99,Parametros!$A$13:$A$16,0))</f>
        <v>75.87459</v>
      </c>
      <c r="U99" s="21" t="n">
        <f aca="false">P99-R99-S99-T99</f>
        <v>802.63161</v>
      </c>
      <c r="V99" s="19" t="n">
        <f aca="false">IFERROR(U99/P99,0)</f>
        <v>0.317351939562375</v>
      </c>
      <c r="W99" s="48" t="n">
        <f aca="false">B99+INDEX(Parametros!$C$13:$C$16,MATCH($F99,Parametros!$A$13:$A$16,0))</f>
        <v>45754</v>
      </c>
      <c r="X99" s="31" t="s">
        <v>67</v>
      </c>
      <c r="Y99" s="53" t="n">
        <f aca="false">IF(COUNTIF($A$2:$A99,A99)=1,1,0)</f>
        <v>0</v>
      </c>
    </row>
    <row r="100" customFormat="false" ht="15" hidden="false" customHeight="false" outlineLevel="0" collapsed="false">
      <c r="A100" s="31" t="s">
        <v>302</v>
      </c>
      <c r="B100" s="36" t="n">
        <v>45694</v>
      </c>
      <c r="C100" s="49" t="n">
        <f aca="false">DATE(YEAR(B100),MONTH(B100),1)</f>
        <v>45689</v>
      </c>
      <c r="D100" s="31" t="s">
        <v>195</v>
      </c>
      <c r="E100" s="31" t="s">
        <v>41</v>
      </c>
      <c r="F100" s="31" t="s">
        <v>45</v>
      </c>
      <c r="G100" s="31" t="s">
        <v>58</v>
      </c>
      <c r="H100" s="31" t="s">
        <v>177</v>
      </c>
      <c r="I100" s="32" t="str">
        <f aca="false">INDEX(Productos!$B$2:$B$13,MATCH($H100,Productos!$A$2:$A$13,0))</f>
        <v>Tirafondo madera 6x100 cabeza plana Torx</v>
      </c>
      <c r="J100" s="32" t="str">
        <f aca="false">INDEX(Productos!$C$2:$C$13,MATCH($H100,Productos!$A$2:$A$13,0))</f>
        <v>Madera</v>
      </c>
      <c r="K100" s="31" t="s">
        <v>246</v>
      </c>
      <c r="L100" s="46" t="n">
        <v>266</v>
      </c>
      <c r="M100" s="50" t="n">
        <f aca="false">INDEX(Productos!$F$2:$F$13,MATCH($H100,Productos!$A$2:$A$13,0))</f>
        <v>34</v>
      </c>
      <c r="N100" s="51" t="n">
        <v>0.204</v>
      </c>
      <c r="O100" s="52" t="n">
        <f aca="false">M100*(1-N100)</f>
        <v>27.064</v>
      </c>
      <c r="P100" s="21" t="n">
        <f aca="false">L100*O100</f>
        <v>7199.024</v>
      </c>
      <c r="Q100" s="50" t="n">
        <f aca="false">INDEX(Productos!$E$2:$E$13,MATCH($H100,Productos!$A$2:$A$13,0))*INDEX(Parametros!$B$26:$B$43,MATCH($C100,Parametros!$A$26:$A$43,0))</f>
        <v>18.5298</v>
      </c>
      <c r="R100" s="21" t="n">
        <f aca="false">L100*Q100</f>
        <v>4928.9268</v>
      </c>
      <c r="S100" s="18" t="n">
        <f aca="false">L100*INDEX(Parametros!$B$20:$B$22,MATCH($E100,Parametros!$A$20:$A$22,0))</f>
        <v>226.1</v>
      </c>
      <c r="T100" s="18" t="n">
        <f aca="false">P100*INDEX(Parametros!$B$13:$B$16,MATCH($F100,Parametros!$A$13:$A$16,0))</f>
        <v>215.97072</v>
      </c>
      <c r="U100" s="21" t="n">
        <f aca="false">P100-R100-S100-T100</f>
        <v>1828.02648</v>
      </c>
      <c r="V100" s="19" t="n">
        <f aca="false">IFERROR(U100/P100,0)</f>
        <v>0.25392698788058</v>
      </c>
      <c r="W100" s="48" t="n">
        <f aca="false">B100+INDEX(Parametros!$C$13:$C$16,MATCH($F100,Parametros!$A$13:$A$16,0))</f>
        <v>45754</v>
      </c>
      <c r="X100" s="31" t="s">
        <v>67</v>
      </c>
      <c r="Y100" s="53" t="n">
        <f aca="false">IF(COUNTIF($A$2:$A100,A100)=1,1,0)</f>
        <v>1</v>
      </c>
    </row>
    <row r="101" customFormat="false" ht="15" hidden="false" customHeight="false" outlineLevel="0" collapsed="false">
      <c r="A101" s="31" t="s">
        <v>303</v>
      </c>
      <c r="B101" s="36" t="n">
        <v>45695</v>
      </c>
      <c r="C101" s="49" t="n">
        <f aca="false">DATE(YEAR(B101),MONTH(B101),1)</f>
        <v>45689</v>
      </c>
      <c r="D101" s="31" t="s">
        <v>195</v>
      </c>
      <c r="E101" s="31" t="s">
        <v>41</v>
      </c>
      <c r="F101" s="31" t="s">
        <v>45</v>
      </c>
      <c r="G101" s="31" t="s">
        <v>58</v>
      </c>
      <c r="H101" s="31" t="s">
        <v>173</v>
      </c>
      <c r="I101" s="32" t="str">
        <f aca="false">INDEX(Productos!$B$2:$B$13,MATCH($H101,Productos!$A$2:$A$13,0))</f>
        <v>Tornillo DIN 933 M12x70 clase 8.8</v>
      </c>
      <c r="J101" s="32" t="str">
        <f aca="false">INDEX(Productos!$C$2:$C$13,MATCH($H101,Productos!$A$2:$A$13,0))</f>
        <v>Métrica</v>
      </c>
      <c r="K101" s="31" t="s">
        <v>246</v>
      </c>
      <c r="L101" s="46" t="n">
        <v>145</v>
      </c>
      <c r="M101" s="50" t="n">
        <f aca="false">INDEX(Productos!$F$2:$F$13,MATCH($H101,Productos!$A$2:$A$13,0))</f>
        <v>64</v>
      </c>
      <c r="N101" s="51" t="n">
        <v>0.175</v>
      </c>
      <c r="O101" s="52" t="n">
        <f aca="false">M101*(1-N101)</f>
        <v>52.8</v>
      </c>
      <c r="P101" s="21" t="n">
        <f aca="false">L101*O101</f>
        <v>7656</v>
      </c>
      <c r="Q101" s="50" t="n">
        <f aca="false">INDEX(Productos!$E$2:$E$13,MATCH($H101,Productos!$A$2:$A$13,0))*INDEX(Parametros!$B$26:$B$43,MATCH($C101,Parametros!$A$26:$A$43,0))</f>
        <v>34.8735</v>
      </c>
      <c r="R101" s="21" t="n">
        <f aca="false">L101*Q101</f>
        <v>5056.6575</v>
      </c>
      <c r="S101" s="18" t="n">
        <f aca="false">L101*INDEX(Parametros!$B$20:$B$22,MATCH($E101,Parametros!$A$20:$A$22,0))</f>
        <v>123.25</v>
      </c>
      <c r="T101" s="18" t="n">
        <f aca="false">P101*INDEX(Parametros!$B$13:$B$16,MATCH($F101,Parametros!$A$13:$A$16,0))</f>
        <v>229.68</v>
      </c>
      <c r="U101" s="21" t="n">
        <f aca="false">P101-R101-S101-T101</f>
        <v>2246.4125</v>
      </c>
      <c r="V101" s="19" t="n">
        <f aca="false">IFERROR(U101/P101,0)</f>
        <v>0.293418560606061</v>
      </c>
      <c r="W101" s="48" t="n">
        <f aca="false">B101+INDEX(Parametros!$C$13:$C$16,MATCH($F101,Parametros!$A$13:$A$16,0))</f>
        <v>45755</v>
      </c>
      <c r="X101" s="31" t="s">
        <v>67</v>
      </c>
      <c r="Y101" s="53" t="n">
        <f aca="false">IF(COUNTIF($A$2:$A101,A101)=1,1,0)</f>
        <v>1</v>
      </c>
    </row>
    <row r="102" customFormat="false" ht="15" hidden="false" customHeight="false" outlineLevel="0" collapsed="false">
      <c r="A102" s="31" t="s">
        <v>303</v>
      </c>
      <c r="B102" s="36" t="n">
        <v>45695</v>
      </c>
      <c r="C102" s="49" t="n">
        <f aca="false">DATE(YEAR(B102),MONTH(B102),1)</f>
        <v>45689</v>
      </c>
      <c r="D102" s="31" t="s">
        <v>195</v>
      </c>
      <c r="E102" s="31" t="s">
        <v>41</v>
      </c>
      <c r="F102" s="31" t="s">
        <v>45</v>
      </c>
      <c r="G102" s="31" t="s">
        <v>58</v>
      </c>
      <c r="H102" s="31" t="s">
        <v>167</v>
      </c>
      <c r="I102" s="32" t="str">
        <f aca="false">INDEX(Productos!$B$2:$B$13,MATCH($H102,Productos!$A$2:$A$13,0))</f>
        <v>Tornillo DIN 912 M6x25 Allen zincado</v>
      </c>
      <c r="J102" s="32" t="str">
        <f aca="false">INDEX(Productos!$C$2:$C$13,MATCH($H102,Productos!$A$2:$A$13,0))</f>
        <v>Métrica</v>
      </c>
      <c r="K102" s="31" t="s">
        <v>246</v>
      </c>
      <c r="L102" s="46" t="n">
        <v>134</v>
      </c>
      <c r="M102" s="50" t="n">
        <f aca="false">INDEX(Productos!$F$2:$F$13,MATCH($H102,Productos!$A$2:$A$13,0))</f>
        <v>42</v>
      </c>
      <c r="N102" s="51" t="n">
        <v>0.172</v>
      </c>
      <c r="O102" s="52" t="n">
        <f aca="false">M102*(1-N102)</f>
        <v>34.776</v>
      </c>
      <c r="P102" s="21" t="n">
        <f aca="false">L102*O102</f>
        <v>4659.984</v>
      </c>
      <c r="Q102" s="50" t="n">
        <f aca="false">INDEX(Productos!$E$2:$E$13,MATCH($H102,Productos!$A$2:$A$13,0))*INDEX(Parametros!$B$26:$B$43,MATCH($C102,Parametros!$A$26:$A$43,0))</f>
        <v>22.6938</v>
      </c>
      <c r="R102" s="21" t="n">
        <f aca="false">L102*Q102</f>
        <v>3040.9692</v>
      </c>
      <c r="S102" s="18" t="n">
        <f aca="false">L102*INDEX(Parametros!$B$20:$B$22,MATCH($E102,Parametros!$A$20:$A$22,0))</f>
        <v>113.9</v>
      </c>
      <c r="T102" s="18" t="n">
        <f aca="false">P102*INDEX(Parametros!$B$13:$B$16,MATCH($F102,Parametros!$A$13:$A$16,0))</f>
        <v>139.79952</v>
      </c>
      <c r="U102" s="21" t="n">
        <f aca="false">P102-R102-S102-T102</f>
        <v>1365.31528</v>
      </c>
      <c r="V102" s="19" t="n">
        <f aca="false">IFERROR(U102/P102,0)</f>
        <v>0.292987117552335</v>
      </c>
      <c r="W102" s="48" t="n">
        <f aca="false">B102+INDEX(Parametros!$C$13:$C$16,MATCH($F102,Parametros!$A$13:$A$16,0))</f>
        <v>45755</v>
      </c>
      <c r="X102" s="31" t="s">
        <v>67</v>
      </c>
      <c r="Y102" s="53" t="n">
        <f aca="false">IF(COUNTIF($A$2:$A102,A102)=1,1,0)</f>
        <v>0</v>
      </c>
    </row>
    <row r="103" customFormat="false" ht="15" hidden="false" customHeight="false" outlineLevel="0" collapsed="false">
      <c r="A103" s="31" t="s">
        <v>303</v>
      </c>
      <c r="B103" s="36" t="n">
        <v>45695</v>
      </c>
      <c r="C103" s="49" t="n">
        <f aca="false">DATE(YEAR(B103),MONTH(B103),1)</f>
        <v>45689</v>
      </c>
      <c r="D103" s="31" t="s">
        <v>195</v>
      </c>
      <c r="E103" s="31" t="s">
        <v>41</v>
      </c>
      <c r="F103" s="31" t="s">
        <v>45</v>
      </c>
      <c r="G103" s="31" t="s">
        <v>58</v>
      </c>
      <c r="H103" s="31" t="s">
        <v>165</v>
      </c>
      <c r="I103" s="32" t="str">
        <f aca="false">INDEX(Productos!$B$2:$B$13,MATCH($H103,Productos!$A$2:$A$13,0))</f>
        <v>Tornillo DIN 933 M8x40 rosca completa zincado</v>
      </c>
      <c r="J103" s="32" t="str">
        <f aca="false">INDEX(Productos!$C$2:$C$13,MATCH($H103,Productos!$A$2:$A$13,0))</f>
        <v>Métrica</v>
      </c>
      <c r="K103" s="31" t="s">
        <v>246</v>
      </c>
      <c r="L103" s="46" t="n">
        <v>249</v>
      </c>
      <c r="M103" s="50" t="n">
        <f aca="false">INDEX(Productos!$F$2:$F$13,MATCH($H103,Productos!$A$2:$A$13,0))</f>
        <v>37.5</v>
      </c>
      <c r="N103" s="51" t="n">
        <v>0.216</v>
      </c>
      <c r="O103" s="52" t="n">
        <f aca="false">M103*(1-N103)</f>
        <v>29.4</v>
      </c>
      <c r="P103" s="21" t="n">
        <f aca="false">L103*O103</f>
        <v>7320.6</v>
      </c>
      <c r="Q103" s="50" t="n">
        <f aca="false">INDEX(Productos!$E$2:$E$13,MATCH($H103,Productos!$A$2:$A$13,0))*INDEX(Parametros!$B$26:$B$43,MATCH($C103,Parametros!$A$26:$A$43,0))</f>
        <v>20.1954</v>
      </c>
      <c r="R103" s="21" t="n">
        <f aca="false">L103*Q103</f>
        <v>5028.6546</v>
      </c>
      <c r="S103" s="18" t="n">
        <f aca="false">L103*INDEX(Parametros!$B$20:$B$22,MATCH($E103,Parametros!$A$20:$A$22,0))</f>
        <v>211.65</v>
      </c>
      <c r="T103" s="18" t="n">
        <f aca="false">P103*INDEX(Parametros!$B$13:$B$16,MATCH($F103,Parametros!$A$13:$A$16,0))</f>
        <v>219.618</v>
      </c>
      <c r="U103" s="21" t="n">
        <f aca="false">P103-R103-S103-T103</f>
        <v>1860.6774</v>
      </c>
      <c r="V103" s="19" t="n">
        <f aca="false">IFERROR(U103/P103,0)</f>
        <v>0.254170068027211</v>
      </c>
      <c r="W103" s="48" t="n">
        <f aca="false">B103+INDEX(Parametros!$C$13:$C$16,MATCH($F103,Parametros!$A$13:$A$16,0))</f>
        <v>45755</v>
      </c>
      <c r="X103" s="31" t="s">
        <v>67</v>
      </c>
      <c r="Y103" s="53" t="n">
        <f aca="false">IF(COUNTIF($A$2:$A103,A103)=1,1,0)</f>
        <v>0</v>
      </c>
    </row>
    <row r="104" customFormat="false" ht="15" hidden="false" customHeight="false" outlineLevel="0" collapsed="false">
      <c r="A104" s="31" t="s">
        <v>304</v>
      </c>
      <c r="B104" s="36" t="n">
        <v>45695</v>
      </c>
      <c r="C104" s="49" t="n">
        <f aca="false">DATE(YEAR(B104),MONTH(B104),1)</f>
        <v>45689</v>
      </c>
      <c r="D104" s="31" t="s">
        <v>221</v>
      </c>
      <c r="E104" s="31" t="s">
        <v>43</v>
      </c>
      <c r="F104" s="31" t="s">
        <v>45</v>
      </c>
      <c r="G104" s="31" t="s">
        <v>59</v>
      </c>
      <c r="H104" s="31" t="s">
        <v>165</v>
      </c>
      <c r="I104" s="32" t="str">
        <f aca="false">INDEX(Productos!$B$2:$B$13,MATCH($H104,Productos!$A$2:$A$13,0))</f>
        <v>Tornillo DIN 933 M8x40 rosca completa zincado</v>
      </c>
      <c r="J104" s="32" t="str">
        <f aca="false">INDEX(Productos!$C$2:$C$13,MATCH($H104,Productos!$A$2:$A$13,0))</f>
        <v>Métrica</v>
      </c>
      <c r="K104" s="31" t="s">
        <v>246</v>
      </c>
      <c r="L104" s="46" t="n">
        <v>28</v>
      </c>
      <c r="M104" s="50" t="n">
        <f aca="false">INDEX(Productos!$F$2:$F$13,MATCH($H104,Productos!$A$2:$A$13,0))</f>
        <v>37.5</v>
      </c>
      <c r="N104" s="51" t="n">
        <v>0.195</v>
      </c>
      <c r="O104" s="52" t="n">
        <f aca="false">M104*(1-N104)</f>
        <v>30.1875</v>
      </c>
      <c r="P104" s="21" t="n">
        <f aca="false">L104*O104</f>
        <v>845.25</v>
      </c>
      <c r="Q104" s="50" t="n">
        <f aca="false">INDEX(Productos!$E$2:$E$13,MATCH($H104,Productos!$A$2:$A$13,0))*INDEX(Parametros!$B$26:$B$43,MATCH($C104,Parametros!$A$26:$A$43,0))</f>
        <v>20.1954</v>
      </c>
      <c r="R104" s="21" t="n">
        <f aca="false">L104*Q104</f>
        <v>565.4712</v>
      </c>
      <c r="S104" s="18" t="n">
        <f aca="false">L104*INDEX(Parametros!$B$20:$B$22,MATCH($E104,Parametros!$A$20:$A$22,0))</f>
        <v>53.2</v>
      </c>
      <c r="T104" s="18" t="n">
        <f aca="false">P104*INDEX(Parametros!$B$13:$B$16,MATCH($F104,Parametros!$A$13:$A$16,0))</f>
        <v>25.3575</v>
      </c>
      <c r="U104" s="21" t="n">
        <f aca="false">P104-R104-S104-T104</f>
        <v>201.2213</v>
      </c>
      <c r="V104" s="19" t="n">
        <f aca="false">IFERROR(U104/P104,0)</f>
        <v>0.238061283643892</v>
      </c>
      <c r="W104" s="48" t="n">
        <f aca="false">B104+INDEX(Parametros!$C$13:$C$16,MATCH($F104,Parametros!$A$13:$A$16,0))</f>
        <v>45755</v>
      </c>
      <c r="X104" s="31" t="s">
        <v>67</v>
      </c>
      <c r="Y104" s="53" t="n">
        <f aca="false">IF(COUNTIF($A$2:$A104,A104)=1,1,0)</f>
        <v>1</v>
      </c>
    </row>
    <row r="105" customFormat="false" ht="15" hidden="false" customHeight="false" outlineLevel="0" collapsed="false">
      <c r="A105" s="31" t="s">
        <v>305</v>
      </c>
      <c r="B105" s="36" t="n">
        <v>45698</v>
      </c>
      <c r="C105" s="49" t="n">
        <f aca="false">DATE(YEAR(B105),MONTH(B105),1)</f>
        <v>45689</v>
      </c>
      <c r="D105" s="31" t="s">
        <v>220</v>
      </c>
      <c r="E105" s="31" t="s">
        <v>42</v>
      </c>
      <c r="F105" s="31" t="s">
        <v>46</v>
      </c>
      <c r="G105" s="31" t="s">
        <v>61</v>
      </c>
      <c r="H105" s="31" t="s">
        <v>163</v>
      </c>
      <c r="I105" s="32" t="str">
        <f aca="false">INDEX(Productos!$B$2:$B$13,MATCH($H105,Productos!$A$2:$A$13,0))</f>
        <v>Tornillo DIN 933 M6x30 rosca completa zincado</v>
      </c>
      <c r="J105" s="32" t="str">
        <f aca="false">INDEX(Productos!$C$2:$C$13,MATCH($H105,Productos!$A$2:$A$13,0))</f>
        <v>Métrica</v>
      </c>
      <c r="K105" s="31" t="s">
        <v>246</v>
      </c>
      <c r="L105" s="46" t="n">
        <v>34</v>
      </c>
      <c r="M105" s="50" t="n">
        <f aca="false">INDEX(Productos!$F$2:$F$13,MATCH($H105,Productos!$A$2:$A$13,0))</f>
        <v>32</v>
      </c>
      <c r="N105" s="51" t="n">
        <v>0.11</v>
      </c>
      <c r="O105" s="52" t="n">
        <f aca="false">M105*(1-N105)</f>
        <v>28.48</v>
      </c>
      <c r="P105" s="21" t="n">
        <f aca="false">L105*O105</f>
        <v>968.32</v>
      </c>
      <c r="Q105" s="50" t="n">
        <f aca="false">INDEX(Productos!$E$2:$E$13,MATCH($H105,Productos!$A$2:$A$13,0))*INDEX(Parametros!$B$26:$B$43,MATCH($C105,Parametros!$A$26:$A$43,0))</f>
        <v>17.2806</v>
      </c>
      <c r="R105" s="21" t="n">
        <f aca="false">L105*Q105</f>
        <v>587.5404</v>
      </c>
      <c r="S105" s="18" t="n">
        <f aca="false">L105*INDEX(Parametros!$B$20:$B$22,MATCH($E105,Parametros!$A$20:$A$22,0))</f>
        <v>81.6</v>
      </c>
      <c r="T105" s="18" t="n">
        <f aca="false">P105*INDEX(Parametros!$B$13:$B$16,MATCH($F105,Parametros!$A$13:$A$16,0))</f>
        <v>38.7328</v>
      </c>
      <c r="U105" s="21" t="n">
        <f aca="false">P105-R105-S105-T105</f>
        <v>260.4468</v>
      </c>
      <c r="V105" s="19" t="n">
        <f aca="false">IFERROR(U105/P105,0)</f>
        <v>0.268967696629214</v>
      </c>
      <c r="W105" s="48" t="n">
        <f aca="false">B105+INDEX(Parametros!$C$13:$C$16,MATCH($F105,Parametros!$A$13:$A$16,0))</f>
        <v>45773</v>
      </c>
      <c r="X105" s="31" t="s">
        <v>67</v>
      </c>
      <c r="Y105" s="53" t="n">
        <f aca="false">IF(COUNTIF($A$2:$A105,A105)=1,1,0)</f>
        <v>1</v>
      </c>
    </row>
    <row r="106" customFormat="false" ht="15" hidden="false" customHeight="false" outlineLevel="0" collapsed="false">
      <c r="A106" s="31" t="s">
        <v>305</v>
      </c>
      <c r="B106" s="36" t="n">
        <v>45698</v>
      </c>
      <c r="C106" s="49" t="n">
        <f aca="false">DATE(YEAR(B106),MONTH(B106),1)</f>
        <v>45689</v>
      </c>
      <c r="D106" s="31" t="s">
        <v>220</v>
      </c>
      <c r="E106" s="31" t="s">
        <v>42</v>
      </c>
      <c r="F106" s="31" t="s">
        <v>46</v>
      </c>
      <c r="G106" s="31" t="s">
        <v>61</v>
      </c>
      <c r="H106" s="31" t="s">
        <v>165</v>
      </c>
      <c r="I106" s="32" t="str">
        <f aca="false">INDEX(Productos!$B$2:$B$13,MATCH($H106,Productos!$A$2:$A$13,0))</f>
        <v>Tornillo DIN 933 M8x40 rosca completa zincado</v>
      </c>
      <c r="J106" s="32" t="str">
        <f aca="false">INDEX(Productos!$C$2:$C$13,MATCH($H106,Productos!$A$2:$A$13,0))</f>
        <v>Métrica</v>
      </c>
      <c r="K106" s="31" t="s">
        <v>246</v>
      </c>
      <c r="L106" s="46" t="n">
        <v>269</v>
      </c>
      <c r="M106" s="50" t="n">
        <f aca="false">INDEX(Productos!$F$2:$F$13,MATCH($H106,Productos!$A$2:$A$13,0))</f>
        <v>37.5</v>
      </c>
      <c r="N106" s="51" t="n">
        <v>0.094</v>
      </c>
      <c r="O106" s="52" t="n">
        <f aca="false">M106*(1-N106)</f>
        <v>33.975</v>
      </c>
      <c r="P106" s="21" t="n">
        <f aca="false">L106*O106</f>
        <v>9139.275</v>
      </c>
      <c r="Q106" s="50" t="n">
        <f aca="false">INDEX(Productos!$E$2:$E$13,MATCH($H106,Productos!$A$2:$A$13,0))*INDEX(Parametros!$B$26:$B$43,MATCH($C106,Parametros!$A$26:$A$43,0))</f>
        <v>20.1954</v>
      </c>
      <c r="R106" s="21" t="n">
        <f aca="false">L106*Q106</f>
        <v>5432.5626</v>
      </c>
      <c r="S106" s="18" t="n">
        <f aca="false">L106*INDEX(Parametros!$B$20:$B$22,MATCH($E106,Parametros!$A$20:$A$22,0))</f>
        <v>645.6</v>
      </c>
      <c r="T106" s="18" t="n">
        <f aca="false">P106*INDEX(Parametros!$B$13:$B$16,MATCH($F106,Parametros!$A$13:$A$16,0))</f>
        <v>365.571</v>
      </c>
      <c r="U106" s="21" t="n">
        <f aca="false">P106-R106-S106-T106</f>
        <v>2695.5414</v>
      </c>
      <c r="V106" s="19" t="n">
        <f aca="false">IFERROR(U106/P106,0)</f>
        <v>0.294940397350993</v>
      </c>
      <c r="W106" s="48" t="n">
        <f aca="false">B106+INDEX(Parametros!$C$13:$C$16,MATCH($F106,Parametros!$A$13:$A$16,0))</f>
        <v>45773</v>
      </c>
      <c r="X106" s="31" t="s">
        <v>67</v>
      </c>
      <c r="Y106" s="53" t="n">
        <f aca="false">IF(COUNTIF($A$2:$A106,A106)=1,1,0)</f>
        <v>0</v>
      </c>
    </row>
    <row r="107" customFormat="false" ht="15" hidden="false" customHeight="false" outlineLevel="0" collapsed="false">
      <c r="A107" s="31" t="s">
        <v>305</v>
      </c>
      <c r="B107" s="36" t="n">
        <v>45698</v>
      </c>
      <c r="C107" s="49" t="n">
        <f aca="false">DATE(YEAR(B107),MONTH(B107),1)</f>
        <v>45689</v>
      </c>
      <c r="D107" s="31" t="s">
        <v>220</v>
      </c>
      <c r="E107" s="31" t="s">
        <v>42</v>
      </c>
      <c r="F107" s="31" t="s">
        <v>46</v>
      </c>
      <c r="G107" s="31" t="s">
        <v>61</v>
      </c>
      <c r="H107" s="31" t="s">
        <v>167</v>
      </c>
      <c r="I107" s="32" t="str">
        <f aca="false">INDEX(Productos!$B$2:$B$13,MATCH($H107,Productos!$A$2:$A$13,0))</f>
        <v>Tornillo DIN 912 M6x25 Allen zincado</v>
      </c>
      <c r="J107" s="32" t="str">
        <f aca="false">INDEX(Productos!$C$2:$C$13,MATCH($H107,Productos!$A$2:$A$13,0))</f>
        <v>Métrica</v>
      </c>
      <c r="K107" s="31" t="s">
        <v>246</v>
      </c>
      <c r="L107" s="46" t="n">
        <v>41</v>
      </c>
      <c r="M107" s="50" t="n">
        <f aca="false">INDEX(Productos!$F$2:$F$13,MATCH($H107,Productos!$A$2:$A$13,0))</f>
        <v>42</v>
      </c>
      <c r="N107" s="51" t="n">
        <v>0.144</v>
      </c>
      <c r="O107" s="52" t="n">
        <f aca="false">M107*(1-N107)</f>
        <v>35.952</v>
      </c>
      <c r="P107" s="21" t="n">
        <f aca="false">L107*O107</f>
        <v>1474.032</v>
      </c>
      <c r="Q107" s="50" t="n">
        <f aca="false">INDEX(Productos!$E$2:$E$13,MATCH($H107,Productos!$A$2:$A$13,0))*INDEX(Parametros!$B$26:$B$43,MATCH($C107,Parametros!$A$26:$A$43,0))</f>
        <v>22.6938</v>
      </c>
      <c r="R107" s="21" t="n">
        <f aca="false">L107*Q107</f>
        <v>930.4458</v>
      </c>
      <c r="S107" s="18" t="n">
        <f aca="false">L107*INDEX(Parametros!$B$20:$B$22,MATCH($E107,Parametros!$A$20:$A$22,0))</f>
        <v>98.4</v>
      </c>
      <c r="T107" s="18" t="n">
        <f aca="false">P107*INDEX(Parametros!$B$13:$B$16,MATCH($F107,Parametros!$A$13:$A$16,0))</f>
        <v>58.96128</v>
      </c>
      <c r="U107" s="21" t="n">
        <f aca="false">P107-R107-S107-T107</f>
        <v>386.22492</v>
      </c>
      <c r="V107" s="19" t="n">
        <f aca="false">IFERROR(U107/P107,0)</f>
        <v>0.262019359145527</v>
      </c>
      <c r="W107" s="48" t="n">
        <f aca="false">B107+INDEX(Parametros!$C$13:$C$16,MATCH($F107,Parametros!$A$13:$A$16,0))</f>
        <v>45773</v>
      </c>
      <c r="X107" s="31" t="s">
        <v>67</v>
      </c>
      <c r="Y107" s="53" t="n">
        <f aca="false">IF(COUNTIF($A$2:$A107,A107)=1,1,0)</f>
        <v>0</v>
      </c>
    </row>
    <row r="108" customFormat="false" ht="15" hidden="false" customHeight="false" outlineLevel="0" collapsed="false">
      <c r="A108" s="31" t="s">
        <v>306</v>
      </c>
      <c r="B108" s="36" t="n">
        <v>45699</v>
      </c>
      <c r="C108" s="49" t="n">
        <f aca="false">DATE(YEAR(B108),MONTH(B108),1)</f>
        <v>45689</v>
      </c>
      <c r="D108" s="31" t="s">
        <v>195</v>
      </c>
      <c r="E108" s="31" t="s">
        <v>41</v>
      </c>
      <c r="F108" s="31" t="s">
        <v>45</v>
      </c>
      <c r="G108" s="31" t="s">
        <v>58</v>
      </c>
      <c r="H108" s="31" t="s">
        <v>179</v>
      </c>
      <c r="I108" s="32" t="str">
        <f aca="false">INDEX(Productos!$B$2:$B$13,MATCH($H108,Productos!$A$2:$A$13,0))</f>
        <v>Autotaladrante DIN 7504 4,8x38 zincado</v>
      </c>
      <c r="J108" s="32" t="str">
        <f aca="false">INDEX(Productos!$C$2:$C$13,MATCH($H108,Productos!$A$2:$A$13,0))</f>
        <v>Autotaladrante</v>
      </c>
      <c r="K108" s="31" t="s">
        <v>246</v>
      </c>
      <c r="L108" s="46" t="n">
        <v>104</v>
      </c>
      <c r="M108" s="50" t="n">
        <f aca="false">INDEX(Productos!$F$2:$F$13,MATCH($H108,Productos!$A$2:$A$13,0))</f>
        <v>29.5</v>
      </c>
      <c r="N108" s="51" t="n">
        <v>0.148</v>
      </c>
      <c r="O108" s="52" t="n">
        <f aca="false">M108*(1-N108)</f>
        <v>25.134</v>
      </c>
      <c r="P108" s="21" t="n">
        <f aca="false">L108*O108</f>
        <v>2613.936</v>
      </c>
      <c r="Q108" s="50" t="n">
        <f aca="false">INDEX(Productos!$E$2:$E$13,MATCH($H108,Productos!$A$2:$A$13,0))*INDEX(Parametros!$B$26:$B$43,MATCH($C108,Parametros!$A$26:$A$43,0))</f>
        <v>15.8232</v>
      </c>
      <c r="R108" s="21" t="n">
        <f aca="false">L108*Q108</f>
        <v>1645.6128</v>
      </c>
      <c r="S108" s="18" t="n">
        <f aca="false">L108*INDEX(Parametros!$B$20:$B$22,MATCH($E108,Parametros!$A$20:$A$22,0))</f>
        <v>88.4</v>
      </c>
      <c r="T108" s="18" t="n">
        <f aca="false">P108*INDEX(Parametros!$B$13:$B$16,MATCH($F108,Parametros!$A$13:$A$16,0))</f>
        <v>78.41808</v>
      </c>
      <c r="U108" s="21" t="n">
        <f aca="false">P108-R108-S108-T108</f>
        <v>801.50512</v>
      </c>
      <c r="V108" s="19" t="n">
        <f aca="false">IFERROR(U108/P108,0)</f>
        <v>0.306627675658471</v>
      </c>
      <c r="W108" s="48" t="n">
        <f aca="false">B108+INDEX(Parametros!$C$13:$C$16,MATCH($F108,Parametros!$A$13:$A$16,0))</f>
        <v>45759</v>
      </c>
      <c r="X108" s="31" t="s">
        <v>67</v>
      </c>
      <c r="Y108" s="53" t="n">
        <f aca="false">IF(COUNTIF($A$2:$A108,A108)=1,1,0)</f>
        <v>1</v>
      </c>
    </row>
    <row r="109" customFormat="false" ht="15" hidden="false" customHeight="false" outlineLevel="0" collapsed="false">
      <c r="A109" s="31" t="s">
        <v>307</v>
      </c>
      <c r="B109" s="36" t="n">
        <v>45699</v>
      </c>
      <c r="C109" s="49" t="n">
        <f aca="false">DATE(YEAR(B109),MONTH(B109),1)</f>
        <v>45689</v>
      </c>
      <c r="D109" s="31" t="s">
        <v>199</v>
      </c>
      <c r="E109" s="31" t="s">
        <v>41</v>
      </c>
      <c r="F109" s="31" t="s">
        <v>45</v>
      </c>
      <c r="G109" s="31" t="s">
        <v>58</v>
      </c>
      <c r="H109" s="31" t="s">
        <v>175</v>
      </c>
      <c r="I109" s="32" t="str">
        <f aca="false">INDEX(Productos!$B$2:$B$13,MATCH($H109,Productos!$A$2:$A$13,0))</f>
        <v>Tirafondo madera 5x60 cabeza plana Torx</v>
      </c>
      <c r="J109" s="32" t="str">
        <f aca="false">INDEX(Productos!$C$2:$C$13,MATCH($H109,Productos!$A$2:$A$13,0))</f>
        <v>Madera</v>
      </c>
      <c r="K109" s="31" t="s">
        <v>246</v>
      </c>
      <c r="L109" s="46" t="n">
        <v>125</v>
      </c>
      <c r="M109" s="50" t="n">
        <f aca="false">INDEX(Productos!$F$2:$F$13,MATCH($H109,Productos!$A$2:$A$13,0))</f>
        <v>26</v>
      </c>
      <c r="N109" s="51" t="n">
        <v>0.16</v>
      </c>
      <c r="O109" s="52" t="n">
        <f aca="false">M109*(1-N109)</f>
        <v>21.84</v>
      </c>
      <c r="P109" s="21" t="n">
        <f aca="false">L109*O109</f>
        <v>2730</v>
      </c>
      <c r="Q109" s="50" t="n">
        <f aca="false">INDEX(Productos!$E$2:$E$13,MATCH($H109,Productos!$A$2:$A$13,0))*INDEX(Parametros!$B$26:$B$43,MATCH($C109,Parametros!$A$26:$A$43,0))</f>
        <v>13.9494</v>
      </c>
      <c r="R109" s="21" t="n">
        <f aca="false">L109*Q109</f>
        <v>1743.675</v>
      </c>
      <c r="S109" s="18" t="n">
        <f aca="false">L109*INDEX(Parametros!$B$20:$B$22,MATCH($E109,Parametros!$A$20:$A$22,0))</f>
        <v>106.25</v>
      </c>
      <c r="T109" s="18" t="n">
        <f aca="false">P109*INDEX(Parametros!$B$13:$B$16,MATCH($F109,Parametros!$A$13:$A$16,0))</f>
        <v>81.9</v>
      </c>
      <c r="U109" s="21" t="n">
        <f aca="false">P109-R109-S109-T109</f>
        <v>798.175</v>
      </c>
      <c r="V109" s="19" t="n">
        <f aca="false">IFERROR(U109/P109,0)</f>
        <v>0.292371794871795</v>
      </c>
      <c r="W109" s="48" t="n">
        <f aca="false">B109+INDEX(Parametros!$C$13:$C$16,MATCH($F109,Parametros!$A$13:$A$16,0))</f>
        <v>45759</v>
      </c>
      <c r="X109" s="31" t="s">
        <v>67</v>
      </c>
      <c r="Y109" s="53" t="n">
        <f aca="false">IF(COUNTIF($A$2:$A109,A109)=1,1,0)</f>
        <v>1</v>
      </c>
    </row>
    <row r="110" customFormat="false" ht="15" hidden="false" customHeight="false" outlineLevel="0" collapsed="false">
      <c r="A110" s="31" t="s">
        <v>308</v>
      </c>
      <c r="B110" s="36" t="n">
        <v>45701</v>
      </c>
      <c r="C110" s="49" t="n">
        <f aca="false">DATE(YEAR(B110),MONTH(B110),1)</f>
        <v>45689</v>
      </c>
      <c r="D110" s="31" t="s">
        <v>194</v>
      </c>
      <c r="E110" s="31" t="s">
        <v>41</v>
      </c>
      <c r="F110" s="31" t="s">
        <v>46</v>
      </c>
      <c r="G110" s="31" t="s">
        <v>58</v>
      </c>
      <c r="H110" s="31" t="s">
        <v>165</v>
      </c>
      <c r="I110" s="32" t="str">
        <f aca="false">INDEX(Productos!$B$2:$B$13,MATCH($H110,Productos!$A$2:$A$13,0))</f>
        <v>Tornillo DIN 933 M8x40 rosca completa zincado</v>
      </c>
      <c r="J110" s="32" t="str">
        <f aca="false">INDEX(Productos!$C$2:$C$13,MATCH($H110,Productos!$A$2:$A$13,0))</f>
        <v>Métrica</v>
      </c>
      <c r="K110" s="31" t="s">
        <v>246</v>
      </c>
      <c r="L110" s="46" t="n">
        <v>55</v>
      </c>
      <c r="M110" s="50" t="n">
        <f aca="false">INDEX(Productos!$F$2:$F$13,MATCH($H110,Productos!$A$2:$A$13,0))</f>
        <v>37.5</v>
      </c>
      <c r="N110" s="51" t="n">
        <v>0.109</v>
      </c>
      <c r="O110" s="52" t="n">
        <f aca="false">M110*(1-N110)</f>
        <v>33.4125</v>
      </c>
      <c r="P110" s="21" t="n">
        <f aca="false">L110*O110</f>
        <v>1837.6875</v>
      </c>
      <c r="Q110" s="50" t="n">
        <f aca="false">INDEX(Productos!$E$2:$E$13,MATCH($H110,Productos!$A$2:$A$13,0))*INDEX(Parametros!$B$26:$B$43,MATCH($C110,Parametros!$A$26:$A$43,0))</f>
        <v>20.1954</v>
      </c>
      <c r="R110" s="21" t="n">
        <f aca="false">L110*Q110</f>
        <v>1110.747</v>
      </c>
      <c r="S110" s="18" t="n">
        <f aca="false">L110*INDEX(Parametros!$B$20:$B$22,MATCH($E110,Parametros!$A$20:$A$22,0))</f>
        <v>46.75</v>
      </c>
      <c r="T110" s="18" t="n">
        <f aca="false">P110*INDEX(Parametros!$B$13:$B$16,MATCH($F110,Parametros!$A$13:$A$16,0))</f>
        <v>73.5075</v>
      </c>
      <c r="U110" s="21" t="n">
        <f aca="false">P110-R110-S110-T110</f>
        <v>606.683</v>
      </c>
      <c r="V110" s="19" t="n">
        <f aca="false">IFERROR(U110/P110,0)</f>
        <v>0.33013393191171</v>
      </c>
      <c r="W110" s="48" t="n">
        <f aca="false">B110+INDEX(Parametros!$C$13:$C$16,MATCH($F110,Parametros!$A$13:$A$16,0))</f>
        <v>45776</v>
      </c>
      <c r="X110" s="31" t="s">
        <v>67</v>
      </c>
      <c r="Y110" s="53" t="n">
        <f aca="false">IF(COUNTIF($A$2:$A110,A110)=1,1,0)</f>
        <v>1</v>
      </c>
    </row>
    <row r="111" customFormat="false" ht="15" hidden="false" customHeight="false" outlineLevel="0" collapsed="false">
      <c r="A111" s="31" t="s">
        <v>308</v>
      </c>
      <c r="B111" s="36" t="n">
        <v>45701</v>
      </c>
      <c r="C111" s="49" t="n">
        <f aca="false">DATE(YEAR(B111),MONTH(B111),1)</f>
        <v>45689</v>
      </c>
      <c r="D111" s="31" t="s">
        <v>194</v>
      </c>
      <c r="E111" s="31" t="s">
        <v>41</v>
      </c>
      <c r="F111" s="31" t="s">
        <v>46</v>
      </c>
      <c r="G111" s="31" t="s">
        <v>58</v>
      </c>
      <c r="H111" s="31" t="s">
        <v>169</v>
      </c>
      <c r="I111" s="32" t="str">
        <f aca="false">INDEX(Productos!$B$2:$B$13,MATCH($H111,Productos!$A$2:$A$13,0))</f>
        <v>Tornillo DIN 912 M10x60 Allen inox A2</v>
      </c>
      <c r="J111" s="32" t="str">
        <f aca="false">INDEX(Productos!$C$2:$C$13,MATCH($H111,Productos!$A$2:$A$13,0))</f>
        <v>Inoxidable</v>
      </c>
      <c r="K111" s="31" t="s">
        <v>246</v>
      </c>
      <c r="L111" s="46" t="n">
        <v>211</v>
      </c>
      <c r="M111" s="50" t="n">
        <f aca="false">INDEX(Productos!$F$2:$F$13,MATCH($H111,Productos!$A$2:$A$13,0))</f>
        <v>79</v>
      </c>
      <c r="N111" s="51" t="n">
        <v>0.137</v>
      </c>
      <c r="O111" s="52" t="n">
        <f aca="false">M111*(1-N111)</f>
        <v>68.177</v>
      </c>
      <c r="P111" s="21" t="n">
        <f aca="false">L111*O111</f>
        <v>14385.347</v>
      </c>
      <c r="Q111" s="50" t="n">
        <f aca="false">INDEX(Productos!$E$2:$E$13,MATCH($H111,Productos!$A$2:$A$13,0))*INDEX(Parametros!$B$26:$B$43,MATCH($C111,Parametros!$A$26:$A$43,0))</f>
        <v>43.722</v>
      </c>
      <c r="R111" s="21" t="n">
        <f aca="false">L111*Q111</f>
        <v>9225.342</v>
      </c>
      <c r="S111" s="18" t="n">
        <f aca="false">L111*INDEX(Parametros!$B$20:$B$22,MATCH($E111,Parametros!$A$20:$A$22,0))</f>
        <v>179.35</v>
      </c>
      <c r="T111" s="18" t="n">
        <f aca="false">P111*INDEX(Parametros!$B$13:$B$16,MATCH($F111,Parametros!$A$13:$A$16,0))</f>
        <v>575.41388</v>
      </c>
      <c r="U111" s="21" t="n">
        <f aca="false">P111-R111-S111-T111</f>
        <v>4405.24112</v>
      </c>
      <c r="V111" s="19" t="n">
        <f aca="false">IFERROR(U111/P111,0)</f>
        <v>0.306231133666779</v>
      </c>
      <c r="W111" s="48" t="n">
        <f aca="false">B111+INDEX(Parametros!$C$13:$C$16,MATCH($F111,Parametros!$A$13:$A$16,0))</f>
        <v>45776</v>
      </c>
      <c r="X111" s="31" t="s">
        <v>67</v>
      </c>
      <c r="Y111" s="53" t="n">
        <f aca="false">IF(COUNTIF($A$2:$A111,A111)=1,1,0)</f>
        <v>0</v>
      </c>
    </row>
    <row r="112" customFormat="false" ht="15" hidden="false" customHeight="false" outlineLevel="0" collapsed="false">
      <c r="A112" s="31" t="s">
        <v>309</v>
      </c>
      <c r="B112" s="36" t="n">
        <v>45702</v>
      </c>
      <c r="C112" s="49" t="n">
        <f aca="false">DATE(YEAR(B112),MONTH(B112),1)</f>
        <v>45689</v>
      </c>
      <c r="D112" s="31" t="s">
        <v>218</v>
      </c>
      <c r="E112" s="31" t="s">
        <v>42</v>
      </c>
      <c r="F112" s="31" t="s">
        <v>45</v>
      </c>
      <c r="G112" s="31" t="s">
        <v>61</v>
      </c>
      <c r="H112" s="31" t="s">
        <v>163</v>
      </c>
      <c r="I112" s="32" t="str">
        <f aca="false">INDEX(Productos!$B$2:$B$13,MATCH($H112,Productos!$A$2:$A$13,0))</f>
        <v>Tornillo DIN 933 M6x30 rosca completa zincado</v>
      </c>
      <c r="J112" s="32" t="str">
        <f aca="false">INDEX(Productos!$C$2:$C$13,MATCH($H112,Productos!$A$2:$A$13,0))</f>
        <v>Métrica</v>
      </c>
      <c r="K112" s="31" t="s">
        <v>246</v>
      </c>
      <c r="L112" s="46" t="n">
        <v>30</v>
      </c>
      <c r="M112" s="50" t="n">
        <f aca="false">INDEX(Productos!$F$2:$F$13,MATCH($H112,Productos!$A$2:$A$13,0))</f>
        <v>32</v>
      </c>
      <c r="N112" s="51" t="n">
        <v>0.126</v>
      </c>
      <c r="O112" s="52" t="n">
        <f aca="false">M112*(1-N112)</f>
        <v>27.968</v>
      </c>
      <c r="P112" s="21" t="n">
        <f aca="false">L112*O112</f>
        <v>839.04</v>
      </c>
      <c r="Q112" s="50" t="n">
        <f aca="false">INDEX(Productos!$E$2:$E$13,MATCH($H112,Productos!$A$2:$A$13,0))*INDEX(Parametros!$B$26:$B$43,MATCH($C112,Parametros!$A$26:$A$43,0))</f>
        <v>17.2806</v>
      </c>
      <c r="R112" s="21" t="n">
        <f aca="false">L112*Q112</f>
        <v>518.418</v>
      </c>
      <c r="S112" s="18" t="n">
        <f aca="false">L112*INDEX(Parametros!$B$20:$B$22,MATCH($E112,Parametros!$A$20:$A$22,0))</f>
        <v>72</v>
      </c>
      <c r="T112" s="18" t="n">
        <f aca="false">P112*INDEX(Parametros!$B$13:$B$16,MATCH($F112,Parametros!$A$13:$A$16,0))</f>
        <v>25.1712</v>
      </c>
      <c r="U112" s="21" t="n">
        <f aca="false">P112-R112-S112-T112</f>
        <v>223.4508</v>
      </c>
      <c r="V112" s="19" t="n">
        <f aca="false">IFERROR(U112/P112,0)</f>
        <v>0.266317219679634</v>
      </c>
      <c r="W112" s="48" t="n">
        <f aca="false">B112+INDEX(Parametros!$C$13:$C$16,MATCH($F112,Parametros!$A$13:$A$16,0))</f>
        <v>45762</v>
      </c>
      <c r="X112" s="31" t="s">
        <v>67</v>
      </c>
      <c r="Y112" s="53" t="n">
        <f aca="false">IF(COUNTIF($A$2:$A112,A112)=1,1,0)</f>
        <v>1</v>
      </c>
    </row>
    <row r="113" customFormat="false" ht="15" hidden="false" customHeight="false" outlineLevel="0" collapsed="false">
      <c r="A113" s="31" t="s">
        <v>309</v>
      </c>
      <c r="B113" s="36" t="n">
        <v>45702</v>
      </c>
      <c r="C113" s="49" t="n">
        <f aca="false">DATE(YEAR(B113),MONTH(B113),1)</f>
        <v>45689</v>
      </c>
      <c r="D113" s="31" t="s">
        <v>218</v>
      </c>
      <c r="E113" s="31" t="s">
        <v>42</v>
      </c>
      <c r="F113" s="31" t="s">
        <v>45</v>
      </c>
      <c r="G113" s="31" t="s">
        <v>61</v>
      </c>
      <c r="H113" s="31" t="s">
        <v>171</v>
      </c>
      <c r="I113" s="32" t="str">
        <f aca="false">INDEX(Productos!$B$2:$B$13,MATCH($H113,Productos!$A$2:$A$13,0))</f>
        <v>Tornillo DIN 7991 M8x30 avellanado inox A2</v>
      </c>
      <c r="J113" s="32" t="str">
        <f aca="false">INDEX(Productos!$C$2:$C$13,MATCH($H113,Productos!$A$2:$A$13,0))</f>
        <v>Inoxidable</v>
      </c>
      <c r="K113" s="31" t="s">
        <v>246</v>
      </c>
      <c r="L113" s="46" t="n">
        <v>194</v>
      </c>
      <c r="M113" s="50" t="n">
        <f aca="false">INDEX(Productos!$F$2:$F$13,MATCH($H113,Productos!$A$2:$A$13,0))</f>
        <v>88</v>
      </c>
      <c r="N113" s="51" t="n">
        <v>0.137</v>
      </c>
      <c r="O113" s="52" t="n">
        <f aca="false">M113*(1-N113)</f>
        <v>75.944</v>
      </c>
      <c r="P113" s="21" t="n">
        <f aca="false">L113*O113</f>
        <v>14733.136</v>
      </c>
      <c r="Q113" s="50" t="n">
        <f aca="false">INDEX(Productos!$E$2:$E$13,MATCH($H113,Productos!$A$2:$A$13,0))*INDEX(Parametros!$B$26:$B$43,MATCH($C113,Parametros!$A$26:$A$43,0))</f>
        <v>48.4065</v>
      </c>
      <c r="R113" s="21" t="n">
        <f aca="false">L113*Q113</f>
        <v>9390.861</v>
      </c>
      <c r="S113" s="18" t="n">
        <f aca="false">L113*INDEX(Parametros!$B$20:$B$22,MATCH($E113,Parametros!$A$20:$A$22,0))</f>
        <v>465.6</v>
      </c>
      <c r="T113" s="18" t="n">
        <f aca="false">P113*INDEX(Parametros!$B$13:$B$16,MATCH($F113,Parametros!$A$13:$A$16,0))</f>
        <v>441.99408</v>
      </c>
      <c r="U113" s="21" t="n">
        <f aca="false">P113-R113-S113-T113</f>
        <v>4434.68092</v>
      </c>
      <c r="V113" s="19" t="n">
        <f aca="false">IFERROR(U113/P113,0)</f>
        <v>0.301000474033498</v>
      </c>
      <c r="W113" s="48" t="n">
        <f aca="false">B113+INDEX(Parametros!$C$13:$C$16,MATCH($F113,Parametros!$A$13:$A$16,0))</f>
        <v>45762</v>
      </c>
      <c r="X113" s="31" t="s">
        <v>67</v>
      </c>
      <c r="Y113" s="53" t="n">
        <f aca="false">IF(COUNTIF($A$2:$A113,A113)=1,1,0)</f>
        <v>0</v>
      </c>
    </row>
    <row r="114" customFormat="false" ht="15" hidden="false" customHeight="false" outlineLevel="0" collapsed="false">
      <c r="A114" s="31" t="s">
        <v>309</v>
      </c>
      <c r="B114" s="36" t="n">
        <v>45702</v>
      </c>
      <c r="C114" s="49" t="n">
        <f aca="false">DATE(YEAR(B114),MONTH(B114),1)</f>
        <v>45689</v>
      </c>
      <c r="D114" s="31" t="s">
        <v>218</v>
      </c>
      <c r="E114" s="31" t="s">
        <v>42</v>
      </c>
      <c r="F114" s="31" t="s">
        <v>45</v>
      </c>
      <c r="G114" s="31" t="s">
        <v>61</v>
      </c>
      <c r="H114" s="31" t="s">
        <v>183</v>
      </c>
      <c r="I114" s="32" t="str">
        <f aca="false">INDEX(Productos!$B$2:$B$13,MATCH($H114,Productos!$A$2:$A$13,0))</f>
        <v>Tornillo estructural M16x90 clase 10.9</v>
      </c>
      <c r="J114" s="32" t="str">
        <f aca="false">INDEX(Productos!$C$2:$C$13,MATCH($H114,Productos!$A$2:$A$13,0))</f>
        <v>Especial</v>
      </c>
      <c r="K114" s="31" t="s">
        <v>246</v>
      </c>
      <c r="L114" s="46" t="n">
        <v>45</v>
      </c>
      <c r="M114" s="50" t="n">
        <f aca="false">INDEX(Productos!$F$2:$F$13,MATCH($H114,Productos!$A$2:$A$13,0))</f>
        <v>112</v>
      </c>
      <c r="N114" s="51" t="n">
        <v>0.17</v>
      </c>
      <c r="O114" s="52" t="n">
        <f aca="false">M114*(1-N114)</f>
        <v>92.96</v>
      </c>
      <c r="P114" s="21" t="n">
        <f aca="false">L114*O114</f>
        <v>4183.2</v>
      </c>
      <c r="Q114" s="50" t="n">
        <f aca="false">INDEX(Productos!$E$2:$E$13,MATCH($H114,Productos!$A$2:$A$13,0))*INDEX(Parametros!$B$26:$B$43,MATCH($C114,Parametros!$A$26:$A$43,0))</f>
        <v>62.46</v>
      </c>
      <c r="R114" s="21" t="n">
        <f aca="false">L114*Q114</f>
        <v>2810.7</v>
      </c>
      <c r="S114" s="18" t="n">
        <f aca="false">L114*INDEX(Parametros!$B$20:$B$22,MATCH($E114,Parametros!$A$20:$A$22,0))</f>
        <v>108</v>
      </c>
      <c r="T114" s="18" t="n">
        <f aca="false">P114*INDEX(Parametros!$B$13:$B$16,MATCH($F114,Parametros!$A$13:$A$16,0))</f>
        <v>125.496</v>
      </c>
      <c r="U114" s="21" t="n">
        <f aca="false">P114-R114-S114-T114</f>
        <v>1139.004</v>
      </c>
      <c r="V114" s="19" t="n">
        <f aca="false">IFERROR(U114/P114,0)</f>
        <v>0.272280550774527</v>
      </c>
      <c r="W114" s="48" t="n">
        <f aca="false">B114+INDEX(Parametros!$C$13:$C$16,MATCH($F114,Parametros!$A$13:$A$16,0))</f>
        <v>45762</v>
      </c>
      <c r="X114" s="31" t="s">
        <v>67</v>
      </c>
      <c r="Y114" s="53" t="n">
        <f aca="false">IF(COUNTIF($A$2:$A114,A114)=1,1,0)</f>
        <v>0</v>
      </c>
    </row>
    <row r="115" customFormat="false" ht="15" hidden="false" customHeight="false" outlineLevel="0" collapsed="false">
      <c r="A115" s="31" t="s">
        <v>310</v>
      </c>
      <c r="B115" s="36" t="n">
        <v>45702</v>
      </c>
      <c r="C115" s="49" t="n">
        <f aca="false">DATE(YEAR(B115),MONTH(B115),1)</f>
        <v>45689</v>
      </c>
      <c r="D115" s="31" t="s">
        <v>198</v>
      </c>
      <c r="E115" s="31" t="s">
        <v>41</v>
      </c>
      <c r="F115" s="31" t="s">
        <v>46</v>
      </c>
      <c r="G115" s="31" t="s">
        <v>58</v>
      </c>
      <c r="H115" s="31" t="s">
        <v>173</v>
      </c>
      <c r="I115" s="32" t="str">
        <f aca="false">INDEX(Productos!$B$2:$B$13,MATCH($H115,Productos!$A$2:$A$13,0))</f>
        <v>Tornillo DIN 933 M12x70 clase 8.8</v>
      </c>
      <c r="J115" s="32" t="str">
        <f aca="false">INDEX(Productos!$C$2:$C$13,MATCH($H115,Productos!$A$2:$A$13,0))</f>
        <v>Métrica</v>
      </c>
      <c r="K115" s="31" t="s">
        <v>246</v>
      </c>
      <c r="L115" s="46" t="n">
        <v>34</v>
      </c>
      <c r="M115" s="50" t="n">
        <f aca="false">INDEX(Productos!$F$2:$F$13,MATCH($H115,Productos!$A$2:$A$13,0))</f>
        <v>64</v>
      </c>
      <c r="N115" s="51" t="n">
        <v>0.082</v>
      </c>
      <c r="O115" s="52" t="n">
        <f aca="false">M115*(1-N115)</f>
        <v>58.752</v>
      </c>
      <c r="P115" s="21" t="n">
        <f aca="false">L115*O115</f>
        <v>1997.568</v>
      </c>
      <c r="Q115" s="50" t="n">
        <f aca="false">INDEX(Productos!$E$2:$E$13,MATCH($H115,Productos!$A$2:$A$13,0))*INDEX(Parametros!$B$26:$B$43,MATCH($C115,Parametros!$A$26:$A$43,0))</f>
        <v>34.8735</v>
      </c>
      <c r="R115" s="21" t="n">
        <f aca="false">L115*Q115</f>
        <v>1185.699</v>
      </c>
      <c r="S115" s="18" t="n">
        <f aca="false">L115*INDEX(Parametros!$B$20:$B$22,MATCH($E115,Parametros!$A$20:$A$22,0))</f>
        <v>28.9</v>
      </c>
      <c r="T115" s="18" t="n">
        <f aca="false">P115*INDEX(Parametros!$B$13:$B$16,MATCH($F115,Parametros!$A$13:$A$16,0))</f>
        <v>79.90272</v>
      </c>
      <c r="U115" s="21" t="n">
        <f aca="false">P115-R115-S115-T115</f>
        <v>703.06628</v>
      </c>
      <c r="V115" s="19" t="n">
        <f aca="false">IFERROR(U115/P115,0)</f>
        <v>0.351961124727669</v>
      </c>
      <c r="W115" s="48" t="n">
        <f aca="false">B115+INDEX(Parametros!$C$13:$C$16,MATCH($F115,Parametros!$A$13:$A$16,0))</f>
        <v>45777</v>
      </c>
      <c r="X115" s="31" t="s">
        <v>67</v>
      </c>
      <c r="Y115" s="53" t="n">
        <f aca="false">IF(COUNTIF($A$2:$A115,A115)=1,1,0)</f>
        <v>1</v>
      </c>
    </row>
    <row r="116" customFormat="false" ht="15" hidden="false" customHeight="false" outlineLevel="0" collapsed="false">
      <c r="A116" s="31" t="s">
        <v>311</v>
      </c>
      <c r="B116" s="36" t="n">
        <v>45705</v>
      </c>
      <c r="C116" s="49" t="n">
        <f aca="false">DATE(YEAR(B116),MONTH(B116),1)</f>
        <v>45689</v>
      </c>
      <c r="D116" s="31" t="s">
        <v>215</v>
      </c>
      <c r="E116" s="31" t="s">
        <v>42</v>
      </c>
      <c r="F116" s="31" t="s">
        <v>46</v>
      </c>
      <c r="G116" s="31" t="s">
        <v>61</v>
      </c>
      <c r="H116" s="31" t="s">
        <v>173</v>
      </c>
      <c r="I116" s="32" t="str">
        <f aca="false">INDEX(Productos!$B$2:$B$13,MATCH($H116,Productos!$A$2:$A$13,0))</f>
        <v>Tornillo DIN 933 M12x70 clase 8.8</v>
      </c>
      <c r="J116" s="32" t="str">
        <f aca="false">INDEX(Productos!$C$2:$C$13,MATCH($H116,Productos!$A$2:$A$13,0))</f>
        <v>Métrica</v>
      </c>
      <c r="K116" s="31" t="s">
        <v>246</v>
      </c>
      <c r="L116" s="46" t="n">
        <v>52</v>
      </c>
      <c r="M116" s="50" t="n">
        <f aca="false">INDEX(Productos!$F$2:$F$13,MATCH($H116,Productos!$A$2:$A$13,0))</f>
        <v>64</v>
      </c>
      <c r="N116" s="51" t="n">
        <v>0.155</v>
      </c>
      <c r="O116" s="52" t="n">
        <f aca="false">M116*(1-N116)</f>
        <v>54.08</v>
      </c>
      <c r="P116" s="21" t="n">
        <f aca="false">L116*O116</f>
        <v>2812.16</v>
      </c>
      <c r="Q116" s="50" t="n">
        <f aca="false">INDEX(Productos!$E$2:$E$13,MATCH($H116,Productos!$A$2:$A$13,0))*INDEX(Parametros!$B$26:$B$43,MATCH($C116,Parametros!$A$26:$A$43,0))</f>
        <v>34.8735</v>
      </c>
      <c r="R116" s="21" t="n">
        <f aca="false">L116*Q116</f>
        <v>1813.422</v>
      </c>
      <c r="S116" s="18" t="n">
        <f aca="false">L116*INDEX(Parametros!$B$20:$B$22,MATCH($E116,Parametros!$A$20:$A$22,0))</f>
        <v>124.8</v>
      </c>
      <c r="T116" s="18" t="n">
        <f aca="false">P116*INDEX(Parametros!$B$13:$B$16,MATCH($F116,Parametros!$A$13:$A$16,0))</f>
        <v>112.4864</v>
      </c>
      <c r="U116" s="21" t="n">
        <f aca="false">P116-R116-S116-T116</f>
        <v>761.4516</v>
      </c>
      <c r="V116" s="19" t="n">
        <f aca="false">IFERROR(U116/P116,0)</f>
        <v>0.270771079881657</v>
      </c>
      <c r="W116" s="48" t="n">
        <f aca="false">B116+INDEX(Parametros!$C$13:$C$16,MATCH($F116,Parametros!$A$13:$A$16,0))</f>
        <v>45780</v>
      </c>
      <c r="X116" s="31" t="s">
        <v>67</v>
      </c>
      <c r="Y116" s="53" t="n">
        <f aca="false">IF(COUNTIF($A$2:$A116,A116)=1,1,0)</f>
        <v>1</v>
      </c>
    </row>
    <row r="117" customFormat="false" ht="15" hidden="false" customHeight="false" outlineLevel="0" collapsed="false">
      <c r="A117" s="31" t="s">
        <v>311</v>
      </c>
      <c r="B117" s="36" t="n">
        <v>45705</v>
      </c>
      <c r="C117" s="49" t="n">
        <f aca="false">DATE(YEAR(B117),MONTH(B117),1)</f>
        <v>45689</v>
      </c>
      <c r="D117" s="31" t="s">
        <v>215</v>
      </c>
      <c r="E117" s="31" t="s">
        <v>42</v>
      </c>
      <c r="F117" s="31" t="s">
        <v>46</v>
      </c>
      <c r="G117" s="31" t="s">
        <v>61</v>
      </c>
      <c r="H117" s="31" t="s">
        <v>163</v>
      </c>
      <c r="I117" s="32" t="str">
        <f aca="false">INDEX(Productos!$B$2:$B$13,MATCH($H117,Productos!$A$2:$A$13,0))</f>
        <v>Tornillo DIN 933 M6x30 rosca completa zincado</v>
      </c>
      <c r="J117" s="32" t="str">
        <f aca="false">INDEX(Productos!$C$2:$C$13,MATCH($H117,Productos!$A$2:$A$13,0))</f>
        <v>Métrica</v>
      </c>
      <c r="K117" s="31" t="s">
        <v>246</v>
      </c>
      <c r="L117" s="46" t="n">
        <v>97</v>
      </c>
      <c r="M117" s="50" t="n">
        <f aca="false">INDEX(Productos!$F$2:$F$13,MATCH($H117,Productos!$A$2:$A$13,0))</f>
        <v>32</v>
      </c>
      <c r="N117" s="51" t="n">
        <v>0.16</v>
      </c>
      <c r="O117" s="52" t="n">
        <f aca="false">M117*(1-N117)</f>
        <v>26.88</v>
      </c>
      <c r="P117" s="21" t="n">
        <f aca="false">L117*O117</f>
        <v>2607.36</v>
      </c>
      <c r="Q117" s="50" t="n">
        <f aca="false">INDEX(Productos!$E$2:$E$13,MATCH($H117,Productos!$A$2:$A$13,0))*INDEX(Parametros!$B$26:$B$43,MATCH($C117,Parametros!$A$26:$A$43,0))</f>
        <v>17.2806</v>
      </c>
      <c r="R117" s="21" t="n">
        <f aca="false">L117*Q117</f>
        <v>1676.2182</v>
      </c>
      <c r="S117" s="18" t="n">
        <f aca="false">L117*INDEX(Parametros!$B$20:$B$22,MATCH($E117,Parametros!$A$20:$A$22,0))</f>
        <v>232.8</v>
      </c>
      <c r="T117" s="18" t="n">
        <f aca="false">P117*INDEX(Parametros!$B$13:$B$16,MATCH($F117,Parametros!$A$13:$A$16,0))</f>
        <v>104.2944</v>
      </c>
      <c r="U117" s="21" t="n">
        <f aca="false">P117-R117-S117-T117</f>
        <v>594.0474</v>
      </c>
      <c r="V117" s="19" t="n">
        <f aca="false">IFERROR(U117/P117,0)</f>
        <v>0.227834821428571</v>
      </c>
      <c r="W117" s="48" t="n">
        <f aca="false">B117+INDEX(Parametros!$C$13:$C$16,MATCH($F117,Parametros!$A$13:$A$16,0))</f>
        <v>45780</v>
      </c>
      <c r="X117" s="31" t="s">
        <v>67</v>
      </c>
      <c r="Y117" s="53" t="n">
        <f aca="false">IF(COUNTIF($A$2:$A117,A117)=1,1,0)</f>
        <v>0</v>
      </c>
    </row>
    <row r="118" customFormat="false" ht="15" hidden="false" customHeight="false" outlineLevel="0" collapsed="false">
      <c r="A118" s="31" t="s">
        <v>312</v>
      </c>
      <c r="B118" s="36" t="n">
        <v>45705</v>
      </c>
      <c r="C118" s="49" t="n">
        <f aca="false">DATE(YEAR(B118),MONTH(B118),1)</f>
        <v>45689</v>
      </c>
      <c r="D118" s="31" t="s">
        <v>200</v>
      </c>
      <c r="E118" s="31" t="s">
        <v>41</v>
      </c>
      <c r="F118" s="31" t="s">
        <v>45</v>
      </c>
      <c r="G118" s="31" t="s">
        <v>62</v>
      </c>
      <c r="H118" s="31" t="s">
        <v>173</v>
      </c>
      <c r="I118" s="32" t="str">
        <f aca="false">INDEX(Productos!$B$2:$B$13,MATCH($H118,Productos!$A$2:$A$13,0))</f>
        <v>Tornillo DIN 933 M12x70 clase 8.8</v>
      </c>
      <c r="J118" s="32" t="str">
        <f aca="false">INDEX(Productos!$C$2:$C$13,MATCH($H118,Productos!$A$2:$A$13,0))</f>
        <v>Métrica</v>
      </c>
      <c r="K118" s="31" t="s">
        <v>246</v>
      </c>
      <c r="L118" s="46" t="n">
        <v>72</v>
      </c>
      <c r="M118" s="50" t="n">
        <f aca="false">INDEX(Productos!$F$2:$F$13,MATCH($H118,Productos!$A$2:$A$13,0))</f>
        <v>64</v>
      </c>
      <c r="N118" s="51" t="n">
        <v>0.211</v>
      </c>
      <c r="O118" s="52" t="n">
        <f aca="false">M118*(1-N118)</f>
        <v>50.496</v>
      </c>
      <c r="P118" s="21" t="n">
        <f aca="false">L118*O118</f>
        <v>3635.712</v>
      </c>
      <c r="Q118" s="50" t="n">
        <f aca="false">INDEX(Productos!$E$2:$E$13,MATCH($H118,Productos!$A$2:$A$13,0))*INDEX(Parametros!$B$26:$B$43,MATCH($C118,Parametros!$A$26:$A$43,0))</f>
        <v>34.8735</v>
      </c>
      <c r="R118" s="21" t="n">
        <f aca="false">L118*Q118</f>
        <v>2510.892</v>
      </c>
      <c r="S118" s="18" t="n">
        <f aca="false">L118*INDEX(Parametros!$B$20:$B$22,MATCH($E118,Parametros!$A$20:$A$22,0))</f>
        <v>61.2</v>
      </c>
      <c r="T118" s="18" t="n">
        <f aca="false">P118*INDEX(Parametros!$B$13:$B$16,MATCH($F118,Parametros!$A$13:$A$16,0))</f>
        <v>109.07136</v>
      </c>
      <c r="U118" s="21" t="n">
        <f aca="false">P118-R118-S118-T118</f>
        <v>954.54864</v>
      </c>
      <c r="V118" s="19" t="n">
        <f aca="false">IFERROR(U118/P118,0)</f>
        <v>0.262547924588086</v>
      </c>
      <c r="W118" s="48" t="n">
        <f aca="false">B118+INDEX(Parametros!$C$13:$C$16,MATCH($F118,Parametros!$A$13:$A$16,0))</f>
        <v>45765</v>
      </c>
      <c r="X118" s="31" t="s">
        <v>67</v>
      </c>
      <c r="Y118" s="53" t="n">
        <f aca="false">IF(COUNTIF($A$2:$A118,A118)=1,1,0)</f>
        <v>1</v>
      </c>
    </row>
    <row r="119" customFormat="false" ht="15" hidden="false" customHeight="false" outlineLevel="0" collapsed="false">
      <c r="A119" s="31" t="s">
        <v>312</v>
      </c>
      <c r="B119" s="36" t="n">
        <v>45705</v>
      </c>
      <c r="C119" s="49" t="n">
        <f aca="false">DATE(YEAR(B119),MONTH(B119),1)</f>
        <v>45689</v>
      </c>
      <c r="D119" s="31" t="s">
        <v>200</v>
      </c>
      <c r="E119" s="31" t="s">
        <v>41</v>
      </c>
      <c r="F119" s="31" t="s">
        <v>45</v>
      </c>
      <c r="G119" s="31" t="s">
        <v>62</v>
      </c>
      <c r="H119" s="31" t="s">
        <v>167</v>
      </c>
      <c r="I119" s="32" t="str">
        <f aca="false">INDEX(Productos!$B$2:$B$13,MATCH($H119,Productos!$A$2:$A$13,0))</f>
        <v>Tornillo DIN 912 M6x25 Allen zincado</v>
      </c>
      <c r="J119" s="32" t="str">
        <f aca="false">INDEX(Productos!$C$2:$C$13,MATCH($H119,Productos!$A$2:$A$13,0))</f>
        <v>Métrica</v>
      </c>
      <c r="K119" s="31" t="s">
        <v>246</v>
      </c>
      <c r="L119" s="46" t="n">
        <v>64</v>
      </c>
      <c r="M119" s="50" t="n">
        <f aca="false">INDEX(Productos!$F$2:$F$13,MATCH($H119,Productos!$A$2:$A$13,0))</f>
        <v>42</v>
      </c>
      <c r="N119" s="51" t="n">
        <v>0.212</v>
      </c>
      <c r="O119" s="52" t="n">
        <f aca="false">M119*(1-N119)</f>
        <v>33.096</v>
      </c>
      <c r="P119" s="21" t="n">
        <f aca="false">L119*O119</f>
        <v>2118.144</v>
      </c>
      <c r="Q119" s="50" t="n">
        <f aca="false">INDEX(Productos!$E$2:$E$13,MATCH($H119,Productos!$A$2:$A$13,0))*INDEX(Parametros!$B$26:$B$43,MATCH($C119,Parametros!$A$26:$A$43,0))</f>
        <v>22.6938</v>
      </c>
      <c r="R119" s="21" t="n">
        <f aca="false">L119*Q119</f>
        <v>1452.4032</v>
      </c>
      <c r="S119" s="18" t="n">
        <f aca="false">L119*INDEX(Parametros!$B$20:$B$22,MATCH($E119,Parametros!$A$20:$A$22,0))</f>
        <v>54.4</v>
      </c>
      <c r="T119" s="18" t="n">
        <f aca="false">P119*INDEX(Parametros!$B$13:$B$16,MATCH($F119,Parametros!$A$13:$A$16,0))</f>
        <v>63.54432</v>
      </c>
      <c r="U119" s="21" t="n">
        <f aca="false">P119-R119-S119-T119</f>
        <v>547.79648</v>
      </c>
      <c r="V119" s="19" t="n">
        <f aca="false">IFERROR(U119/P119,0)</f>
        <v>0.258620981387479</v>
      </c>
      <c r="W119" s="48" t="n">
        <f aca="false">B119+INDEX(Parametros!$C$13:$C$16,MATCH($F119,Parametros!$A$13:$A$16,0))</f>
        <v>45765</v>
      </c>
      <c r="X119" s="31" t="s">
        <v>67</v>
      </c>
      <c r="Y119" s="53" t="n">
        <f aca="false">IF(COUNTIF($A$2:$A119,A119)=1,1,0)</f>
        <v>0</v>
      </c>
    </row>
    <row r="120" customFormat="false" ht="15" hidden="false" customHeight="false" outlineLevel="0" collapsed="false">
      <c r="A120" s="31" t="s">
        <v>312</v>
      </c>
      <c r="B120" s="36" t="n">
        <v>45705</v>
      </c>
      <c r="C120" s="49" t="n">
        <f aca="false">DATE(YEAR(B120),MONTH(B120),1)</f>
        <v>45689</v>
      </c>
      <c r="D120" s="31" t="s">
        <v>200</v>
      </c>
      <c r="E120" s="31" t="s">
        <v>41</v>
      </c>
      <c r="F120" s="31" t="s">
        <v>45</v>
      </c>
      <c r="G120" s="31" t="s">
        <v>62</v>
      </c>
      <c r="H120" s="31" t="s">
        <v>163</v>
      </c>
      <c r="I120" s="32" t="str">
        <f aca="false">INDEX(Productos!$B$2:$B$13,MATCH($H120,Productos!$A$2:$A$13,0))</f>
        <v>Tornillo DIN 933 M6x30 rosca completa zincado</v>
      </c>
      <c r="J120" s="32" t="str">
        <f aca="false">INDEX(Productos!$C$2:$C$13,MATCH($H120,Productos!$A$2:$A$13,0))</f>
        <v>Métrica</v>
      </c>
      <c r="K120" s="31" t="s">
        <v>246</v>
      </c>
      <c r="L120" s="46" t="n">
        <v>81</v>
      </c>
      <c r="M120" s="50" t="n">
        <f aca="false">INDEX(Productos!$F$2:$F$13,MATCH($H120,Productos!$A$2:$A$13,0))</f>
        <v>32</v>
      </c>
      <c r="N120" s="51" t="n">
        <v>0.173</v>
      </c>
      <c r="O120" s="52" t="n">
        <f aca="false">M120*(1-N120)</f>
        <v>26.464</v>
      </c>
      <c r="P120" s="21" t="n">
        <f aca="false">L120*O120</f>
        <v>2143.584</v>
      </c>
      <c r="Q120" s="50" t="n">
        <f aca="false">INDEX(Productos!$E$2:$E$13,MATCH($H120,Productos!$A$2:$A$13,0))*INDEX(Parametros!$B$26:$B$43,MATCH($C120,Parametros!$A$26:$A$43,0))</f>
        <v>17.2806</v>
      </c>
      <c r="R120" s="21" t="n">
        <f aca="false">L120*Q120</f>
        <v>1399.7286</v>
      </c>
      <c r="S120" s="18" t="n">
        <f aca="false">L120*INDEX(Parametros!$B$20:$B$22,MATCH($E120,Parametros!$A$20:$A$22,0))</f>
        <v>68.85</v>
      </c>
      <c r="T120" s="18" t="n">
        <f aca="false">P120*INDEX(Parametros!$B$13:$B$16,MATCH($F120,Parametros!$A$13:$A$16,0))</f>
        <v>64.30752</v>
      </c>
      <c r="U120" s="21" t="n">
        <f aca="false">P120-R120-S120-T120</f>
        <v>610.69788</v>
      </c>
      <c r="V120" s="19" t="n">
        <f aca="false">IFERROR(U120/P120,0)</f>
        <v>0.284895707376058</v>
      </c>
      <c r="W120" s="48" t="n">
        <f aca="false">B120+INDEX(Parametros!$C$13:$C$16,MATCH($F120,Parametros!$A$13:$A$16,0))</f>
        <v>45765</v>
      </c>
      <c r="X120" s="31" t="s">
        <v>67</v>
      </c>
      <c r="Y120" s="53" t="n">
        <f aca="false">IF(COUNTIF($A$2:$A120,A120)=1,1,0)</f>
        <v>0</v>
      </c>
    </row>
    <row r="121" customFormat="false" ht="15" hidden="false" customHeight="false" outlineLevel="0" collapsed="false">
      <c r="A121" s="31" t="s">
        <v>312</v>
      </c>
      <c r="B121" s="36" t="n">
        <v>45705</v>
      </c>
      <c r="C121" s="49" t="n">
        <f aca="false">DATE(YEAR(B121),MONTH(B121),1)</f>
        <v>45689</v>
      </c>
      <c r="D121" s="31" t="s">
        <v>200</v>
      </c>
      <c r="E121" s="31" t="s">
        <v>41</v>
      </c>
      <c r="F121" s="31" t="s">
        <v>45</v>
      </c>
      <c r="G121" s="31" t="s">
        <v>62</v>
      </c>
      <c r="H121" s="31" t="s">
        <v>183</v>
      </c>
      <c r="I121" s="32" t="str">
        <f aca="false">INDEX(Productos!$B$2:$B$13,MATCH($H121,Productos!$A$2:$A$13,0))</f>
        <v>Tornillo estructural M16x90 clase 10.9</v>
      </c>
      <c r="J121" s="32" t="str">
        <f aca="false">INDEX(Productos!$C$2:$C$13,MATCH($H121,Productos!$A$2:$A$13,0))</f>
        <v>Especial</v>
      </c>
      <c r="K121" s="31" t="s">
        <v>246</v>
      </c>
      <c r="L121" s="46" t="n">
        <v>39</v>
      </c>
      <c r="M121" s="50" t="n">
        <f aca="false">INDEX(Productos!$F$2:$F$13,MATCH($H121,Productos!$A$2:$A$13,0))</f>
        <v>112</v>
      </c>
      <c r="N121" s="51" t="n">
        <v>0.16</v>
      </c>
      <c r="O121" s="52" t="n">
        <f aca="false">M121*(1-N121)</f>
        <v>94.08</v>
      </c>
      <c r="P121" s="21" t="n">
        <f aca="false">L121*O121</f>
        <v>3669.12</v>
      </c>
      <c r="Q121" s="50" t="n">
        <f aca="false">INDEX(Productos!$E$2:$E$13,MATCH($H121,Productos!$A$2:$A$13,0))*INDEX(Parametros!$B$26:$B$43,MATCH($C121,Parametros!$A$26:$A$43,0))</f>
        <v>62.46</v>
      </c>
      <c r="R121" s="21" t="n">
        <f aca="false">L121*Q121</f>
        <v>2435.94</v>
      </c>
      <c r="S121" s="18" t="n">
        <f aca="false">L121*INDEX(Parametros!$B$20:$B$22,MATCH($E121,Parametros!$A$20:$A$22,0))</f>
        <v>33.15</v>
      </c>
      <c r="T121" s="18" t="n">
        <f aca="false">P121*INDEX(Parametros!$B$13:$B$16,MATCH($F121,Parametros!$A$13:$A$16,0))</f>
        <v>110.0736</v>
      </c>
      <c r="U121" s="21" t="n">
        <f aca="false">P121-R121-S121-T121</f>
        <v>1089.9564</v>
      </c>
      <c r="V121" s="19" t="n">
        <f aca="false">IFERROR(U121/P121,0)</f>
        <v>0.297062074829932</v>
      </c>
      <c r="W121" s="48" t="n">
        <f aca="false">B121+INDEX(Parametros!$C$13:$C$16,MATCH($F121,Parametros!$A$13:$A$16,0))</f>
        <v>45765</v>
      </c>
      <c r="X121" s="31" t="s">
        <v>69</v>
      </c>
      <c r="Y121" s="53" t="n">
        <f aca="false">IF(COUNTIF($A$2:$A121,A121)=1,1,0)</f>
        <v>0</v>
      </c>
    </row>
    <row r="122" customFormat="false" ht="15" hidden="false" customHeight="false" outlineLevel="0" collapsed="false">
      <c r="A122" s="31" t="s">
        <v>313</v>
      </c>
      <c r="B122" s="36" t="n">
        <v>45705</v>
      </c>
      <c r="C122" s="49" t="n">
        <f aca="false">DATE(YEAR(B122),MONTH(B122),1)</f>
        <v>45689</v>
      </c>
      <c r="D122" s="31" t="s">
        <v>204</v>
      </c>
      <c r="E122" s="31" t="s">
        <v>41</v>
      </c>
      <c r="F122" s="31" t="s">
        <v>47</v>
      </c>
      <c r="G122" s="31" t="s">
        <v>62</v>
      </c>
      <c r="H122" s="31" t="s">
        <v>167</v>
      </c>
      <c r="I122" s="32" t="str">
        <f aca="false">INDEX(Productos!$B$2:$B$13,MATCH($H122,Productos!$A$2:$A$13,0))</f>
        <v>Tornillo DIN 912 M6x25 Allen zincado</v>
      </c>
      <c r="J122" s="32" t="str">
        <f aca="false">INDEX(Productos!$C$2:$C$13,MATCH($H122,Productos!$A$2:$A$13,0))</f>
        <v>Métrica</v>
      </c>
      <c r="K122" s="31" t="s">
        <v>246</v>
      </c>
      <c r="L122" s="46" t="n">
        <v>68</v>
      </c>
      <c r="M122" s="50" t="n">
        <f aca="false">INDEX(Productos!$F$2:$F$13,MATCH($H122,Productos!$A$2:$A$13,0))</f>
        <v>42</v>
      </c>
      <c r="N122" s="51" t="n">
        <v>0.063</v>
      </c>
      <c r="O122" s="52" t="n">
        <f aca="false">M122*(1-N122)</f>
        <v>39.354</v>
      </c>
      <c r="P122" s="21" t="n">
        <f aca="false">L122*O122</f>
        <v>2676.072</v>
      </c>
      <c r="Q122" s="50" t="n">
        <f aca="false">INDEX(Productos!$E$2:$E$13,MATCH($H122,Productos!$A$2:$A$13,0))*INDEX(Parametros!$B$26:$B$43,MATCH($C122,Parametros!$A$26:$A$43,0))</f>
        <v>22.6938</v>
      </c>
      <c r="R122" s="21" t="n">
        <f aca="false">L122*Q122</f>
        <v>1543.1784</v>
      </c>
      <c r="S122" s="18" t="n">
        <f aca="false">L122*INDEX(Parametros!$B$20:$B$22,MATCH($E122,Parametros!$A$20:$A$22,0))</f>
        <v>57.8</v>
      </c>
      <c r="T122" s="18" t="n">
        <f aca="false">P122*INDEX(Parametros!$B$13:$B$16,MATCH($F122,Parametros!$A$13:$A$16,0))</f>
        <v>93.66252</v>
      </c>
      <c r="U122" s="21" t="n">
        <f aca="false">P122-R122-S122-T122</f>
        <v>981.43108</v>
      </c>
      <c r="V122" s="19" t="n">
        <f aca="false">IFERROR(U122/P122,0)</f>
        <v>0.366743151903237</v>
      </c>
      <c r="W122" s="48" t="n">
        <f aca="false">B122+INDEX(Parametros!$C$13:$C$16,MATCH($F122,Parametros!$A$13:$A$16,0))</f>
        <v>45750</v>
      </c>
      <c r="X122" s="31" t="s">
        <v>67</v>
      </c>
      <c r="Y122" s="53" t="n">
        <f aca="false">IF(COUNTIF($A$2:$A122,A122)=1,1,0)</f>
        <v>1</v>
      </c>
    </row>
    <row r="123" customFormat="false" ht="15" hidden="false" customHeight="false" outlineLevel="0" collapsed="false">
      <c r="A123" s="31" t="s">
        <v>313</v>
      </c>
      <c r="B123" s="36" t="n">
        <v>45705</v>
      </c>
      <c r="C123" s="49" t="n">
        <f aca="false">DATE(YEAR(B123),MONTH(B123),1)</f>
        <v>45689</v>
      </c>
      <c r="D123" s="31" t="s">
        <v>204</v>
      </c>
      <c r="E123" s="31" t="s">
        <v>41</v>
      </c>
      <c r="F123" s="31" t="s">
        <v>47</v>
      </c>
      <c r="G123" s="31" t="s">
        <v>62</v>
      </c>
      <c r="H123" s="31" t="s">
        <v>185</v>
      </c>
      <c r="I123" s="32" t="str">
        <f aca="false">INDEX(Productos!$B$2:$B$13,MATCH($H123,Productos!$A$2:$A$13,0))</f>
        <v>Varilla roscada M10 x 1 m zincada</v>
      </c>
      <c r="J123" s="32" t="str">
        <f aca="false">INDEX(Productos!$C$2:$C$13,MATCH($H123,Productos!$A$2:$A$13,0))</f>
        <v>Especial</v>
      </c>
      <c r="K123" s="31" t="s">
        <v>246</v>
      </c>
      <c r="L123" s="46" t="n">
        <v>57</v>
      </c>
      <c r="M123" s="50" t="n">
        <f aca="false">INDEX(Productos!$F$2:$F$13,MATCH($H123,Productos!$A$2:$A$13,0))</f>
        <v>54</v>
      </c>
      <c r="N123" s="51" t="n">
        <v>0.054</v>
      </c>
      <c r="O123" s="52" t="n">
        <f aca="false">M123*(1-N123)</f>
        <v>51.084</v>
      </c>
      <c r="P123" s="21" t="n">
        <f aca="false">L123*O123</f>
        <v>2911.788</v>
      </c>
      <c r="Q123" s="50" t="n">
        <f aca="false">INDEX(Productos!$E$2:$E$13,MATCH($H123,Productos!$A$2:$A$13,0))*INDEX(Parametros!$B$26:$B$43,MATCH($C123,Parametros!$A$26:$A$43,0))</f>
        <v>29.6685</v>
      </c>
      <c r="R123" s="21" t="n">
        <f aca="false">L123*Q123</f>
        <v>1691.1045</v>
      </c>
      <c r="S123" s="18" t="n">
        <f aca="false">L123*INDEX(Parametros!$B$20:$B$22,MATCH($E123,Parametros!$A$20:$A$22,0))</f>
        <v>48.45</v>
      </c>
      <c r="T123" s="18" t="n">
        <f aca="false">P123*INDEX(Parametros!$B$13:$B$16,MATCH($F123,Parametros!$A$13:$A$16,0))</f>
        <v>101.91258</v>
      </c>
      <c r="U123" s="21" t="n">
        <f aca="false">P123-R123-S123-T123</f>
        <v>1070.32092</v>
      </c>
      <c r="V123" s="19" t="n">
        <f aca="false">IFERROR(U123/P123,0)</f>
        <v>0.367582021768068</v>
      </c>
      <c r="W123" s="48" t="n">
        <f aca="false">B123+INDEX(Parametros!$C$13:$C$16,MATCH($F123,Parametros!$A$13:$A$16,0))</f>
        <v>45750</v>
      </c>
      <c r="X123" s="31" t="s">
        <v>67</v>
      </c>
      <c r="Y123" s="53" t="n">
        <f aca="false">IF(COUNTIF($A$2:$A123,A123)=1,1,0)</f>
        <v>0</v>
      </c>
    </row>
    <row r="124" customFormat="false" ht="15" hidden="false" customHeight="false" outlineLevel="0" collapsed="false">
      <c r="A124" s="31" t="s">
        <v>314</v>
      </c>
      <c r="B124" s="36" t="n">
        <v>45705</v>
      </c>
      <c r="C124" s="49" t="n">
        <f aca="false">DATE(YEAR(B124),MONTH(B124),1)</f>
        <v>45689</v>
      </c>
      <c r="D124" s="31" t="s">
        <v>202</v>
      </c>
      <c r="E124" s="31" t="s">
        <v>41</v>
      </c>
      <c r="F124" s="31" t="s">
        <v>46</v>
      </c>
      <c r="G124" s="31" t="s">
        <v>62</v>
      </c>
      <c r="H124" s="31" t="s">
        <v>173</v>
      </c>
      <c r="I124" s="32" t="str">
        <f aca="false">INDEX(Productos!$B$2:$B$13,MATCH($H124,Productos!$A$2:$A$13,0))</f>
        <v>Tornillo DIN 933 M12x70 clase 8.8</v>
      </c>
      <c r="J124" s="32" t="str">
        <f aca="false">INDEX(Productos!$C$2:$C$13,MATCH($H124,Productos!$A$2:$A$13,0))</f>
        <v>Métrica</v>
      </c>
      <c r="K124" s="31" t="s">
        <v>246</v>
      </c>
      <c r="L124" s="46" t="n">
        <v>64</v>
      </c>
      <c r="M124" s="50" t="n">
        <f aca="false">INDEX(Productos!$F$2:$F$13,MATCH($H124,Productos!$A$2:$A$13,0))</f>
        <v>64</v>
      </c>
      <c r="N124" s="51" t="n">
        <v>0.09</v>
      </c>
      <c r="O124" s="52" t="n">
        <f aca="false">M124*(1-N124)</f>
        <v>58.24</v>
      </c>
      <c r="P124" s="21" t="n">
        <f aca="false">L124*O124</f>
        <v>3727.36</v>
      </c>
      <c r="Q124" s="50" t="n">
        <f aca="false">INDEX(Productos!$E$2:$E$13,MATCH($H124,Productos!$A$2:$A$13,0))*INDEX(Parametros!$B$26:$B$43,MATCH($C124,Parametros!$A$26:$A$43,0))</f>
        <v>34.8735</v>
      </c>
      <c r="R124" s="21" t="n">
        <f aca="false">L124*Q124</f>
        <v>2231.904</v>
      </c>
      <c r="S124" s="18" t="n">
        <f aca="false">L124*INDEX(Parametros!$B$20:$B$22,MATCH($E124,Parametros!$A$20:$A$22,0))</f>
        <v>54.4</v>
      </c>
      <c r="T124" s="18" t="n">
        <f aca="false">P124*INDEX(Parametros!$B$13:$B$16,MATCH($F124,Parametros!$A$13:$A$16,0))</f>
        <v>149.0944</v>
      </c>
      <c r="U124" s="21" t="n">
        <f aca="false">P124-R124-S124-T124</f>
        <v>1291.9616</v>
      </c>
      <c r="V124" s="19" t="n">
        <f aca="false">IFERROR(U124/P124,0)</f>
        <v>0.346615728021978</v>
      </c>
      <c r="W124" s="48" t="n">
        <f aca="false">B124+INDEX(Parametros!$C$13:$C$16,MATCH($F124,Parametros!$A$13:$A$16,0))</f>
        <v>45780</v>
      </c>
      <c r="X124" s="31" t="s">
        <v>67</v>
      </c>
      <c r="Y124" s="53" t="n">
        <f aca="false">IF(COUNTIF($A$2:$A124,A124)=1,1,0)</f>
        <v>1</v>
      </c>
    </row>
    <row r="125" customFormat="false" ht="15" hidden="false" customHeight="false" outlineLevel="0" collapsed="false">
      <c r="A125" s="31" t="s">
        <v>314</v>
      </c>
      <c r="B125" s="36" t="n">
        <v>45705</v>
      </c>
      <c r="C125" s="49" t="n">
        <f aca="false">DATE(YEAR(B125),MONTH(B125),1)</f>
        <v>45689</v>
      </c>
      <c r="D125" s="31" t="s">
        <v>202</v>
      </c>
      <c r="E125" s="31" t="s">
        <v>41</v>
      </c>
      <c r="F125" s="31" t="s">
        <v>46</v>
      </c>
      <c r="G125" s="31" t="s">
        <v>62</v>
      </c>
      <c r="H125" s="31" t="s">
        <v>165</v>
      </c>
      <c r="I125" s="32" t="str">
        <f aca="false">INDEX(Productos!$B$2:$B$13,MATCH($H125,Productos!$A$2:$A$13,0))</f>
        <v>Tornillo DIN 933 M8x40 rosca completa zincado</v>
      </c>
      <c r="J125" s="32" t="str">
        <f aca="false">INDEX(Productos!$C$2:$C$13,MATCH($H125,Productos!$A$2:$A$13,0))</f>
        <v>Métrica</v>
      </c>
      <c r="K125" s="31" t="s">
        <v>246</v>
      </c>
      <c r="L125" s="46" t="n">
        <v>26</v>
      </c>
      <c r="M125" s="50" t="n">
        <f aca="false">INDEX(Productos!$F$2:$F$13,MATCH($H125,Productos!$A$2:$A$13,0))</f>
        <v>37.5</v>
      </c>
      <c r="N125" s="51" t="n">
        <v>0.122</v>
      </c>
      <c r="O125" s="52" t="n">
        <f aca="false">M125*(1-N125)</f>
        <v>32.925</v>
      </c>
      <c r="P125" s="21" t="n">
        <f aca="false">L125*O125</f>
        <v>856.05</v>
      </c>
      <c r="Q125" s="50" t="n">
        <f aca="false">INDEX(Productos!$E$2:$E$13,MATCH($H125,Productos!$A$2:$A$13,0))*INDEX(Parametros!$B$26:$B$43,MATCH($C125,Parametros!$A$26:$A$43,0))</f>
        <v>20.1954</v>
      </c>
      <c r="R125" s="21" t="n">
        <f aca="false">L125*Q125</f>
        <v>525.0804</v>
      </c>
      <c r="S125" s="18" t="n">
        <f aca="false">L125*INDEX(Parametros!$B$20:$B$22,MATCH($E125,Parametros!$A$20:$A$22,0))</f>
        <v>22.1</v>
      </c>
      <c r="T125" s="18" t="n">
        <f aca="false">P125*INDEX(Parametros!$B$13:$B$16,MATCH($F125,Parametros!$A$13:$A$16,0))</f>
        <v>34.242</v>
      </c>
      <c r="U125" s="21" t="n">
        <f aca="false">P125-R125-S125-T125</f>
        <v>274.6276</v>
      </c>
      <c r="V125" s="19" t="n">
        <f aca="false">IFERROR(U125/P125,0)</f>
        <v>0.320807896735004</v>
      </c>
      <c r="W125" s="48" t="n">
        <f aca="false">B125+INDEX(Parametros!$C$13:$C$16,MATCH($F125,Parametros!$A$13:$A$16,0))</f>
        <v>45780</v>
      </c>
      <c r="X125" s="31" t="s">
        <v>67</v>
      </c>
      <c r="Y125" s="53" t="n">
        <f aca="false">IF(COUNTIF($A$2:$A125,A125)=1,1,0)</f>
        <v>0</v>
      </c>
    </row>
    <row r="126" customFormat="false" ht="15" hidden="false" customHeight="false" outlineLevel="0" collapsed="false">
      <c r="A126" s="31" t="s">
        <v>315</v>
      </c>
      <c r="B126" s="36" t="n">
        <v>45705</v>
      </c>
      <c r="C126" s="49" t="n">
        <f aca="false">DATE(YEAR(B126),MONTH(B126),1)</f>
        <v>45689</v>
      </c>
      <c r="D126" s="31" t="s">
        <v>195</v>
      </c>
      <c r="E126" s="31" t="s">
        <v>41</v>
      </c>
      <c r="F126" s="31" t="s">
        <v>45</v>
      </c>
      <c r="G126" s="31" t="s">
        <v>58</v>
      </c>
      <c r="H126" s="31" t="s">
        <v>165</v>
      </c>
      <c r="I126" s="32" t="str">
        <f aca="false">INDEX(Productos!$B$2:$B$13,MATCH($H126,Productos!$A$2:$A$13,0))</f>
        <v>Tornillo DIN 933 M8x40 rosca completa zincado</v>
      </c>
      <c r="J126" s="32" t="str">
        <f aca="false">INDEX(Productos!$C$2:$C$13,MATCH($H126,Productos!$A$2:$A$13,0))</f>
        <v>Métrica</v>
      </c>
      <c r="K126" s="31" t="s">
        <v>246</v>
      </c>
      <c r="L126" s="46" t="n">
        <v>47</v>
      </c>
      <c r="M126" s="50" t="n">
        <f aca="false">INDEX(Productos!$F$2:$F$13,MATCH($H126,Productos!$A$2:$A$13,0))</f>
        <v>37.5</v>
      </c>
      <c r="N126" s="51" t="n">
        <v>0.19</v>
      </c>
      <c r="O126" s="52" t="n">
        <f aca="false">M126*(1-N126)</f>
        <v>30.375</v>
      </c>
      <c r="P126" s="21" t="n">
        <f aca="false">L126*O126</f>
        <v>1427.625</v>
      </c>
      <c r="Q126" s="50" t="n">
        <f aca="false">INDEX(Productos!$E$2:$E$13,MATCH($H126,Productos!$A$2:$A$13,0))*INDEX(Parametros!$B$26:$B$43,MATCH($C126,Parametros!$A$26:$A$43,0))</f>
        <v>20.1954</v>
      </c>
      <c r="R126" s="21" t="n">
        <f aca="false">L126*Q126</f>
        <v>949.1838</v>
      </c>
      <c r="S126" s="18" t="n">
        <f aca="false">L126*INDEX(Parametros!$B$20:$B$22,MATCH($E126,Parametros!$A$20:$A$22,0))</f>
        <v>39.95</v>
      </c>
      <c r="T126" s="18" t="n">
        <f aca="false">P126*INDEX(Parametros!$B$13:$B$16,MATCH($F126,Parametros!$A$13:$A$16,0))</f>
        <v>42.82875</v>
      </c>
      <c r="U126" s="21" t="n">
        <f aca="false">P126-R126-S126-T126</f>
        <v>395.66245</v>
      </c>
      <c r="V126" s="19" t="n">
        <f aca="false">IFERROR(U126/P126,0)</f>
        <v>0.277147325102881</v>
      </c>
      <c r="W126" s="48" t="n">
        <f aca="false">B126+INDEX(Parametros!$C$13:$C$16,MATCH($F126,Parametros!$A$13:$A$16,0))</f>
        <v>45765</v>
      </c>
      <c r="X126" s="31" t="s">
        <v>67</v>
      </c>
      <c r="Y126" s="53" t="n">
        <f aca="false">IF(COUNTIF($A$2:$A126,A126)=1,1,0)</f>
        <v>1</v>
      </c>
    </row>
    <row r="127" customFormat="false" ht="15" hidden="false" customHeight="false" outlineLevel="0" collapsed="false">
      <c r="A127" s="31" t="s">
        <v>315</v>
      </c>
      <c r="B127" s="36" t="n">
        <v>45705</v>
      </c>
      <c r="C127" s="49" t="n">
        <f aca="false">DATE(YEAR(B127),MONTH(B127),1)</f>
        <v>45689</v>
      </c>
      <c r="D127" s="31" t="s">
        <v>195</v>
      </c>
      <c r="E127" s="31" t="s">
        <v>41</v>
      </c>
      <c r="F127" s="31" t="s">
        <v>45</v>
      </c>
      <c r="G127" s="31" t="s">
        <v>58</v>
      </c>
      <c r="H127" s="31" t="s">
        <v>179</v>
      </c>
      <c r="I127" s="32" t="str">
        <f aca="false">INDEX(Productos!$B$2:$B$13,MATCH($H127,Productos!$A$2:$A$13,0))</f>
        <v>Autotaladrante DIN 7504 4,8x38 zincado</v>
      </c>
      <c r="J127" s="32" t="str">
        <f aca="false">INDEX(Productos!$C$2:$C$13,MATCH($H127,Productos!$A$2:$A$13,0))</f>
        <v>Autotaladrante</v>
      </c>
      <c r="K127" s="31" t="s">
        <v>246</v>
      </c>
      <c r="L127" s="46" t="n">
        <v>128</v>
      </c>
      <c r="M127" s="50" t="n">
        <f aca="false">INDEX(Productos!$F$2:$F$13,MATCH($H127,Productos!$A$2:$A$13,0))</f>
        <v>29.5</v>
      </c>
      <c r="N127" s="51" t="n">
        <v>0.174</v>
      </c>
      <c r="O127" s="52" t="n">
        <f aca="false">M127*(1-N127)</f>
        <v>24.367</v>
      </c>
      <c r="P127" s="21" t="n">
        <f aca="false">L127*O127</f>
        <v>3118.976</v>
      </c>
      <c r="Q127" s="50" t="n">
        <f aca="false">INDEX(Productos!$E$2:$E$13,MATCH($H127,Productos!$A$2:$A$13,0))*INDEX(Parametros!$B$26:$B$43,MATCH($C127,Parametros!$A$26:$A$43,0))</f>
        <v>15.8232</v>
      </c>
      <c r="R127" s="21" t="n">
        <f aca="false">L127*Q127</f>
        <v>2025.3696</v>
      </c>
      <c r="S127" s="18" t="n">
        <f aca="false">L127*INDEX(Parametros!$B$20:$B$22,MATCH($E127,Parametros!$A$20:$A$22,0))</f>
        <v>108.8</v>
      </c>
      <c r="T127" s="18" t="n">
        <f aca="false">P127*INDEX(Parametros!$B$13:$B$16,MATCH($F127,Parametros!$A$13:$A$16,0))</f>
        <v>93.56928</v>
      </c>
      <c r="U127" s="21" t="n">
        <f aca="false">P127-R127-S127-T127</f>
        <v>891.23712</v>
      </c>
      <c r="V127" s="19" t="n">
        <f aca="false">IFERROR(U127/P127,0)</f>
        <v>0.285746706611401</v>
      </c>
      <c r="W127" s="48" t="n">
        <f aca="false">B127+INDEX(Parametros!$C$13:$C$16,MATCH($F127,Parametros!$A$13:$A$16,0))</f>
        <v>45765</v>
      </c>
      <c r="X127" s="31" t="s">
        <v>67</v>
      </c>
      <c r="Y127" s="53" t="n">
        <f aca="false">IF(COUNTIF($A$2:$A127,A127)=1,1,0)</f>
        <v>0</v>
      </c>
    </row>
    <row r="128" customFormat="false" ht="15" hidden="false" customHeight="false" outlineLevel="0" collapsed="false">
      <c r="A128" s="31" t="s">
        <v>315</v>
      </c>
      <c r="B128" s="36" t="n">
        <v>45705</v>
      </c>
      <c r="C128" s="49" t="n">
        <f aca="false">DATE(YEAR(B128),MONTH(B128),1)</f>
        <v>45689</v>
      </c>
      <c r="D128" s="31" t="s">
        <v>195</v>
      </c>
      <c r="E128" s="31" t="s">
        <v>41</v>
      </c>
      <c r="F128" s="31" t="s">
        <v>45</v>
      </c>
      <c r="G128" s="31" t="s">
        <v>58</v>
      </c>
      <c r="H128" s="31" t="s">
        <v>181</v>
      </c>
      <c r="I128" s="32" t="str">
        <f aca="false">INDEX(Productos!$B$2:$B$13,MATCH($H128,Productos!$A$2:$A$13,0))</f>
        <v>Autotaladrante 5,5x55 punta broca</v>
      </c>
      <c r="J128" s="32" t="str">
        <f aca="false">INDEX(Productos!$C$2:$C$13,MATCH($H128,Productos!$A$2:$A$13,0))</f>
        <v>Autotaladrante</v>
      </c>
      <c r="K128" s="31" t="s">
        <v>246</v>
      </c>
      <c r="L128" s="46" t="n">
        <v>306</v>
      </c>
      <c r="M128" s="50" t="n">
        <f aca="false">INDEX(Productos!$F$2:$F$13,MATCH($H128,Productos!$A$2:$A$13,0))</f>
        <v>39</v>
      </c>
      <c r="N128" s="51" t="n">
        <v>0.205</v>
      </c>
      <c r="O128" s="52" t="n">
        <f aca="false">M128*(1-N128)</f>
        <v>31.005</v>
      </c>
      <c r="P128" s="21" t="n">
        <f aca="false">L128*O128</f>
        <v>9487.53</v>
      </c>
      <c r="Q128" s="50" t="n">
        <f aca="false">INDEX(Productos!$E$2:$E$13,MATCH($H128,Productos!$A$2:$A$13,0))*INDEX(Parametros!$B$26:$B$43,MATCH($C128,Parametros!$A$26:$A$43,0))</f>
        <v>21.1323</v>
      </c>
      <c r="R128" s="21" t="n">
        <f aca="false">L128*Q128</f>
        <v>6466.4838</v>
      </c>
      <c r="S128" s="18" t="n">
        <f aca="false">L128*INDEX(Parametros!$B$20:$B$22,MATCH($E128,Parametros!$A$20:$A$22,0))</f>
        <v>260.1</v>
      </c>
      <c r="T128" s="18" t="n">
        <f aca="false">P128*INDEX(Parametros!$B$13:$B$16,MATCH($F128,Parametros!$A$13:$A$16,0))</f>
        <v>284.6259</v>
      </c>
      <c r="U128" s="21" t="n">
        <f aca="false">P128-R128-S128-T128</f>
        <v>2476.3203</v>
      </c>
      <c r="V128" s="19" t="n">
        <f aca="false">IFERROR(U128/P128,0)</f>
        <v>0.261007901951298</v>
      </c>
      <c r="W128" s="48" t="n">
        <f aca="false">B128+INDEX(Parametros!$C$13:$C$16,MATCH($F128,Parametros!$A$13:$A$16,0))</f>
        <v>45765</v>
      </c>
      <c r="X128" s="31" t="s">
        <v>69</v>
      </c>
      <c r="Y128" s="53" t="n">
        <f aca="false">IF(COUNTIF($A$2:$A128,A128)=1,1,0)</f>
        <v>0</v>
      </c>
    </row>
    <row r="129" customFormat="false" ht="15" hidden="false" customHeight="false" outlineLevel="0" collapsed="false">
      <c r="A129" s="31" t="s">
        <v>316</v>
      </c>
      <c r="B129" s="36" t="n">
        <v>45705</v>
      </c>
      <c r="C129" s="49" t="n">
        <f aca="false">DATE(YEAR(B129),MONTH(B129),1)</f>
        <v>45689</v>
      </c>
      <c r="D129" s="31" t="s">
        <v>198</v>
      </c>
      <c r="E129" s="31" t="s">
        <v>41</v>
      </c>
      <c r="F129" s="31" t="s">
        <v>46</v>
      </c>
      <c r="G129" s="31" t="s">
        <v>58</v>
      </c>
      <c r="H129" s="31" t="s">
        <v>163</v>
      </c>
      <c r="I129" s="32" t="str">
        <f aca="false">INDEX(Productos!$B$2:$B$13,MATCH($H129,Productos!$A$2:$A$13,0))</f>
        <v>Tornillo DIN 933 M6x30 rosca completa zincado</v>
      </c>
      <c r="J129" s="32" t="str">
        <f aca="false">INDEX(Productos!$C$2:$C$13,MATCH($H129,Productos!$A$2:$A$13,0))</f>
        <v>Métrica</v>
      </c>
      <c r="K129" s="31" t="s">
        <v>246</v>
      </c>
      <c r="L129" s="46" t="n">
        <v>117</v>
      </c>
      <c r="M129" s="50" t="n">
        <f aca="false">INDEX(Productos!$F$2:$F$13,MATCH($H129,Productos!$A$2:$A$13,0))</f>
        <v>32</v>
      </c>
      <c r="N129" s="51" t="n">
        <v>0.171</v>
      </c>
      <c r="O129" s="52" t="n">
        <f aca="false">M129*(1-N129)</f>
        <v>26.528</v>
      </c>
      <c r="P129" s="21" t="n">
        <f aca="false">L129*O129</f>
        <v>3103.776</v>
      </c>
      <c r="Q129" s="50" t="n">
        <f aca="false">INDEX(Productos!$E$2:$E$13,MATCH($H129,Productos!$A$2:$A$13,0))*INDEX(Parametros!$B$26:$B$43,MATCH($C129,Parametros!$A$26:$A$43,0))</f>
        <v>17.2806</v>
      </c>
      <c r="R129" s="21" t="n">
        <f aca="false">L129*Q129</f>
        <v>2021.8302</v>
      </c>
      <c r="S129" s="18" t="n">
        <f aca="false">L129*INDEX(Parametros!$B$20:$B$22,MATCH($E129,Parametros!$A$20:$A$22,0))</f>
        <v>99.45</v>
      </c>
      <c r="T129" s="18" t="n">
        <f aca="false">P129*INDEX(Parametros!$B$13:$B$16,MATCH($F129,Parametros!$A$13:$A$16,0))</f>
        <v>124.15104</v>
      </c>
      <c r="U129" s="21" t="n">
        <f aca="false">P129-R129-S129-T129</f>
        <v>858.34476</v>
      </c>
      <c r="V129" s="19" t="n">
        <f aca="false">IFERROR(U129/P129,0)</f>
        <v>0.276548552472859</v>
      </c>
      <c r="W129" s="48" t="n">
        <f aca="false">B129+INDEX(Parametros!$C$13:$C$16,MATCH($F129,Parametros!$A$13:$A$16,0))</f>
        <v>45780</v>
      </c>
      <c r="X129" s="31" t="s">
        <v>67</v>
      </c>
      <c r="Y129" s="53" t="n">
        <f aca="false">IF(COUNTIF($A$2:$A129,A129)=1,1,0)</f>
        <v>1</v>
      </c>
    </row>
    <row r="130" customFormat="false" ht="15" hidden="false" customHeight="false" outlineLevel="0" collapsed="false">
      <c r="A130" s="31" t="s">
        <v>317</v>
      </c>
      <c r="B130" s="36" t="n">
        <v>45706</v>
      </c>
      <c r="C130" s="49" t="n">
        <f aca="false">DATE(YEAR(B130),MONTH(B130),1)</f>
        <v>45689</v>
      </c>
      <c r="D130" s="31" t="s">
        <v>193</v>
      </c>
      <c r="E130" s="31" t="s">
        <v>41</v>
      </c>
      <c r="F130" s="31" t="s">
        <v>45</v>
      </c>
      <c r="G130" s="31" t="s">
        <v>62</v>
      </c>
      <c r="H130" s="31" t="s">
        <v>165</v>
      </c>
      <c r="I130" s="32" t="str">
        <f aca="false">INDEX(Productos!$B$2:$B$13,MATCH($H130,Productos!$A$2:$A$13,0))</f>
        <v>Tornillo DIN 933 M8x40 rosca completa zincado</v>
      </c>
      <c r="J130" s="32" t="str">
        <f aca="false">INDEX(Productos!$C$2:$C$13,MATCH($H130,Productos!$A$2:$A$13,0))</f>
        <v>Métrica</v>
      </c>
      <c r="K130" s="31" t="s">
        <v>246</v>
      </c>
      <c r="L130" s="46" t="n">
        <v>304</v>
      </c>
      <c r="M130" s="50" t="n">
        <f aca="false">INDEX(Productos!$F$2:$F$13,MATCH($H130,Productos!$A$2:$A$13,0))</f>
        <v>37.5</v>
      </c>
      <c r="N130" s="51" t="n">
        <v>0.135</v>
      </c>
      <c r="O130" s="52" t="n">
        <f aca="false">M130*(1-N130)</f>
        <v>32.4375</v>
      </c>
      <c r="P130" s="21" t="n">
        <f aca="false">L130*O130</f>
        <v>9861</v>
      </c>
      <c r="Q130" s="50" t="n">
        <f aca="false">INDEX(Productos!$E$2:$E$13,MATCH($H130,Productos!$A$2:$A$13,0))*INDEX(Parametros!$B$26:$B$43,MATCH($C130,Parametros!$A$26:$A$43,0))</f>
        <v>20.1954</v>
      </c>
      <c r="R130" s="21" t="n">
        <f aca="false">L130*Q130</f>
        <v>6139.4016</v>
      </c>
      <c r="S130" s="18" t="n">
        <f aca="false">L130*INDEX(Parametros!$B$20:$B$22,MATCH($E130,Parametros!$A$20:$A$22,0))</f>
        <v>258.4</v>
      </c>
      <c r="T130" s="18" t="n">
        <f aca="false">P130*INDEX(Parametros!$B$13:$B$16,MATCH($F130,Parametros!$A$13:$A$16,0))</f>
        <v>295.83</v>
      </c>
      <c r="U130" s="21" t="n">
        <f aca="false">P130-R130-S130-T130</f>
        <v>3167.3684</v>
      </c>
      <c r="V130" s="19" t="n">
        <f aca="false">IFERROR(U130/P130,0)</f>
        <v>0.321201541425819</v>
      </c>
      <c r="W130" s="48" t="n">
        <f aca="false">B130+INDEX(Parametros!$C$13:$C$16,MATCH($F130,Parametros!$A$13:$A$16,0))</f>
        <v>45766</v>
      </c>
      <c r="X130" s="31" t="s">
        <v>67</v>
      </c>
      <c r="Y130" s="53" t="n">
        <f aca="false">IF(COUNTIF($A$2:$A130,A130)=1,1,0)</f>
        <v>1</v>
      </c>
    </row>
    <row r="131" customFormat="false" ht="15" hidden="false" customHeight="false" outlineLevel="0" collapsed="false">
      <c r="A131" s="31" t="s">
        <v>318</v>
      </c>
      <c r="B131" s="36" t="n">
        <v>45707</v>
      </c>
      <c r="C131" s="49" t="n">
        <f aca="false">DATE(YEAR(B131),MONTH(B131),1)</f>
        <v>45689</v>
      </c>
      <c r="D131" s="31" t="s">
        <v>204</v>
      </c>
      <c r="E131" s="31" t="s">
        <v>41</v>
      </c>
      <c r="F131" s="31" t="s">
        <v>47</v>
      </c>
      <c r="G131" s="31" t="s">
        <v>62</v>
      </c>
      <c r="H131" s="31" t="s">
        <v>169</v>
      </c>
      <c r="I131" s="32" t="str">
        <f aca="false">INDEX(Productos!$B$2:$B$13,MATCH($H131,Productos!$A$2:$A$13,0))</f>
        <v>Tornillo DIN 912 M10x60 Allen inox A2</v>
      </c>
      <c r="J131" s="32" t="str">
        <f aca="false">INDEX(Productos!$C$2:$C$13,MATCH($H131,Productos!$A$2:$A$13,0))</f>
        <v>Inoxidable</v>
      </c>
      <c r="K131" s="31" t="s">
        <v>246</v>
      </c>
      <c r="L131" s="46" t="n">
        <v>54</v>
      </c>
      <c r="M131" s="50" t="n">
        <f aca="false">INDEX(Productos!$F$2:$F$13,MATCH($H131,Productos!$A$2:$A$13,0))</f>
        <v>79</v>
      </c>
      <c r="N131" s="51" t="n">
        <v>0.066</v>
      </c>
      <c r="O131" s="52" t="n">
        <f aca="false">M131*(1-N131)</f>
        <v>73.786</v>
      </c>
      <c r="P131" s="21" t="n">
        <f aca="false">L131*O131</f>
        <v>3984.444</v>
      </c>
      <c r="Q131" s="50" t="n">
        <f aca="false">INDEX(Productos!$E$2:$E$13,MATCH($H131,Productos!$A$2:$A$13,0))*INDEX(Parametros!$B$26:$B$43,MATCH($C131,Parametros!$A$26:$A$43,0))</f>
        <v>43.722</v>
      </c>
      <c r="R131" s="21" t="n">
        <f aca="false">L131*Q131</f>
        <v>2360.988</v>
      </c>
      <c r="S131" s="18" t="n">
        <f aca="false">L131*INDEX(Parametros!$B$20:$B$22,MATCH($E131,Parametros!$A$20:$A$22,0))</f>
        <v>45.9</v>
      </c>
      <c r="T131" s="18" t="n">
        <f aca="false">P131*INDEX(Parametros!$B$13:$B$16,MATCH($F131,Parametros!$A$13:$A$16,0))</f>
        <v>139.45554</v>
      </c>
      <c r="U131" s="21" t="n">
        <f aca="false">P131-R131-S131-T131</f>
        <v>1438.10046</v>
      </c>
      <c r="V131" s="19" t="n">
        <f aca="false">IFERROR(U131/P131,0)</f>
        <v>0.360928766974765</v>
      </c>
      <c r="W131" s="48" t="n">
        <f aca="false">B131+INDEX(Parametros!$C$13:$C$16,MATCH($F131,Parametros!$A$13:$A$16,0))</f>
        <v>45752</v>
      </c>
      <c r="X131" s="31" t="s">
        <v>67</v>
      </c>
      <c r="Y131" s="53" t="n">
        <f aca="false">IF(COUNTIF($A$2:$A131,A131)=1,1,0)</f>
        <v>1</v>
      </c>
    </row>
    <row r="132" customFormat="false" ht="15" hidden="false" customHeight="false" outlineLevel="0" collapsed="false">
      <c r="A132" s="31" t="s">
        <v>318</v>
      </c>
      <c r="B132" s="36" t="n">
        <v>45707</v>
      </c>
      <c r="C132" s="49" t="n">
        <f aca="false">DATE(YEAR(B132),MONTH(B132),1)</f>
        <v>45689</v>
      </c>
      <c r="D132" s="31" t="s">
        <v>204</v>
      </c>
      <c r="E132" s="31" t="s">
        <v>41</v>
      </c>
      <c r="F132" s="31" t="s">
        <v>47</v>
      </c>
      <c r="G132" s="31" t="s">
        <v>62</v>
      </c>
      <c r="H132" s="31" t="s">
        <v>179</v>
      </c>
      <c r="I132" s="32" t="str">
        <f aca="false">INDEX(Productos!$B$2:$B$13,MATCH($H132,Productos!$A$2:$A$13,0))</f>
        <v>Autotaladrante DIN 7504 4,8x38 zincado</v>
      </c>
      <c r="J132" s="32" t="str">
        <f aca="false">INDEX(Productos!$C$2:$C$13,MATCH($H132,Productos!$A$2:$A$13,0))</f>
        <v>Autotaladrante</v>
      </c>
      <c r="K132" s="31" t="s">
        <v>246</v>
      </c>
      <c r="L132" s="46" t="n">
        <v>26</v>
      </c>
      <c r="M132" s="50" t="n">
        <f aca="false">INDEX(Productos!$F$2:$F$13,MATCH($H132,Productos!$A$2:$A$13,0))</f>
        <v>29.5</v>
      </c>
      <c r="N132" s="51" t="n">
        <v>0.065</v>
      </c>
      <c r="O132" s="52" t="n">
        <f aca="false">M132*(1-N132)</f>
        <v>27.5825</v>
      </c>
      <c r="P132" s="21" t="n">
        <f aca="false">L132*O132</f>
        <v>717.145</v>
      </c>
      <c r="Q132" s="50" t="n">
        <f aca="false">INDEX(Productos!$E$2:$E$13,MATCH($H132,Productos!$A$2:$A$13,0))*INDEX(Parametros!$B$26:$B$43,MATCH($C132,Parametros!$A$26:$A$43,0))</f>
        <v>15.8232</v>
      </c>
      <c r="R132" s="21" t="n">
        <f aca="false">L132*Q132</f>
        <v>411.4032</v>
      </c>
      <c r="S132" s="18" t="n">
        <f aca="false">L132*INDEX(Parametros!$B$20:$B$22,MATCH($E132,Parametros!$A$20:$A$22,0))</f>
        <v>22.1</v>
      </c>
      <c r="T132" s="18" t="n">
        <f aca="false">P132*INDEX(Parametros!$B$13:$B$16,MATCH($F132,Parametros!$A$13:$A$16,0))</f>
        <v>25.100075</v>
      </c>
      <c r="U132" s="21" t="n">
        <f aca="false">P132-R132-S132-T132</f>
        <v>258.541725</v>
      </c>
      <c r="V132" s="19" t="n">
        <f aca="false">IFERROR(U132/P132,0)</f>
        <v>0.360515272364724</v>
      </c>
      <c r="W132" s="48" t="n">
        <f aca="false">B132+INDEX(Parametros!$C$13:$C$16,MATCH($F132,Parametros!$A$13:$A$16,0))</f>
        <v>45752</v>
      </c>
      <c r="X132" s="31" t="s">
        <v>67</v>
      </c>
      <c r="Y132" s="53" t="n">
        <f aca="false">IF(COUNTIF($A$2:$A132,A132)=1,1,0)</f>
        <v>0</v>
      </c>
    </row>
    <row r="133" customFormat="false" ht="15" hidden="false" customHeight="false" outlineLevel="0" collapsed="false">
      <c r="A133" s="31" t="s">
        <v>318</v>
      </c>
      <c r="B133" s="36" t="n">
        <v>45707</v>
      </c>
      <c r="C133" s="49" t="n">
        <f aca="false">DATE(YEAR(B133),MONTH(B133),1)</f>
        <v>45689</v>
      </c>
      <c r="D133" s="31" t="s">
        <v>204</v>
      </c>
      <c r="E133" s="31" t="s">
        <v>41</v>
      </c>
      <c r="F133" s="31" t="s">
        <v>47</v>
      </c>
      <c r="G133" s="31" t="s">
        <v>62</v>
      </c>
      <c r="H133" s="31" t="s">
        <v>163</v>
      </c>
      <c r="I133" s="32" t="str">
        <f aca="false">INDEX(Productos!$B$2:$B$13,MATCH($H133,Productos!$A$2:$A$13,0))</f>
        <v>Tornillo DIN 933 M6x30 rosca completa zincado</v>
      </c>
      <c r="J133" s="32" t="str">
        <f aca="false">INDEX(Productos!$C$2:$C$13,MATCH($H133,Productos!$A$2:$A$13,0))</f>
        <v>Métrica</v>
      </c>
      <c r="K133" s="31" t="s">
        <v>246</v>
      </c>
      <c r="L133" s="46" t="n">
        <v>53</v>
      </c>
      <c r="M133" s="50" t="n">
        <f aca="false">INDEX(Productos!$F$2:$F$13,MATCH($H133,Productos!$A$2:$A$13,0))</f>
        <v>32</v>
      </c>
      <c r="N133" s="51" t="n">
        <v>0.069</v>
      </c>
      <c r="O133" s="52" t="n">
        <f aca="false">M133*(1-N133)</f>
        <v>29.792</v>
      </c>
      <c r="P133" s="21" t="n">
        <f aca="false">L133*O133</f>
        <v>1578.976</v>
      </c>
      <c r="Q133" s="50" t="n">
        <f aca="false">INDEX(Productos!$E$2:$E$13,MATCH($H133,Productos!$A$2:$A$13,0))*INDEX(Parametros!$B$26:$B$43,MATCH($C133,Parametros!$A$26:$A$43,0))</f>
        <v>17.2806</v>
      </c>
      <c r="R133" s="21" t="n">
        <f aca="false">L133*Q133</f>
        <v>915.8718</v>
      </c>
      <c r="S133" s="18" t="n">
        <f aca="false">L133*INDEX(Parametros!$B$20:$B$22,MATCH($E133,Parametros!$A$20:$A$22,0))</f>
        <v>45.05</v>
      </c>
      <c r="T133" s="18" t="n">
        <f aca="false">P133*INDEX(Parametros!$B$13:$B$16,MATCH($F133,Parametros!$A$13:$A$16,0))</f>
        <v>55.26416</v>
      </c>
      <c r="U133" s="21" t="n">
        <f aca="false">P133-R133-S133-T133</f>
        <v>562.79004</v>
      </c>
      <c r="V133" s="19" t="n">
        <f aca="false">IFERROR(U133/P133,0)</f>
        <v>0.356427228786251</v>
      </c>
      <c r="W133" s="48" t="n">
        <f aca="false">B133+INDEX(Parametros!$C$13:$C$16,MATCH($F133,Parametros!$A$13:$A$16,0))</f>
        <v>45752</v>
      </c>
      <c r="X133" s="31" t="s">
        <v>67</v>
      </c>
      <c r="Y133" s="53" t="n">
        <f aca="false">IF(COUNTIF($A$2:$A133,A133)=1,1,0)</f>
        <v>0</v>
      </c>
    </row>
    <row r="134" customFormat="false" ht="15" hidden="false" customHeight="false" outlineLevel="0" collapsed="false">
      <c r="A134" s="31" t="s">
        <v>319</v>
      </c>
      <c r="B134" s="36" t="n">
        <v>45707</v>
      </c>
      <c r="C134" s="49" t="n">
        <f aca="false">DATE(YEAR(B134),MONTH(B134),1)</f>
        <v>45689</v>
      </c>
      <c r="D134" s="31" t="s">
        <v>192</v>
      </c>
      <c r="E134" s="31" t="s">
        <v>41</v>
      </c>
      <c r="F134" s="31" t="s">
        <v>45</v>
      </c>
      <c r="G134" s="31" t="s">
        <v>58</v>
      </c>
      <c r="H134" s="31" t="s">
        <v>177</v>
      </c>
      <c r="I134" s="32" t="str">
        <f aca="false">INDEX(Productos!$B$2:$B$13,MATCH($H134,Productos!$A$2:$A$13,0))</f>
        <v>Tirafondo madera 6x100 cabeza plana Torx</v>
      </c>
      <c r="J134" s="32" t="str">
        <f aca="false">INDEX(Productos!$C$2:$C$13,MATCH($H134,Productos!$A$2:$A$13,0))</f>
        <v>Madera</v>
      </c>
      <c r="K134" s="31" t="s">
        <v>246</v>
      </c>
      <c r="L134" s="46" t="n">
        <v>37</v>
      </c>
      <c r="M134" s="50" t="n">
        <f aca="false">INDEX(Productos!$F$2:$F$13,MATCH($H134,Productos!$A$2:$A$13,0))</f>
        <v>34</v>
      </c>
      <c r="N134" s="51" t="n">
        <v>0.18</v>
      </c>
      <c r="O134" s="52" t="n">
        <f aca="false">M134*(1-N134)</f>
        <v>27.88</v>
      </c>
      <c r="P134" s="21" t="n">
        <f aca="false">L134*O134</f>
        <v>1031.56</v>
      </c>
      <c r="Q134" s="50" t="n">
        <f aca="false">INDEX(Productos!$E$2:$E$13,MATCH($H134,Productos!$A$2:$A$13,0))*INDEX(Parametros!$B$26:$B$43,MATCH($C134,Parametros!$A$26:$A$43,0))</f>
        <v>18.5298</v>
      </c>
      <c r="R134" s="21" t="n">
        <f aca="false">L134*Q134</f>
        <v>685.6026</v>
      </c>
      <c r="S134" s="18" t="n">
        <f aca="false">L134*INDEX(Parametros!$B$20:$B$22,MATCH($E134,Parametros!$A$20:$A$22,0))</f>
        <v>31.45</v>
      </c>
      <c r="T134" s="18" t="n">
        <f aca="false">P134*INDEX(Parametros!$B$13:$B$16,MATCH($F134,Parametros!$A$13:$A$16,0))</f>
        <v>30.9468</v>
      </c>
      <c r="U134" s="21" t="n">
        <f aca="false">P134-R134-S134-T134</f>
        <v>283.5606</v>
      </c>
      <c r="V134" s="19" t="n">
        <f aca="false">IFERROR(U134/P134,0)</f>
        <v>0.274885222381636</v>
      </c>
      <c r="W134" s="48" t="n">
        <f aca="false">B134+INDEX(Parametros!$C$13:$C$16,MATCH($F134,Parametros!$A$13:$A$16,0))</f>
        <v>45767</v>
      </c>
      <c r="X134" s="31" t="s">
        <v>67</v>
      </c>
      <c r="Y134" s="53" t="n">
        <f aca="false">IF(COUNTIF($A$2:$A134,A134)=1,1,0)</f>
        <v>1</v>
      </c>
    </row>
    <row r="135" customFormat="false" ht="15" hidden="false" customHeight="false" outlineLevel="0" collapsed="false">
      <c r="A135" s="31" t="s">
        <v>320</v>
      </c>
      <c r="B135" s="36" t="n">
        <v>45708</v>
      </c>
      <c r="C135" s="49" t="n">
        <f aca="false">DATE(YEAR(B135),MONTH(B135),1)</f>
        <v>45689</v>
      </c>
      <c r="D135" s="31" t="s">
        <v>224</v>
      </c>
      <c r="E135" s="31" t="s">
        <v>43</v>
      </c>
      <c r="F135" s="31" t="s">
        <v>45</v>
      </c>
      <c r="G135" s="31" t="s">
        <v>59</v>
      </c>
      <c r="H135" s="31" t="s">
        <v>185</v>
      </c>
      <c r="I135" s="32" t="str">
        <f aca="false">INDEX(Productos!$B$2:$B$13,MATCH($H135,Productos!$A$2:$A$13,0))</f>
        <v>Varilla roscada M10 x 1 m zincada</v>
      </c>
      <c r="J135" s="32" t="str">
        <f aca="false">INDEX(Productos!$C$2:$C$13,MATCH($H135,Productos!$A$2:$A$13,0))</f>
        <v>Especial</v>
      </c>
      <c r="K135" s="31" t="s">
        <v>246</v>
      </c>
      <c r="L135" s="46" t="n">
        <v>142</v>
      </c>
      <c r="M135" s="50" t="n">
        <f aca="false">INDEX(Productos!$F$2:$F$13,MATCH($H135,Productos!$A$2:$A$13,0))</f>
        <v>54</v>
      </c>
      <c r="N135" s="51" t="n">
        <v>0.152</v>
      </c>
      <c r="O135" s="52" t="n">
        <f aca="false">M135*(1-N135)</f>
        <v>45.792</v>
      </c>
      <c r="P135" s="21" t="n">
        <f aca="false">L135*O135</f>
        <v>6502.464</v>
      </c>
      <c r="Q135" s="50" t="n">
        <f aca="false">INDEX(Productos!$E$2:$E$13,MATCH($H135,Productos!$A$2:$A$13,0))*INDEX(Parametros!$B$26:$B$43,MATCH($C135,Parametros!$A$26:$A$43,0))</f>
        <v>29.6685</v>
      </c>
      <c r="R135" s="21" t="n">
        <f aca="false">L135*Q135</f>
        <v>4212.927</v>
      </c>
      <c r="S135" s="18" t="n">
        <f aca="false">L135*INDEX(Parametros!$B$20:$B$22,MATCH($E135,Parametros!$A$20:$A$22,0))</f>
        <v>269.8</v>
      </c>
      <c r="T135" s="18" t="n">
        <f aca="false">P135*INDEX(Parametros!$B$13:$B$16,MATCH($F135,Parametros!$A$13:$A$16,0))</f>
        <v>195.07392</v>
      </c>
      <c r="U135" s="21" t="n">
        <f aca="false">P135-R135-S135-T135</f>
        <v>1824.66308</v>
      </c>
      <c r="V135" s="19" t="n">
        <f aca="false">IFERROR(U135/P135,0)</f>
        <v>0.280611023759609</v>
      </c>
      <c r="W135" s="48" t="n">
        <f aca="false">B135+INDEX(Parametros!$C$13:$C$16,MATCH($F135,Parametros!$A$13:$A$16,0))</f>
        <v>45768</v>
      </c>
      <c r="X135" s="31" t="s">
        <v>67</v>
      </c>
      <c r="Y135" s="53" t="n">
        <f aca="false">IF(COUNTIF($A$2:$A135,A135)=1,1,0)</f>
        <v>1</v>
      </c>
    </row>
    <row r="136" customFormat="false" ht="15" hidden="false" customHeight="false" outlineLevel="0" collapsed="false">
      <c r="A136" s="31" t="s">
        <v>321</v>
      </c>
      <c r="B136" s="36" t="n">
        <v>45709</v>
      </c>
      <c r="C136" s="49" t="n">
        <f aca="false">DATE(YEAR(B136),MONTH(B136),1)</f>
        <v>45689</v>
      </c>
      <c r="D136" s="31" t="s">
        <v>227</v>
      </c>
      <c r="E136" s="31" t="s">
        <v>43</v>
      </c>
      <c r="F136" s="31" t="s">
        <v>46</v>
      </c>
      <c r="G136" s="31" t="s">
        <v>59</v>
      </c>
      <c r="H136" s="31" t="s">
        <v>185</v>
      </c>
      <c r="I136" s="32" t="str">
        <f aca="false">INDEX(Productos!$B$2:$B$13,MATCH($H136,Productos!$A$2:$A$13,0))</f>
        <v>Varilla roscada M10 x 1 m zincada</v>
      </c>
      <c r="J136" s="32" t="str">
        <f aca="false">INDEX(Productos!$C$2:$C$13,MATCH($H136,Productos!$A$2:$A$13,0))</f>
        <v>Especial</v>
      </c>
      <c r="K136" s="31" t="s">
        <v>246</v>
      </c>
      <c r="L136" s="46" t="n">
        <v>280</v>
      </c>
      <c r="M136" s="50" t="n">
        <f aca="false">INDEX(Productos!$F$2:$F$13,MATCH($H136,Productos!$A$2:$A$13,0))</f>
        <v>54</v>
      </c>
      <c r="N136" s="51" t="n">
        <v>0.126</v>
      </c>
      <c r="O136" s="52" t="n">
        <f aca="false">M136*(1-N136)</f>
        <v>47.196</v>
      </c>
      <c r="P136" s="21" t="n">
        <f aca="false">L136*O136</f>
        <v>13214.88</v>
      </c>
      <c r="Q136" s="50" t="n">
        <f aca="false">INDEX(Productos!$E$2:$E$13,MATCH($H136,Productos!$A$2:$A$13,0))*INDEX(Parametros!$B$26:$B$43,MATCH($C136,Parametros!$A$26:$A$43,0))</f>
        <v>29.6685</v>
      </c>
      <c r="R136" s="21" t="n">
        <f aca="false">L136*Q136</f>
        <v>8307.18</v>
      </c>
      <c r="S136" s="18" t="n">
        <f aca="false">L136*INDEX(Parametros!$B$20:$B$22,MATCH($E136,Parametros!$A$20:$A$22,0))</f>
        <v>532</v>
      </c>
      <c r="T136" s="18" t="n">
        <f aca="false">P136*INDEX(Parametros!$B$13:$B$16,MATCH($F136,Parametros!$A$13:$A$16,0))</f>
        <v>528.5952</v>
      </c>
      <c r="U136" s="21" t="n">
        <f aca="false">P136-R136-S136-T136</f>
        <v>3847.1048</v>
      </c>
      <c r="V136" s="19" t="n">
        <f aca="false">IFERROR(U136/P136,0)</f>
        <v>0.291119162640902</v>
      </c>
      <c r="W136" s="48" t="n">
        <f aca="false">B136+INDEX(Parametros!$C$13:$C$16,MATCH($F136,Parametros!$A$13:$A$16,0))</f>
        <v>45784</v>
      </c>
      <c r="X136" s="31" t="s">
        <v>67</v>
      </c>
      <c r="Y136" s="53" t="n">
        <f aca="false">IF(COUNTIF($A$2:$A136,A136)=1,1,0)</f>
        <v>1</v>
      </c>
    </row>
    <row r="137" customFormat="false" ht="15" hidden="false" customHeight="false" outlineLevel="0" collapsed="false">
      <c r="A137" s="31" t="s">
        <v>321</v>
      </c>
      <c r="B137" s="36" t="n">
        <v>45709</v>
      </c>
      <c r="C137" s="49" t="n">
        <f aca="false">DATE(YEAR(B137),MONTH(B137),1)</f>
        <v>45689</v>
      </c>
      <c r="D137" s="31" t="s">
        <v>227</v>
      </c>
      <c r="E137" s="31" t="s">
        <v>43</v>
      </c>
      <c r="F137" s="31" t="s">
        <v>46</v>
      </c>
      <c r="G137" s="31" t="s">
        <v>59</v>
      </c>
      <c r="H137" s="31" t="s">
        <v>179</v>
      </c>
      <c r="I137" s="32" t="str">
        <f aca="false">INDEX(Productos!$B$2:$B$13,MATCH($H137,Productos!$A$2:$A$13,0))</f>
        <v>Autotaladrante DIN 7504 4,8x38 zincado</v>
      </c>
      <c r="J137" s="32" t="str">
        <f aca="false">INDEX(Productos!$C$2:$C$13,MATCH($H137,Productos!$A$2:$A$13,0))</f>
        <v>Autotaladrante</v>
      </c>
      <c r="K137" s="31" t="s">
        <v>246</v>
      </c>
      <c r="L137" s="46" t="n">
        <v>96</v>
      </c>
      <c r="M137" s="50" t="n">
        <f aca="false">INDEX(Productos!$F$2:$F$13,MATCH($H137,Productos!$A$2:$A$13,0))</f>
        <v>29.5</v>
      </c>
      <c r="N137" s="51" t="n">
        <v>0.127</v>
      </c>
      <c r="O137" s="52" t="n">
        <f aca="false">M137*(1-N137)</f>
        <v>25.7535</v>
      </c>
      <c r="P137" s="21" t="n">
        <f aca="false">L137*O137</f>
        <v>2472.336</v>
      </c>
      <c r="Q137" s="50" t="n">
        <f aca="false">INDEX(Productos!$E$2:$E$13,MATCH($H137,Productos!$A$2:$A$13,0))*INDEX(Parametros!$B$26:$B$43,MATCH($C137,Parametros!$A$26:$A$43,0))</f>
        <v>15.8232</v>
      </c>
      <c r="R137" s="21" t="n">
        <f aca="false">L137*Q137</f>
        <v>1519.0272</v>
      </c>
      <c r="S137" s="18" t="n">
        <f aca="false">L137*INDEX(Parametros!$B$20:$B$22,MATCH($E137,Parametros!$A$20:$A$22,0))</f>
        <v>182.4</v>
      </c>
      <c r="T137" s="18" t="n">
        <f aca="false">P137*INDEX(Parametros!$B$13:$B$16,MATCH($F137,Parametros!$A$13:$A$16,0))</f>
        <v>98.89344</v>
      </c>
      <c r="U137" s="21" t="n">
        <f aca="false">P137-R137-S137-T137</f>
        <v>672.01536</v>
      </c>
      <c r="V137" s="19" t="n">
        <f aca="false">IFERROR(U137/P137,0)</f>
        <v>0.271813928203934</v>
      </c>
      <c r="W137" s="48" t="n">
        <f aca="false">B137+INDEX(Parametros!$C$13:$C$16,MATCH($F137,Parametros!$A$13:$A$16,0))</f>
        <v>45784</v>
      </c>
      <c r="X137" s="31" t="s">
        <v>67</v>
      </c>
      <c r="Y137" s="53" t="n">
        <f aca="false">IF(COUNTIF($A$2:$A137,A137)=1,1,0)</f>
        <v>0</v>
      </c>
    </row>
    <row r="138" customFormat="false" ht="15" hidden="false" customHeight="false" outlineLevel="0" collapsed="false">
      <c r="A138" s="31" t="s">
        <v>321</v>
      </c>
      <c r="B138" s="36" t="n">
        <v>45709</v>
      </c>
      <c r="C138" s="49" t="n">
        <f aca="false">DATE(YEAR(B138),MONTH(B138),1)</f>
        <v>45689</v>
      </c>
      <c r="D138" s="31" t="s">
        <v>227</v>
      </c>
      <c r="E138" s="31" t="s">
        <v>43</v>
      </c>
      <c r="F138" s="31" t="s">
        <v>46</v>
      </c>
      <c r="G138" s="31" t="s">
        <v>59</v>
      </c>
      <c r="H138" s="31" t="s">
        <v>173</v>
      </c>
      <c r="I138" s="32" t="str">
        <f aca="false">INDEX(Productos!$B$2:$B$13,MATCH($H138,Productos!$A$2:$A$13,0))</f>
        <v>Tornillo DIN 933 M12x70 clase 8.8</v>
      </c>
      <c r="J138" s="32" t="str">
        <f aca="false">INDEX(Productos!$C$2:$C$13,MATCH($H138,Productos!$A$2:$A$13,0))</f>
        <v>Métrica</v>
      </c>
      <c r="K138" s="31" t="s">
        <v>246</v>
      </c>
      <c r="L138" s="46" t="n">
        <v>37</v>
      </c>
      <c r="M138" s="50" t="n">
        <f aca="false">INDEX(Productos!$F$2:$F$13,MATCH($H138,Productos!$A$2:$A$13,0))</f>
        <v>64</v>
      </c>
      <c r="N138" s="51" t="n">
        <v>0.106</v>
      </c>
      <c r="O138" s="52" t="n">
        <f aca="false">M138*(1-N138)</f>
        <v>57.216</v>
      </c>
      <c r="P138" s="21" t="n">
        <f aca="false">L138*O138</f>
        <v>2116.992</v>
      </c>
      <c r="Q138" s="50" t="n">
        <f aca="false">INDEX(Productos!$E$2:$E$13,MATCH($H138,Productos!$A$2:$A$13,0))*INDEX(Parametros!$B$26:$B$43,MATCH($C138,Parametros!$A$26:$A$43,0))</f>
        <v>34.8735</v>
      </c>
      <c r="R138" s="21" t="n">
        <f aca="false">L138*Q138</f>
        <v>1290.3195</v>
      </c>
      <c r="S138" s="18" t="n">
        <f aca="false">L138*INDEX(Parametros!$B$20:$B$22,MATCH($E138,Parametros!$A$20:$A$22,0))</f>
        <v>70.3</v>
      </c>
      <c r="T138" s="18" t="n">
        <f aca="false">P138*INDEX(Parametros!$B$13:$B$16,MATCH($F138,Parametros!$A$13:$A$16,0))</f>
        <v>84.67968</v>
      </c>
      <c r="U138" s="21" t="n">
        <f aca="false">P138-R138-S138-T138</f>
        <v>671.69282</v>
      </c>
      <c r="V138" s="19" t="n">
        <f aca="false">IFERROR(U138/P138,0)</f>
        <v>0.317286423378076</v>
      </c>
      <c r="W138" s="48" t="n">
        <f aca="false">B138+INDEX(Parametros!$C$13:$C$16,MATCH($F138,Parametros!$A$13:$A$16,0))</f>
        <v>45784</v>
      </c>
      <c r="X138" s="31" t="s">
        <v>67</v>
      </c>
      <c r="Y138" s="53" t="n">
        <f aca="false">IF(COUNTIF($A$2:$A138,A138)=1,1,0)</f>
        <v>0</v>
      </c>
    </row>
    <row r="139" customFormat="false" ht="15" hidden="false" customHeight="false" outlineLevel="0" collapsed="false">
      <c r="A139" s="31" t="s">
        <v>322</v>
      </c>
      <c r="B139" s="36" t="n">
        <v>45712</v>
      </c>
      <c r="C139" s="49" t="n">
        <f aca="false">DATE(YEAR(B139),MONTH(B139),1)</f>
        <v>45689</v>
      </c>
      <c r="D139" s="31" t="s">
        <v>194</v>
      </c>
      <c r="E139" s="31" t="s">
        <v>41</v>
      </c>
      <c r="F139" s="31" t="s">
        <v>46</v>
      </c>
      <c r="G139" s="31" t="s">
        <v>58</v>
      </c>
      <c r="H139" s="31" t="s">
        <v>173</v>
      </c>
      <c r="I139" s="32" t="str">
        <f aca="false">INDEX(Productos!$B$2:$B$13,MATCH($H139,Productos!$A$2:$A$13,0))</f>
        <v>Tornillo DIN 933 M12x70 clase 8.8</v>
      </c>
      <c r="J139" s="32" t="str">
        <f aca="false">INDEX(Productos!$C$2:$C$13,MATCH($H139,Productos!$A$2:$A$13,0))</f>
        <v>Métrica</v>
      </c>
      <c r="K139" s="31" t="s">
        <v>275</v>
      </c>
      <c r="L139" s="46" t="n">
        <v>-15</v>
      </c>
      <c r="M139" s="50" t="n">
        <f aca="false">INDEX(Productos!$F$2:$F$13,MATCH($H139,Productos!$A$2:$A$13,0))</f>
        <v>64</v>
      </c>
      <c r="N139" s="51" t="n">
        <v>0.127</v>
      </c>
      <c r="O139" s="52" t="n">
        <f aca="false">M139*(1-N139)</f>
        <v>55.872</v>
      </c>
      <c r="P139" s="21" t="n">
        <f aca="false">L139*O139</f>
        <v>-838.08</v>
      </c>
      <c r="Q139" s="50" t="n">
        <f aca="false">INDEX(Productos!$E$2:$E$13,MATCH($H139,Productos!$A$2:$A$13,0))*INDEX(Parametros!$B$26:$B$43,MATCH($C139,Parametros!$A$26:$A$43,0))</f>
        <v>34.8735</v>
      </c>
      <c r="R139" s="21" t="n">
        <f aca="false">L139*Q139</f>
        <v>-523.1025</v>
      </c>
      <c r="S139" s="18" t="n">
        <f aca="false">L139*INDEX(Parametros!$B$20:$B$22,MATCH($E139,Parametros!$A$20:$A$22,0))</f>
        <v>-12.75</v>
      </c>
      <c r="T139" s="18" t="n">
        <f aca="false">P139*INDEX(Parametros!$B$13:$B$16,MATCH($F139,Parametros!$A$13:$A$16,0))</f>
        <v>-33.5232</v>
      </c>
      <c r="U139" s="21" t="n">
        <f aca="false">P139-R139-S139-T139</f>
        <v>-268.7043</v>
      </c>
      <c r="V139" s="19" t="n">
        <f aca="false">IFERROR(U139/P139,0)</f>
        <v>0.320618914662085</v>
      </c>
      <c r="W139" s="48" t="n">
        <f aca="false">B139+INDEX(Parametros!$C$13:$C$16,MATCH($F139,Parametros!$A$13:$A$16,0))</f>
        <v>45787</v>
      </c>
      <c r="X139" s="31" t="s">
        <v>67</v>
      </c>
      <c r="Y139" s="53" t="n">
        <f aca="false">IF(COUNTIF($A$2:$A139,A139)=1,1,0)</f>
        <v>1</v>
      </c>
    </row>
    <row r="140" customFormat="false" ht="15" hidden="false" customHeight="false" outlineLevel="0" collapsed="false">
      <c r="A140" s="31" t="s">
        <v>322</v>
      </c>
      <c r="B140" s="36" t="n">
        <v>45712</v>
      </c>
      <c r="C140" s="49" t="n">
        <f aca="false">DATE(YEAR(B140),MONTH(B140),1)</f>
        <v>45689</v>
      </c>
      <c r="D140" s="31" t="s">
        <v>194</v>
      </c>
      <c r="E140" s="31" t="s">
        <v>41</v>
      </c>
      <c r="F140" s="31" t="s">
        <v>46</v>
      </c>
      <c r="G140" s="31" t="s">
        <v>58</v>
      </c>
      <c r="H140" s="31" t="s">
        <v>181</v>
      </c>
      <c r="I140" s="32" t="str">
        <f aca="false">INDEX(Productos!$B$2:$B$13,MATCH($H140,Productos!$A$2:$A$13,0))</f>
        <v>Autotaladrante 5,5x55 punta broca</v>
      </c>
      <c r="J140" s="32" t="str">
        <f aca="false">INDEX(Productos!$C$2:$C$13,MATCH($H140,Productos!$A$2:$A$13,0))</f>
        <v>Autotaladrante</v>
      </c>
      <c r="K140" s="31" t="s">
        <v>275</v>
      </c>
      <c r="L140" s="46" t="n">
        <v>-9</v>
      </c>
      <c r="M140" s="50" t="n">
        <f aca="false">INDEX(Productos!$F$2:$F$13,MATCH($H140,Productos!$A$2:$A$13,0))</f>
        <v>39</v>
      </c>
      <c r="N140" s="51" t="n">
        <v>0.142</v>
      </c>
      <c r="O140" s="52" t="n">
        <f aca="false">M140*(1-N140)</f>
        <v>33.462</v>
      </c>
      <c r="P140" s="21" t="n">
        <f aca="false">L140*O140</f>
        <v>-301.158</v>
      </c>
      <c r="Q140" s="50" t="n">
        <f aca="false">INDEX(Productos!$E$2:$E$13,MATCH($H140,Productos!$A$2:$A$13,0))*INDEX(Parametros!$B$26:$B$43,MATCH($C140,Parametros!$A$26:$A$43,0))</f>
        <v>21.1323</v>
      </c>
      <c r="R140" s="21" t="n">
        <f aca="false">L140*Q140</f>
        <v>-190.1907</v>
      </c>
      <c r="S140" s="18" t="n">
        <f aca="false">L140*INDEX(Parametros!$B$20:$B$22,MATCH($E140,Parametros!$A$20:$A$22,0))</f>
        <v>-7.65</v>
      </c>
      <c r="T140" s="18" t="n">
        <f aca="false">P140*INDEX(Parametros!$B$13:$B$16,MATCH($F140,Parametros!$A$13:$A$16,0))</f>
        <v>-12.04632</v>
      </c>
      <c r="U140" s="21" t="n">
        <f aca="false">P140-R140-S140-T140</f>
        <v>-91.27098</v>
      </c>
      <c r="V140" s="19" t="n">
        <f aca="false">IFERROR(U140/P140,0)</f>
        <v>0.303066762297531</v>
      </c>
      <c r="W140" s="48" t="n">
        <f aca="false">B140+INDEX(Parametros!$C$13:$C$16,MATCH($F140,Parametros!$A$13:$A$16,0))</f>
        <v>45787</v>
      </c>
      <c r="X140" s="31" t="s">
        <v>67</v>
      </c>
      <c r="Y140" s="53" t="n">
        <f aca="false">IF(COUNTIF($A$2:$A140,A140)=1,1,0)</f>
        <v>0</v>
      </c>
    </row>
    <row r="141" customFormat="false" ht="15" hidden="false" customHeight="false" outlineLevel="0" collapsed="false">
      <c r="A141" s="31" t="s">
        <v>323</v>
      </c>
      <c r="B141" s="36" t="n">
        <v>45712</v>
      </c>
      <c r="C141" s="49" t="n">
        <f aca="false">DATE(YEAR(B141),MONTH(B141),1)</f>
        <v>45689</v>
      </c>
      <c r="D141" s="31" t="s">
        <v>204</v>
      </c>
      <c r="E141" s="31" t="s">
        <v>41</v>
      </c>
      <c r="F141" s="31" t="s">
        <v>47</v>
      </c>
      <c r="G141" s="31" t="s">
        <v>62</v>
      </c>
      <c r="H141" s="31" t="s">
        <v>179</v>
      </c>
      <c r="I141" s="32" t="str">
        <f aca="false">INDEX(Productos!$B$2:$B$13,MATCH($H141,Productos!$A$2:$A$13,0))</f>
        <v>Autotaladrante DIN 7504 4,8x38 zincado</v>
      </c>
      <c r="J141" s="32" t="str">
        <f aca="false">INDEX(Productos!$C$2:$C$13,MATCH($H141,Productos!$A$2:$A$13,0))</f>
        <v>Autotaladrante</v>
      </c>
      <c r="K141" s="31" t="s">
        <v>246</v>
      </c>
      <c r="L141" s="46" t="n">
        <v>156</v>
      </c>
      <c r="M141" s="50" t="n">
        <f aca="false">INDEX(Productos!$F$2:$F$13,MATCH($H141,Productos!$A$2:$A$13,0))</f>
        <v>29.5</v>
      </c>
      <c r="N141" s="51" t="n">
        <v>0.041</v>
      </c>
      <c r="O141" s="52" t="n">
        <f aca="false">M141*(1-N141)</f>
        <v>28.2905</v>
      </c>
      <c r="P141" s="21" t="n">
        <f aca="false">L141*O141</f>
        <v>4413.318</v>
      </c>
      <c r="Q141" s="50" t="n">
        <f aca="false">INDEX(Productos!$E$2:$E$13,MATCH($H141,Productos!$A$2:$A$13,0))*INDEX(Parametros!$B$26:$B$43,MATCH($C141,Parametros!$A$26:$A$43,0))</f>
        <v>15.8232</v>
      </c>
      <c r="R141" s="21" t="n">
        <f aca="false">L141*Q141</f>
        <v>2468.4192</v>
      </c>
      <c r="S141" s="18" t="n">
        <f aca="false">L141*INDEX(Parametros!$B$20:$B$22,MATCH($E141,Parametros!$A$20:$A$22,0))</f>
        <v>132.6</v>
      </c>
      <c r="T141" s="18" t="n">
        <f aca="false">P141*INDEX(Parametros!$B$13:$B$16,MATCH($F141,Parametros!$A$13:$A$16,0))</f>
        <v>154.46613</v>
      </c>
      <c r="U141" s="21" t="n">
        <f aca="false">P141-R141-S141-T141</f>
        <v>1657.83267</v>
      </c>
      <c r="V141" s="19" t="n">
        <f aca="false">IFERROR(U141/P141,0)</f>
        <v>0.375643148760184</v>
      </c>
      <c r="W141" s="48" t="n">
        <f aca="false">B141+INDEX(Parametros!$C$13:$C$16,MATCH($F141,Parametros!$A$13:$A$16,0))</f>
        <v>45757</v>
      </c>
      <c r="X141" s="31" t="s">
        <v>67</v>
      </c>
      <c r="Y141" s="53" t="n">
        <f aca="false">IF(COUNTIF($A$2:$A141,A141)=1,1,0)</f>
        <v>1</v>
      </c>
    </row>
    <row r="142" customFormat="false" ht="15" hidden="false" customHeight="false" outlineLevel="0" collapsed="false">
      <c r="A142" s="31" t="s">
        <v>324</v>
      </c>
      <c r="B142" s="36" t="n">
        <v>45712</v>
      </c>
      <c r="C142" s="49" t="n">
        <f aca="false">DATE(YEAR(B142),MONTH(B142),1)</f>
        <v>45689</v>
      </c>
      <c r="D142" s="31" t="s">
        <v>209</v>
      </c>
      <c r="E142" s="31" t="s">
        <v>41</v>
      </c>
      <c r="F142" s="31" t="s">
        <v>45</v>
      </c>
      <c r="G142" s="31" t="s">
        <v>62</v>
      </c>
      <c r="H142" s="31" t="s">
        <v>185</v>
      </c>
      <c r="I142" s="32" t="str">
        <f aca="false">INDEX(Productos!$B$2:$B$13,MATCH($H142,Productos!$A$2:$A$13,0))</f>
        <v>Varilla roscada M10 x 1 m zincada</v>
      </c>
      <c r="J142" s="32" t="str">
        <f aca="false">INDEX(Productos!$C$2:$C$13,MATCH($H142,Productos!$A$2:$A$13,0))</f>
        <v>Especial</v>
      </c>
      <c r="K142" s="31" t="s">
        <v>246</v>
      </c>
      <c r="L142" s="46" t="n">
        <v>142</v>
      </c>
      <c r="M142" s="50" t="n">
        <f aca="false">INDEX(Productos!$F$2:$F$13,MATCH($H142,Productos!$A$2:$A$13,0))</f>
        <v>54</v>
      </c>
      <c r="N142" s="51" t="n">
        <v>0.169</v>
      </c>
      <c r="O142" s="52" t="n">
        <f aca="false">M142*(1-N142)</f>
        <v>44.874</v>
      </c>
      <c r="P142" s="21" t="n">
        <f aca="false">L142*O142</f>
        <v>6372.108</v>
      </c>
      <c r="Q142" s="50" t="n">
        <f aca="false">INDEX(Productos!$E$2:$E$13,MATCH($H142,Productos!$A$2:$A$13,0))*INDEX(Parametros!$B$26:$B$43,MATCH($C142,Parametros!$A$26:$A$43,0))</f>
        <v>29.6685</v>
      </c>
      <c r="R142" s="21" t="n">
        <f aca="false">L142*Q142</f>
        <v>4212.927</v>
      </c>
      <c r="S142" s="18" t="n">
        <f aca="false">L142*INDEX(Parametros!$B$20:$B$22,MATCH($E142,Parametros!$A$20:$A$22,0))</f>
        <v>120.7</v>
      </c>
      <c r="T142" s="18" t="n">
        <f aca="false">P142*INDEX(Parametros!$B$13:$B$16,MATCH($F142,Parametros!$A$13:$A$16,0))</f>
        <v>191.16324</v>
      </c>
      <c r="U142" s="21" t="n">
        <f aca="false">P142-R142-S142-T142</f>
        <v>1847.31776</v>
      </c>
      <c r="V142" s="19" t="n">
        <f aca="false">IFERROR(U142/P142,0)</f>
        <v>0.289906850291929</v>
      </c>
      <c r="W142" s="48" t="n">
        <f aca="false">B142+INDEX(Parametros!$C$13:$C$16,MATCH($F142,Parametros!$A$13:$A$16,0))</f>
        <v>45772</v>
      </c>
      <c r="X142" s="31" t="s">
        <v>69</v>
      </c>
      <c r="Y142" s="53" t="n">
        <f aca="false">IF(COUNTIF($A$2:$A142,A142)=1,1,0)</f>
        <v>1</v>
      </c>
    </row>
    <row r="143" customFormat="false" ht="15" hidden="false" customHeight="false" outlineLevel="0" collapsed="false">
      <c r="A143" s="31" t="s">
        <v>324</v>
      </c>
      <c r="B143" s="36" t="n">
        <v>45712</v>
      </c>
      <c r="C143" s="49" t="n">
        <f aca="false">DATE(YEAR(B143),MONTH(B143),1)</f>
        <v>45689</v>
      </c>
      <c r="D143" s="31" t="s">
        <v>209</v>
      </c>
      <c r="E143" s="31" t="s">
        <v>41</v>
      </c>
      <c r="F143" s="31" t="s">
        <v>45</v>
      </c>
      <c r="G143" s="31" t="s">
        <v>62</v>
      </c>
      <c r="H143" s="31" t="s">
        <v>181</v>
      </c>
      <c r="I143" s="32" t="str">
        <f aca="false">INDEX(Productos!$B$2:$B$13,MATCH($H143,Productos!$A$2:$A$13,0))</f>
        <v>Autotaladrante 5,5x55 punta broca</v>
      </c>
      <c r="J143" s="32" t="str">
        <f aca="false">INDEX(Productos!$C$2:$C$13,MATCH($H143,Productos!$A$2:$A$13,0))</f>
        <v>Autotaladrante</v>
      </c>
      <c r="K143" s="31" t="s">
        <v>246</v>
      </c>
      <c r="L143" s="46" t="n">
        <v>58</v>
      </c>
      <c r="M143" s="50" t="n">
        <f aca="false">INDEX(Productos!$F$2:$F$13,MATCH($H143,Productos!$A$2:$A$13,0))</f>
        <v>39</v>
      </c>
      <c r="N143" s="51" t="n">
        <v>0.126</v>
      </c>
      <c r="O143" s="52" t="n">
        <f aca="false">M143*(1-N143)</f>
        <v>34.086</v>
      </c>
      <c r="P143" s="21" t="n">
        <f aca="false">L143*O143</f>
        <v>1976.988</v>
      </c>
      <c r="Q143" s="50" t="n">
        <f aca="false">INDEX(Productos!$E$2:$E$13,MATCH($H143,Productos!$A$2:$A$13,0))*INDEX(Parametros!$B$26:$B$43,MATCH($C143,Parametros!$A$26:$A$43,0))</f>
        <v>21.1323</v>
      </c>
      <c r="R143" s="21" t="n">
        <f aca="false">L143*Q143</f>
        <v>1225.6734</v>
      </c>
      <c r="S143" s="18" t="n">
        <f aca="false">L143*INDEX(Parametros!$B$20:$B$22,MATCH($E143,Parametros!$A$20:$A$22,0))</f>
        <v>49.3</v>
      </c>
      <c r="T143" s="18" t="n">
        <f aca="false">P143*INDEX(Parametros!$B$13:$B$16,MATCH($F143,Parametros!$A$13:$A$16,0))</f>
        <v>59.30964</v>
      </c>
      <c r="U143" s="21" t="n">
        <f aca="false">P143-R143-S143-T143</f>
        <v>642.70496</v>
      </c>
      <c r="V143" s="19" t="n">
        <f aca="false">IFERROR(U143/P143,0)</f>
        <v>0.325093000058675</v>
      </c>
      <c r="W143" s="48" t="n">
        <f aca="false">B143+INDEX(Parametros!$C$13:$C$16,MATCH($F143,Parametros!$A$13:$A$16,0))</f>
        <v>45772</v>
      </c>
      <c r="X143" s="31" t="s">
        <v>69</v>
      </c>
      <c r="Y143" s="53" t="n">
        <f aca="false">IF(COUNTIF($A$2:$A143,A143)=1,1,0)</f>
        <v>0</v>
      </c>
    </row>
    <row r="144" customFormat="false" ht="15" hidden="false" customHeight="false" outlineLevel="0" collapsed="false">
      <c r="A144" s="31" t="s">
        <v>325</v>
      </c>
      <c r="B144" s="36" t="n">
        <v>45713</v>
      </c>
      <c r="C144" s="49" t="n">
        <f aca="false">DATE(YEAR(B144),MONTH(B144),1)</f>
        <v>45689</v>
      </c>
      <c r="D144" s="31" t="s">
        <v>199</v>
      </c>
      <c r="E144" s="31" t="s">
        <v>41</v>
      </c>
      <c r="F144" s="31" t="s">
        <v>45</v>
      </c>
      <c r="G144" s="31" t="s">
        <v>58</v>
      </c>
      <c r="H144" s="31" t="s">
        <v>173</v>
      </c>
      <c r="I144" s="32" t="str">
        <f aca="false">INDEX(Productos!$B$2:$B$13,MATCH($H144,Productos!$A$2:$A$13,0))</f>
        <v>Tornillo DIN 933 M12x70 clase 8.8</v>
      </c>
      <c r="J144" s="32" t="str">
        <f aca="false">INDEX(Productos!$C$2:$C$13,MATCH($H144,Productos!$A$2:$A$13,0))</f>
        <v>Métrica</v>
      </c>
      <c r="K144" s="31" t="s">
        <v>246</v>
      </c>
      <c r="L144" s="46" t="n">
        <v>33</v>
      </c>
      <c r="M144" s="50" t="n">
        <f aca="false">INDEX(Productos!$F$2:$F$13,MATCH($H144,Productos!$A$2:$A$13,0))</f>
        <v>64</v>
      </c>
      <c r="N144" s="51" t="n">
        <v>0.172</v>
      </c>
      <c r="O144" s="52" t="n">
        <f aca="false">M144*(1-N144)</f>
        <v>52.992</v>
      </c>
      <c r="P144" s="21" t="n">
        <f aca="false">L144*O144</f>
        <v>1748.736</v>
      </c>
      <c r="Q144" s="50" t="n">
        <f aca="false">INDEX(Productos!$E$2:$E$13,MATCH($H144,Productos!$A$2:$A$13,0))*INDEX(Parametros!$B$26:$B$43,MATCH($C144,Parametros!$A$26:$A$43,0))</f>
        <v>34.8735</v>
      </c>
      <c r="R144" s="21" t="n">
        <f aca="false">L144*Q144</f>
        <v>1150.8255</v>
      </c>
      <c r="S144" s="18" t="n">
        <f aca="false">L144*INDEX(Parametros!$B$20:$B$22,MATCH($E144,Parametros!$A$20:$A$22,0))</f>
        <v>28.05</v>
      </c>
      <c r="T144" s="18" t="n">
        <f aca="false">P144*INDEX(Parametros!$B$13:$B$16,MATCH($F144,Parametros!$A$13:$A$16,0))</f>
        <v>52.46208</v>
      </c>
      <c r="U144" s="21" t="n">
        <f aca="false">P144-R144-S144-T144</f>
        <v>517.39842</v>
      </c>
      <c r="V144" s="19" t="n">
        <f aca="false">IFERROR(U144/P144,0)</f>
        <v>0.29586994263285</v>
      </c>
      <c r="W144" s="48" t="n">
        <f aca="false">B144+INDEX(Parametros!$C$13:$C$16,MATCH($F144,Parametros!$A$13:$A$16,0))</f>
        <v>45773</v>
      </c>
      <c r="X144" s="31" t="s">
        <v>67</v>
      </c>
      <c r="Y144" s="53" t="n">
        <f aca="false">IF(COUNTIF($A$2:$A144,A144)=1,1,0)</f>
        <v>1</v>
      </c>
    </row>
    <row r="145" customFormat="false" ht="15" hidden="false" customHeight="false" outlineLevel="0" collapsed="false">
      <c r="A145" s="31" t="s">
        <v>326</v>
      </c>
      <c r="B145" s="36" t="n">
        <v>45713</v>
      </c>
      <c r="C145" s="49" t="n">
        <f aca="false">DATE(YEAR(B145),MONTH(B145),1)</f>
        <v>45689</v>
      </c>
      <c r="D145" s="31" t="s">
        <v>201</v>
      </c>
      <c r="E145" s="31" t="s">
        <v>41</v>
      </c>
      <c r="F145" s="31" t="s">
        <v>46</v>
      </c>
      <c r="G145" s="31" t="s">
        <v>62</v>
      </c>
      <c r="H145" s="31" t="s">
        <v>185</v>
      </c>
      <c r="I145" s="32" t="str">
        <f aca="false">INDEX(Productos!$B$2:$B$13,MATCH($H145,Productos!$A$2:$A$13,0))</f>
        <v>Varilla roscada M10 x 1 m zincada</v>
      </c>
      <c r="J145" s="32" t="str">
        <f aca="false">INDEX(Productos!$C$2:$C$13,MATCH($H145,Productos!$A$2:$A$13,0))</f>
        <v>Especial</v>
      </c>
      <c r="K145" s="31" t="s">
        <v>246</v>
      </c>
      <c r="L145" s="46" t="n">
        <v>23</v>
      </c>
      <c r="M145" s="50" t="n">
        <f aca="false">INDEX(Productos!$F$2:$F$13,MATCH($H145,Productos!$A$2:$A$13,0))</f>
        <v>54</v>
      </c>
      <c r="N145" s="51" t="n">
        <v>0.095</v>
      </c>
      <c r="O145" s="52" t="n">
        <f aca="false">M145*(1-N145)</f>
        <v>48.87</v>
      </c>
      <c r="P145" s="21" t="n">
        <f aca="false">L145*O145</f>
        <v>1124.01</v>
      </c>
      <c r="Q145" s="50" t="n">
        <f aca="false">INDEX(Productos!$E$2:$E$13,MATCH($H145,Productos!$A$2:$A$13,0))*INDEX(Parametros!$B$26:$B$43,MATCH($C145,Parametros!$A$26:$A$43,0))</f>
        <v>29.6685</v>
      </c>
      <c r="R145" s="21" t="n">
        <f aca="false">L145*Q145</f>
        <v>682.3755</v>
      </c>
      <c r="S145" s="18" t="n">
        <f aca="false">L145*INDEX(Parametros!$B$20:$B$22,MATCH($E145,Parametros!$A$20:$A$22,0))</f>
        <v>19.55</v>
      </c>
      <c r="T145" s="18" t="n">
        <f aca="false">P145*INDEX(Parametros!$B$13:$B$16,MATCH($F145,Parametros!$A$13:$A$16,0))</f>
        <v>44.9604</v>
      </c>
      <c r="U145" s="21" t="n">
        <f aca="false">P145-R145-S145-T145</f>
        <v>377.1241</v>
      </c>
      <c r="V145" s="19" t="n">
        <f aca="false">IFERROR(U145/P145,0)</f>
        <v>0.335516676897893</v>
      </c>
      <c r="W145" s="48" t="n">
        <f aca="false">B145+INDEX(Parametros!$C$13:$C$16,MATCH($F145,Parametros!$A$13:$A$16,0))</f>
        <v>45788</v>
      </c>
      <c r="X145" s="31" t="s">
        <v>67</v>
      </c>
      <c r="Y145" s="53" t="n">
        <f aca="false">IF(COUNTIF($A$2:$A145,A145)=1,1,0)</f>
        <v>1</v>
      </c>
    </row>
    <row r="146" customFormat="false" ht="15" hidden="false" customHeight="false" outlineLevel="0" collapsed="false">
      <c r="A146" s="31" t="s">
        <v>326</v>
      </c>
      <c r="B146" s="36" t="n">
        <v>45713</v>
      </c>
      <c r="C146" s="49" t="n">
        <f aca="false">DATE(YEAR(B146),MONTH(B146),1)</f>
        <v>45689</v>
      </c>
      <c r="D146" s="31" t="s">
        <v>201</v>
      </c>
      <c r="E146" s="31" t="s">
        <v>41</v>
      </c>
      <c r="F146" s="31" t="s">
        <v>46</v>
      </c>
      <c r="G146" s="31" t="s">
        <v>62</v>
      </c>
      <c r="H146" s="31" t="s">
        <v>181</v>
      </c>
      <c r="I146" s="32" t="str">
        <f aca="false">INDEX(Productos!$B$2:$B$13,MATCH($H146,Productos!$A$2:$A$13,0))</f>
        <v>Autotaladrante 5,5x55 punta broca</v>
      </c>
      <c r="J146" s="32" t="str">
        <f aca="false">INDEX(Productos!$C$2:$C$13,MATCH($H146,Productos!$A$2:$A$13,0))</f>
        <v>Autotaladrante</v>
      </c>
      <c r="K146" s="31" t="s">
        <v>246</v>
      </c>
      <c r="L146" s="46" t="n">
        <v>181</v>
      </c>
      <c r="M146" s="50" t="n">
        <f aca="false">INDEX(Productos!$F$2:$F$13,MATCH($H146,Productos!$A$2:$A$13,0))</f>
        <v>39</v>
      </c>
      <c r="N146" s="51" t="n">
        <v>0.131</v>
      </c>
      <c r="O146" s="52" t="n">
        <f aca="false">M146*(1-N146)</f>
        <v>33.891</v>
      </c>
      <c r="P146" s="21" t="n">
        <f aca="false">L146*O146</f>
        <v>6134.271</v>
      </c>
      <c r="Q146" s="50" t="n">
        <f aca="false">INDEX(Productos!$E$2:$E$13,MATCH($H146,Productos!$A$2:$A$13,0))*INDEX(Parametros!$B$26:$B$43,MATCH($C146,Parametros!$A$26:$A$43,0))</f>
        <v>21.1323</v>
      </c>
      <c r="R146" s="21" t="n">
        <f aca="false">L146*Q146</f>
        <v>3824.9463</v>
      </c>
      <c r="S146" s="18" t="n">
        <f aca="false">L146*INDEX(Parametros!$B$20:$B$22,MATCH($E146,Parametros!$A$20:$A$22,0))</f>
        <v>153.85</v>
      </c>
      <c r="T146" s="18" t="n">
        <f aca="false">P146*INDEX(Parametros!$B$13:$B$16,MATCH($F146,Parametros!$A$13:$A$16,0))</f>
        <v>245.37084</v>
      </c>
      <c r="U146" s="21" t="n">
        <f aca="false">P146-R146-S146-T146</f>
        <v>1910.10386</v>
      </c>
      <c r="V146" s="19" t="n">
        <f aca="false">IFERROR(U146/P146,0)</f>
        <v>0.31138237290136</v>
      </c>
      <c r="W146" s="48" t="n">
        <f aca="false">B146+INDEX(Parametros!$C$13:$C$16,MATCH($F146,Parametros!$A$13:$A$16,0))</f>
        <v>45788</v>
      </c>
      <c r="X146" s="31" t="s">
        <v>67</v>
      </c>
      <c r="Y146" s="53" t="n">
        <f aca="false">IF(COUNTIF($A$2:$A146,A146)=1,1,0)</f>
        <v>0</v>
      </c>
    </row>
    <row r="147" customFormat="false" ht="15" hidden="false" customHeight="false" outlineLevel="0" collapsed="false">
      <c r="A147" s="31" t="s">
        <v>327</v>
      </c>
      <c r="B147" s="36" t="n">
        <v>45714</v>
      </c>
      <c r="C147" s="49" t="n">
        <f aca="false">DATE(YEAR(B147),MONTH(B147),1)</f>
        <v>45689</v>
      </c>
      <c r="D147" s="31" t="s">
        <v>222</v>
      </c>
      <c r="E147" s="31" t="s">
        <v>43</v>
      </c>
      <c r="F147" s="31" t="s">
        <v>45</v>
      </c>
      <c r="G147" s="31" t="s">
        <v>59</v>
      </c>
      <c r="H147" s="31" t="s">
        <v>165</v>
      </c>
      <c r="I147" s="32" t="str">
        <f aca="false">INDEX(Productos!$B$2:$B$13,MATCH($H147,Productos!$A$2:$A$13,0))</f>
        <v>Tornillo DIN 933 M8x40 rosca completa zincado</v>
      </c>
      <c r="J147" s="32" t="str">
        <f aca="false">INDEX(Productos!$C$2:$C$13,MATCH($H147,Productos!$A$2:$A$13,0))</f>
        <v>Métrica</v>
      </c>
      <c r="K147" s="31" t="s">
        <v>246</v>
      </c>
      <c r="L147" s="46" t="n">
        <v>157</v>
      </c>
      <c r="M147" s="50" t="n">
        <f aca="false">INDEX(Productos!$F$2:$F$13,MATCH($H147,Productos!$A$2:$A$13,0))</f>
        <v>37.5</v>
      </c>
      <c r="N147" s="51" t="n">
        <v>0.174</v>
      </c>
      <c r="O147" s="52" t="n">
        <f aca="false">M147*(1-N147)</f>
        <v>30.975</v>
      </c>
      <c r="P147" s="21" t="n">
        <f aca="false">L147*O147</f>
        <v>4863.075</v>
      </c>
      <c r="Q147" s="50" t="n">
        <f aca="false">INDEX(Productos!$E$2:$E$13,MATCH($H147,Productos!$A$2:$A$13,0))*INDEX(Parametros!$B$26:$B$43,MATCH($C147,Parametros!$A$26:$A$43,0))</f>
        <v>20.1954</v>
      </c>
      <c r="R147" s="21" t="n">
        <f aca="false">L147*Q147</f>
        <v>3170.6778</v>
      </c>
      <c r="S147" s="18" t="n">
        <f aca="false">L147*INDEX(Parametros!$B$20:$B$22,MATCH($E147,Parametros!$A$20:$A$22,0))</f>
        <v>298.3</v>
      </c>
      <c r="T147" s="18" t="n">
        <f aca="false">P147*INDEX(Parametros!$B$13:$B$16,MATCH($F147,Parametros!$A$13:$A$16,0))</f>
        <v>145.89225</v>
      </c>
      <c r="U147" s="21" t="n">
        <f aca="false">P147-R147-S147-T147</f>
        <v>1248.20495</v>
      </c>
      <c r="V147" s="19" t="n">
        <f aca="false">IFERROR(U147/P147,0)</f>
        <v>0.256669895076675</v>
      </c>
      <c r="W147" s="48" t="n">
        <f aca="false">B147+INDEX(Parametros!$C$13:$C$16,MATCH($F147,Parametros!$A$13:$A$16,0))</f>
        <v>45774</v>
      </c>
      <c r="X147" s="31" t="s">
        <v>67</v>
      </c>
      <c r="Y147" s="53" t="n">
        <f aca="false">IF(COUNTIF($A$2:$A147,A147)=1,1,0)</f>
        <v>1</v>
      </c>
    </row>
    <row r="148" customFormat="false" ht="15" hidden="false" customHeight="false" outlineLevel="0" collapsed="false">
      <c r="A148" s="31" t="s">
        <v>327</v>
      </c>
      <c r="B148" s="36" t="n">
        <v>45714</v>
      </c>
      <c r="C148" s="49" t="n">
        <f aca="false">DATE(YEAR(B148),MONTH(B148),1)</f>
        <v>45689</v>
      </c>
      <c r="D148" s="31" t="s">
        <v>222</v>
      </c>
      <c r="E148" s="31" t="s">
        <v>43</v>
      </c>
      <c r="F148" s="31" t="s">
        <v>45</v>
      </c>
      <c r="G148" s="31" t="s">
        <v>59</v>
      </c>
      <c r="H148" s="31" t="s">
        <v>173</v>
      </c>
      <c r="I148" s="32" t="str">
        <f aca="false">INDEX(Productos!$B$2:$B$13,MATCH($H148,Productos!$A$2:$A$13,0))</f>
        <v>Tornillo DIN 933 M12x70 clase 8.8</v>
      </c>
      <c r="J148" s="32" t="str">
        <f aca="false">INDEX(Productos!$C$2:$C$13,MATCH($H148,Productos!$A$2:$A$13,0))</f>
        <v>Métrica</v>
      </c>
      <c r="K148" s="31" t="s">
        <v>246</v>
      </c>
      <c r="L148" s="46" t="n">
        <v>57</v>
      </c>
      <c r="M148" s="50" t="n">
        <f aca="false">INDEX(Productos!$F$2:$F$13,MATCH($H148,Productos!$A$2:$A$13,0))</f>
        <v>64</v>
      </c>
      <c r="N148" s="51" t="n">
        <v>0.146</v>
      </c>
      <c r="O148" s="52" t="n">
        <f aca="false">M148*(1-N148)</f>
        <v>54.656</v>
      </c>
      <c r="P148" s="21" t="n">
        <f aca="false">L148*O148</f>
        <v>3115.392</v>
      </c>
      <c r="Q148" s="50" t="n">
        <f aca="false">INDEX(Productos!$E$2:$E$13,MATCH($H148,Productos!$A$2:$A$13,0))*INDEX(Parametros!$B$26:$B$43,MATCH($C148,Parametros!$A$26:$A$43,0))</f>
        <v>34.8735</v>
      </c>
      <c r="R148" s="21" t="n">
        <f aca="false">L148*Q148</f>
        <v>1987.7895</v>
      </c>
      <c r="S148" s="18" t="n">
        <f aca="false">L148*INDEX(Parametros!$B$20:$B$22,MATCH($E148,Parametros!$A$20:$A$22,0))</f>
        <v>108.3</v>
      </c>
      <c r="T148" s="18" t="n">
        <f aca="false">P148*INDEX(Parametros!$B$13:$B$16,MATCH($F148,Parametros!$A$13:$A$16,0))</f>
        <v>93.46176</v>
      </c>
      <c r="U148" s="21" t="n">
        <f aca="false">P148-R148-S148-T148</f>
        <v>925.84074</v>
      </c>
      <c r="V148" s="19" t="n">
        <f aca="false">IFERROR(U148/P148,0)</f>
        <v>0.297182742974239</v>
      </c>
      <c r="W148" s="48" t="n">
        <f aca="false">B148+INDEX(Parametros!$C$13:$C$16,MATCH($F148,Parametros!$A$13:$A$16,0))</f>
        <v>45774</v>
      </c>
      <c r="X148" s="31" t="s">
        <v>67</v>
      </c>
      <c r="Y148" s="53" t="n">
        <f aca="false">IF(COUNTIF($A$2:$A148,A148)=1,1,0)</f>
        <v>0</v>
      </c>
    </row>
    <row r="149" customFormat="false" ht="15" hidden="false" customHeight="false" outlineLevel="0" collapsed="false">
      <c r="A149" s="31" t="s">
        <v>327</v>
      </c>
      <c r="B149" s="36" t="n">
        <v>45714</v>
      </c>
      <c r="C149" s="49" t="n">
        <f aca="false">DATE(YEAR(B149),MONTH(B149),1)</f>
        <v>45689</v>
      </c>
      <c r="D149" s="31" t="s">
        <v>222</v>
      </c>
      <c r="E149" s="31" t="s">
        <v>43</v>
      </c>
      <c r="F149" s="31" t="s">
        <v>45</v>
      </c>
      <c r="G149" s="31" t="s">
        <v>59</v>
      </c>
      <c r="H149" s="31" t="s">
        <v>163</v>
      </c>
      <c r="I149" s="32" t="str">
        <f aca="false">INDEX(Productos!$B$2:$B$13,MATCH($H149,Productos!$A$2:$A$13,0))</f>
        <v>Tornillo DIN 933 M6x30 rosca completa zincado</v>
      </c>
      <c r="J149" s="32" t="str">
        <f aca="false">INDEX(Productos!$C$2:$C$13,MATCH($H149,Productos!$A$2:$A$13,0))</f>
        <v>Métrica</v>
      </c>
      <c r="K149" s="31" t="s">
        <v>246</v>
      </c>
      <c r="L149" s="46" t="n">
        <v>229</v>
      </c>
      <c r="M149" s="50" t="n">
        <f aca="false">INDEX(Productos!$F$2:$F$13,MATCH($H149,Productos!$A$2:$A$13,0))</f>
        <v>32</v>
      </c>
      <c r="N149" s="51" t="n">
        <v>0.203</v>
      </c>
      <c r="O149" s="52" t="n">
        <f aca="false">M149*(1-N149)</f>
        <v>25.504</v>
      </c>
      <c r="P149" s="21" t="n">
        <f aca="false">L149*O149</f>
        <v>5840.416</v>
      </c>
      <c r="Q149" s="50" t="n">
        <f aca="false">INDEX(Productos!$E$2:$E$13,MATCH($H149,Productos!$A$2:$A$13,0))*INDEX(Parametros!$B$26:$B$43,MATCH($C149,Parametros!$A$26:$A$43,0))</f>
        <v>17.2806</v>
      </c>
      <c r="R149" s="21" t="n">
        <f aca="false">L149*Q149</f>
        <v>3957.2574</v>
      </c>
      <c r="S149" s="18" t="n">
        <f aca="false">L149*INDEX(Parametros!$B$20:$B$22,MATCH($E149,Parametros!$A$20:$A$22,0))</f>
        <v>435.1</v>
      </c>
      <c r="T149" s="18" t="n">
        <f aca="false">P149*INDEX(Parametros!$B$13:$B$16,MATCH($F149,Parametros!$A$13:$A$16,0))</f>
        <v>175.21248</v>
      </c>
      <c r="U149" s="21" t="n">
        <f aca="false">P149-R149-S149-T149</f>
        <v>1272.84612</v>
      </c>
      <c r="V149" s="19" t="n">
        <f aca="false">IFERROR(U149/P149,0)</f>
        <v>0.217937578419071</v>
      </c>
      <c r="W149" s="48" t="n">
        <f aca="false">B149+INDEX(Parametros!$C$13:$C$16,MATCH($F149,Parametros!$A$13:$A$16,0))</f>
        <v>45774</v>
      </c>
      <c r="X149" s="31" t="s">
        <v>67</v>
      </c>
      <c r="Y149" s="53" t="n">
        <f aca="false">IF(COUNTIF($A$2:$A149,A149)=1,1,0)</f>
        <v>0</v>
      </c>
    </row>
    <row r="150" customFormat="false" ht="15" hidden="false" customHeight="false" outlineLevel="0" collapsed="false">
      <c r="A150" s="31" t="s">
        <v>328</v>
      </c>
      <c r="B150" s="36" t="n">
        <v>45714</v>
      </c>
      <c r="C150" s="49" t="n">
        <f aca="false">DATE(YEAR(B150),MONTH(B150),1)</f>
        <v>45689</v>
      </c>
      <c r="D150" s="31" t="s">
        <v>193</v>
      </c>
      <c r="E150" s="31" t="s">
        <v>41</v>
      </c>
      <c r="F150" s="31" t="s">
        <v>45</v>
      </c>
      <c r="G150" s="31" t="s">
        <v>62</v>
      </c>
      <c r="H150" s="31" t="s">
        <v>171</v>
      </c>
      <c r="I150" s="32" t="str">
        <f aca="false">INDEX(Productos!$B$2:$B$13,MATCH($H150,Productos!$A$2:$A$13,0))</f>
        <v>Tornillo DIN 7991 M8x30 avellanado inox A2</v>
      </c>
      <c r="J150" s="32" t="str">
        <f aca="false">INDEX(Productos!$C$2:$C$13,MATCH($H150,Productos!$A$2:$A$13,0))</f>
        <v>Inoxidable</v>
      </c>
      <c r="K150" s="31" t="s">
        <v>246</v>
      </c>
      <c r="L150" s="46" t="n">
        <v>46</v>
      </c>
      <c r="M150" s="50" t="n">
        <f aca="false">INDEX(Productos!$F$2:$F$13,MATCH($H150,Productos!$A$2:$A$13,0))</f>
        <v>88</v>
      </c>
      <c r="N150" s="51" t="n">
        <v>0.212</v>
      </c>
      <c r="O150" s="52" t="n">
        <f aca="false">M150*(1-N150)</f>
        <v>69.344</v>
      </c>
      <c r="P150" s="21" t="n">
        <f aca="false">L150*O150</f>
        <v>3189.824</v>
      </c>
      <c r="Q150" s="50" t="n">
        <f aca="false">INDEX(Productos!$E$2:$E$13,MATCH($H150,Productos!$A$2:$A$13,0))*INDEX(Parametros!$B$26:$B$43,MATCH($C150,Parametros!$A$26:$A$43,0))</f>
        <v>48.4065</v>
      </c>
      <c r="R150" s="21" t="n">
        <f aca="false">L150*Q150</f>
        <v>2226.699</v>
      </c>
      <c r="S150" s="18" t="n">
        <f aca="false">L150*INDEX(Parametros!$B$20:$B$22,MATCH($E150,Parametros!$A$20:$A$22,0))</f>
        <v>39.1</v>
      </c>
      <c r="T150" s="18" t="n">
        <f aca="false">P150*INDEX(Parametros!$B$13:$B$16,MATCH($F150,Parametros!$A$13:$A$16,0))</f>
        <v>95.69472</v>
      </c>
      <c r="U150" s="21" t="n">
        <f aca="false">P150-R150-S150-T150</f>
        <v>828.330280000001</v>
      </c>
      <c r="V150" s="19" t="n">
        <f aca="false">IFERROR(U150/P150,0)</f>
        <v>0.259678991693586</v>
      </c>
      <c r="W150" s="48" t="n">
        <f aca="false">B150+INDEX(Parametros!$C$13:$C$16,MATCH($F150,Parametros!$A$13:$A$16,0))</f>
        <v>45774</v>
      </c>
      <c r="X150" s="31" t="s">
        <v>67</v>
      </c>
      <c r="Y150" s="53" t="n">
        <f aca="false">IF(COUNTIF($A$2:$A150,A150)=1,1,0)</f>
        <v>1</v>
      </c>
    </row>
    <row r="151" customFormat="false" ht="15" hidden="false" customHeight="false" outlineLevel="0" collapsed="false">
      <c r="A151" s="31" t="s">
        <v>328</v>
      </c>
      <c r="B151" s="36" t="n">
        <v>45714</v>
      </c>
      <c r="C151" s="49" t="n">
        <f aca="false">DATE(YEAR(B151),MONTH(B151),1)</f>
        <v>45689</v>
      </c>
      <c r="D151" s="31" t="s">
        <v>193</v>
      </c>
      <c r="E151" s="31" t="s">
        <v>41</v>
      </c>
      <c r="F151" s="31" t="s">
        <v>45</v>
      </c>
      <c r="G151" s="31" t="s">
        <v>62</v>
      </c>
      <c r="H151" s="31" t="s">
        <v>169</v>
      </c>
      <c r="I151" s="32" t="str">
        <f aca="false">INDEX(Productos!$B$2:$B$13,MATCH($H151,Productos!$A$2:$A$13,0))</f>
        <v>Tornillo DIN 912 M10x60 Allen inox A2</v>
      </c>
      <c r="J151" s="32" t="str">
        <f aca="false">INDEX(Productos!$C$2:$C$13,MATCH($H151,Productos!$A$2:$A$13,0))</f>
        <v>Inoxidable</v>
      </c>
      <c r="K151" s="31" t="s">
        <v>246</v>
      </c>
      <c r="L151" s="46" t="n">
        <v>283</v>
      </c>
      <c r="M151" s="50" t="n">
        <f aca="false">INDEX(Productos!$F$2:$F$13,MATCH($H151,Productos!$A$2:$A$13,0))</f>
        <v>79</v>
      </c>
      <c r="N151" s="51" t="n">
        <v>0.128</v>
      </c>
      <c r="O151" s="52" t="n">
        <f aca="false">M151*(1-N151)</f>
        <v>68.888</v>
      </c>
      <c r="P151" s="21" t="n">
        <f aca="false">L151*O151</f>
        <v>19495.304</v>
      </c>
      <c r="Q151" s="50" t="n">
        <f aca="false">INDEX(Productos!$E$2:$E$13,MATCH($H151,Productos!$A$2:$A$13,0))*INDEX(Parametros!$B$26:$B$43,MATCH($C151,Parametros!$A$26:$A$43,0))</f>
        <v>43.722</v>
      </c>
      <c r="R151" s="21" t="n">
        <f aca="false">L151*Q151</f>
        <v>12373.326</v>
      </c>
      <c r="S151" s="18" t="n">
        <f aca="false">L151*INDEX(Parametros!$B$20:$B$22,MATCH($E151,Parametros!$A$20:$A$22,0))</f>
        <v>240.55</v>
      </c>
      <c r="T151" s="18" t="n">
        <f aca="false">P151*INDEX(Parametros!$B$13:$B$16,MATCH($F151,Parametros!$A$13:$A$16,0))</f>
        <v>584.85912</v>
      </c>
      <c r="U151" s="21" t="n">
        <f aca="false">P151-R151-S151-T151</f>
        <v>6296.56888</v>
      </c>
      <c r="V151" s="19" t="n">
        <f aca="false">IFERROR(U151/P151,0)</f>
        <v>0.322978748112879</v>
      </c>
      <c r="W151" s="48" t="n">
        <f aca="false">B151+INDEX(Parametros!$C$13:$C$16,MATCH($F151,Parametros!$A$13:$A$16,0))</f>
        <v>45774</v>
      </c>
      <c r="X151" s="31" t="s">
        <v>67</v>
      </c>
      <c r="Y151" s="53" t="n">
        <f aca="false">IF(COUNTIF($A$2:$A151,A151)=1,1,0)</f>
        <v>0</v>
      </c>
    </row>
    <row r="152" customFormat="false" ht="15" hidden="false" customHeight="false" outlineLevel="0" collapsed="false">
      <c r="A152" s="31" t="s">
        <v>329</v>
      </c>
      <c r="B152" s="36" t="n">
        <v>45715</v>
      </c>
      <c r="C152" s="49" t="n">
        <f aca="false">DATE(YEAR(B152),MONTH(B152),1)</f>
        <v>45689</v>
      </c>
      <c r="D152" s="31" t="s">
        <v>217</v>
      </c>
      <c r="E152" s="31" t="s">
        <v>42</v>
      </c>
      <c r="F152" s="31" t="s">
        <v>47</v>
      </c>
      <c r="G152" s="31" t="s">
        <v>61</v>
      </c>
      <c r="H152" s="31" t="s">
        <v>171</v>
      </c>
      <c r="I152" s="32" t="str">
        <f aca="false">INDEX(Productos!$B$2:$B$13,MATCH($H152,Productos!$A$2:$A$13,0))</f>
        <v>Tornillo DIN 7991 M8x30 avellanado inox A2</v>
      </c>
      <c r="J152" s="32" t="str">
        <f aca="false">INDEX(Productos!$C$2:$C$13,MATCH($H152,Productos!$A$2:$A$13,0))</f>
        <v>Inoxidable</v>
      </c>
      <c r="K152" s="31" t="s">
        <v>246</v>
      </c>
      <c r="L152" s="46" t="n">
        <v>80</v>
      </c>
      <c r="M152" s="50" t="n">
        <f aca="false">INDEX(Productos!$F$2:$F$13,MATCH($H152,Productos!$A$2:$A$13,0))</f>
        <v>88</v>
      </c>
      <c r="N152" s="51" t="n">
        <v>0.076</v>
      </c>
      <c r="O152" s="52" t="n">
        <f aca="false">M152*(1-N152)</f>
        <v>81.312</v>
      </c>
      <c r="P152" s="21" t="n">
        <f aca="false">L152*O152</f>
        <v>6504.96</v>
      </c>
      <c r="Q152" s="50" t="n">
        <f aca="false">INDEX(Productos!$E$2:$E$13,MATCH($H152,Productos!$A$2:$A$13,0))*INDEX(Parametros!$B$26:$B$43,MATCH($C152,Parametros!$A$26:$A$43,0))</f>
        <v>48.4065</v>
      </c>
      <c r="R152" s="21" t="n">
        <f aca="false">L152*Q152</f>
        <v>3872.52</v>
      </c>
      <c r="S152" s="18" t="n">
        <f aca="false">L152*INDEX(Parametros!$B$20:$B$22,MATCH($E152,Parametros!$A$20:$A$22,0))</f>
        <v>192</v>
      </c>
      <c r="T152" s="18" t="n">
        <f aca="false">P152*INDEX(Parametros!$B$13:$B$16,MATCH($F152,Parametros!$A$13:$A$16,0))</f>
        <v>227.6736</v>
      </c>
      <c r="U152" s="21" t="n">
        <f aca="false">P152-R152-S152-T152</f>
        <v>2212.7664</v>
      </c>
      <c r="V152" s="19" t="n">
        <f aca="false">IFERROR(U152/P152,0)</f>
        <v>0.340166027154664</v>
      </c>
      <c r="W152" s="48" t="n">
        <f aca="false">B152+INDEX(Parametros!$C$13:$C$16,MATCH($F152,Parametros!$A$13:$A$16,0))</f>
        <v>45760</v>
      </c>
      <c r="X152" s="31" t="s">
        <v>67</v>
      </c>
      <c r="Y152" s="53" t="n">
        <f aca="false">IF(COUNTIF($A$2:$A152,A152)=1,1,0)</f>
        <v>1</v>
      </c>
    </row>
    <row r="153" customFormat="false" ht="15" hidden="false" customHeight="false" outlineLevel="0" collapsed="false">
      <c r="A153" s="31" t="s">
        <v>329</v>
      </c>
      <c r="B153" s="36" t="n">
        <v>45715</v>
      </c>
      <c r="C153" s="49" t="n">
        <f aca="false">DATE(YEAR(B153),MONTH(B153),1)</f>
        <v>45689</v>
      </c>
      <c r="D153" s="31" t="s">
        <v>217</v>
      </c>
      <c r="E153" s="31" t="s">
        <v>42</v>
      </c>
      <c r="F153" s="31" t="s">
        <v>47</v>
      </c>
      <c r="G153" s="31" t="s">
        <v>61</v>
      </c>
      <c r="H153" s="31" t="s">
        <v>169</v>
      </c>
      <c r="I153" s="32" t="str">
        <f aca="false">INDEX(Productos!$B$2:$B$13,MATCH($H153,Productos!$A$2:$A$13,0))</f>
        <v>Tornillo DIN 912 M10x60 Allen inox A2</v>
      </c>
      <c r="J153" s="32" t="str">
        <f aca="false">INDEX(Productos!$C$2:$C$13,MATCH($H153,Productos!$A$2:$A$13,0))</f>
        <v>Inoxidable</v>
      </c>
      <c r="K153" s="31" t="s">
        <v>246</v>
      </c>
      <c r="L153" s="46" t="n">
        <v>35</v>
      </c>
      <c r="M153" s="50" t="n">
        <f aca="false">INDEX(Productos!$F$2:$F$13,MATCH($H153,Productos!$A$2:$A$13,0))</f>
        <v>79</v>
      </c>
      <c r="N153" s="51" t="n">
        <v>0.092</v>
      </c>
      <c r="O153" s="52" t="n">
        <f aca="false">M153*(1-N153)</f>
        <v>71.732</v>
      </c>
      <c r="P153" s="21" t="n">
        <f aca="false">L153*O153</f>
        <v>2510.62</v>
      </c>
      <c r="Q153" s="50" t="n">
        <f aca="false">INDEX(Productos!$E$2:$E$13,MATCH($H153,Productos!$A$2:$A$13,0))*INDEX(Parametros!$B$26:$B$43,MATCH($C153,Parametros!$A$26:$A$43,0))</f>
        <v>43.722</v>
      </c>
      <c r="R153" s="21" t="n">
        <f aca="false">L153*Q153</f>
        <v>1530.27</v>
      </c>
      <c r="S153" s="18" t="n">
        <f aca="false">L153*INDEX(Parametros!$B$20:$B$22,MATCH($E153,Parametros!$A$20:$A$22,0))</f>
        <v>84</v>
      </c>
      <c r="T153" s="18" t="n">
        <f aca="false">P153*INDEX(Parametros!$B$13:$B$16,MATCH($F153,Parametros!$A$13:$A$16,0))</f>
        <v>87.8717</v>
      </c>
      <c r="U153" s="21" t="n">
        <f aca="false">P153-R153-S153-T153</f>
        <v>808.4783</v>
      </c>
      <c r="V153" s="19" t="n">
        <f aca="false">IFERROR(U153/P153,0)</f>
        <v>0.322023364746557</v>
      </c>
      <c r="W153" s="48" t="n">
        <f aca="false">B153+INDEX(Parametros!$C$13:$C$16,MATCH($F153,Parametros!$A$13:$A$16,0))</f>
        <v>45760</v>
      </c>
      <c r="X153" s="31" t="s">
        <v>67</v>
      </c>
      <c r="Y153" s="53" t="n">
        <f aca="false">IF(COUNTIF($A$2:$A153,A153)=1,1,0)</f>
        <v>0</v>
      </c>
    </row>
    <row r="154" customFormat="false" ht="15" hidden="false" customHeight="false" outlineLevel="0" collapsed="false">
      <c r="A154" s="31" t="s">
        <v>330</v>
      </c>
      <c r="B154" s="36" t="n">
        <v>45715</v>
      </c>
      <c r="C154" s="49" t="n">
        <f aca="false">DATE(YEAR(B154),MONTH(B154),1)</f>
        <v>45689</v>
      </c>
      <c r="D154" s="31" t="s">
        <v>217</v>
      </c>
      <c r="E154" s="31" t="s">
        <v>42</v>
      </c>
      <c r="F154" s="31" t="s">
        <v>47</v>
      </c>
      <c r="G154" s="31" t="s">
        <v>61</v>
      </c>
      <c r="H154" s="31" t="s">
        <v>183</v>
      </c>
      <c r="I154" s="32" t="str">
        <f aca="false">INDEX(Productos!$B$2:$B$13,MATCH($H154,Productos!$A$2:$A$13,0))</f>
        <v>Tornillo estructural M16x90 clase 10.9</v>
      </c>
      <c r="J154" s="32" t="str">
        <f aca="false">INDEX(Productos!$C$2:$C$13,MATCH($H154,Productos!$A$2:$A$13,0))</f>
        <v>Especial</v>
      </c>
      <c r="K154" s="31" t="s">
        <v>275</v>
      </c>
      <c r="L154" s="46" t="n">
        <v>-2</v>
      </c>
      <c r="M154" s="50" t="n">
        <f aca="false">INDEX(Productos!$F$2:$F$13,MATCH($H154,Productos!$A$2:$A$13,0))</f>
        <v>112</v>
      </c>
      <c r="N154" s="51" t="n">
        <v>0.081</v>
      </c>
      <c r="O154" s="52" t="n">
        <f aca="false">M154*(1-N154)</f>
        <v>102.928</v>
      </c>
      <c r="P154" s="21" t="n">
        <f aca="false">L154*O154</f>
        <v>-205.856</v>
      </c>
      <c r="Q154" s="50" t="n">
        <f aca="false">INDEX(Productos!$E$2:$E$13,MATCH($H154,Productos!$A$2:$A$13,0))*INDEX(Parametros!$B$26:$B$43,MATCH($C154,Parametros!$A$26:$A$43,0))</f>
        <v>62.46</v>
      </c>
      <c r="R154" s="21" t="n">
        <f aca="false">L154*Q154</f>
        <v>-124.92</v>
      </c>
      <c r="S154" s="18" t="n">
        <f aca="false">L154*INDEX(Parametros!$B$20:$B$22,MATCH($E154,Parametros!$A$20:$A$22,0))</f>
        <v>-4.8</v>
      </c>
      <c r="T154" s="18" t="n">
        <f aca="false">P154*INDEX(Parametros!$B$13:$B$16,MATCH($F154,Parametros!$A$13:$A$16,0))</f>
        <v>-7.20496</v>
      </c>
      <c r="U154" s="21" t="n">
        <f aca="false">P154-R154-S154-T154</f>
        <v>-68.93104</v>
      </c>
      <c r="V154" s="19" t="n">
        <f aca="false">IFERROR(U154/P154,0)</f>
        <v>0.334850769469921</v>
      </c>
      <c r="W154" s="48" t="n">
        <f aca="false">B154+INDEX(Parametros!$C$13:$C$16,MATCH($F154,Parametros!$A$13:$A$16,0))</f>
        <v>45760</v>
      </c>
      <c r="X154" s="31" t="s">
        <v>67</v>
      </c>
      <c r="Y154" s="53" t="n">
        <f aca="false">IF(COUNTIF($A$2:$A154,A154)=1,1,0)</f>
        <v>1</v>
      </c>
    </row>
    <row r="155" customFormat="false" ht="15" hidden="false" customHeight="false" outlineLevel="0" collapsed="false">
      <c r="A155" s="31" t="s">
        <v>330</v>
      </c>
      <c r="B155" s="36" t="n">
        <v>45715</v>
      </c>
      <c r="C155" s="49" t="n">
        <f aca="false">DATE(YEAR(B155),MONTH(B155),1)</f>
        <v>45689</v>
      </c>
      <c r="D155" s="31" t="s">
        <v>217</v>
      </c>
      <c r="E155" s="31" t="s">
        <v>42</v>
      </c>
      <c r="F155" s="31" t="s">
        <v>47</v>
      </c>
      <c r="G155" s="31" t="s">
        <v>61</v>
      </c>
      <c r="H155" s="31" t="s">
        <v>169</v>
      </c>
      <c r="I155" s="32" t="str">
        <f aca="false">INDEX(Productos!$B$2:$B$13,MATCH($H155,Productos!$A$2:$A$13,0))</f>
        <v>Tornillo DIN 912 M10x60 Allen inox A2</v>
      </c>
      <c r="J155" s="32" t="str">
        <f aca="false">INDEX(Productos!$C$2:$C$13,MATCH($H155,Productos!$A$2:$A$13,0))</f>
        <v>Inoxidable</v>
      </c>
      <c r="K155" s="31" t="s">
        <v>275</v>
      </c>
      <c r="L155" s="46" t="n">
        <v>-4</v>
      </c>
      <c r="M155" s="50" t="n">
        <f aca="false">INDEX(Productos!$F$2:$F$13,MATCH($H155,Productos!$A$2:$A$13,0))</f>
        <v>79</v>
      </c>
      <c r="N155" s="51" t="n">
        <v>0.071</v>
      </c>
      <c r="O155" s="52" t="n">
        <f aca="false">M155*(1-N155)</f>
        <v>73.391</v>
      </c>
      <c r="P155" s="21" t="n">
        <f aca="false">L155*O155</f>
        <v>-293.564</v>
      </c>
      <c r="Q155" s="50" t="n">
        <f aca="false">INDEX(Productos!$E$2:$E$13,MATCH($H155,Productos!$A$2:$A$13,0))*INDEX(Parametros!$B$26:$B$43,MATCH($C155,Parametros!$A$26:$A$43,0))</f>
        <v>43.722</v>
      </c>
      <c r="R155" s="21" t="n">
        <f aca="false">L155*Q155</f>
        <v>-174.888</v>
      </c>
      <c r="S155" s="18" t="n">
        <f aca="false">L155*INDEX(Parametros!$B$20:$B$22,MATCH($E155,Parametros!$A$20:$A$22,0))</f>
        <v>-9.6</v>
      </c>
      <c r="T155" s="18" t="n">
        <f aca="false">P155*INDEX(Parametros!$B$13:$B$16,MATCH($F155,Parametros!$A$13:$A$16,0))</f>
        <v>-10.27474</v>
      </c>
      <c r="U155" s="21" t="n">
        <f aca="false">P155-R155-S155-T155</f>
        <v>-98.80126</v>
      </c>
      <c r="V155" s="19" t="n">
        <f aca="false">IFERROR(U155/P155,0)</f>
        <v>0.336557820441199</v>
      </c>
      <c r="W155" s="48" t="n">
        <f aca="false">B155+INDEX(Parametros!$C$13:$C$16,MATCH($F155,Parametros!$A$13:$A$16,0))</f>
        <v>45760</v>
      </c>
      <c r="X155" s="31" t="s">
        <v>67</v>
      </c>
      <c r="Y155" s="53" t="n">
        <f aca="false">IF(COUNTIF($A$2:$A155,A155)=1,1,0)</f>
        <v>0</v>
      </c>
    </row>
    <row r="156" customFormat="false" ht="15" hidden="false" customHeight="false" outlineLevel="0" collapsed="false">
      <c r="A156" s="31" t="s">
        <v>330</v>
      </c>
      <c r="B156" s="36" t="n">
        <v>45715</v>
      </c>
      <c r="C156" s="49" t="n">
        <f aca="false">DATE(YEAR(B156),MONTH(B156),1)</f>
        <v>45689</v>
      </c>
      <c r="D156" s="31" t="s">
        <v>217</v>
      </c>
      <c r="E156" s="31" t="s">
        <v>42</v>
      </c>
      <c r="F156" s="31" t="s">
        <v>47</v>
      </c>
      <c r="G156" s="31" t="s">
        <v>61</v>
      </c>
      <c r="H156" s="31" t="s">
        <v>173</v>
      </c>
      <c r="I156" s="32" t="str">
        <f aca="false">INDEX(Productos!$B$2:$B$13,MATCH($H156,Productos!$A$2:$A$13,0))</f>
        <v>Tornillo DIN 933 M12x70 clase 8.8</v>
      </c>
      <c r="J156" s="32" t="str">
        <f aca="false">INDEX(Productos!$C$2:$C$13,MATCH($H156,Productos!$A$2:$A$13,0))</f>
        <v>Métrica</v>
      </c>
      <c r="K156" s="31" t="s">
        <v>275</v>
      </c>
      <c r="L156" s="46" t="n">
        <v>-33</v>
      </c>
      <c r="M156" s="50" t="n">
        <f aca="false">INDEX(Productos!$F$2:$F$13,MATCH($H156,Productos!$A$2:$A$13,0))</f>
        <v>64</v>
      </c>
      <c r="N156" s="51" t="n">
        <v>0.03</v>
      </c>
      <c r="O156" s="52" t="n">
        <f aca="false">M156*(1-N156)</f>
        <v>62.08</v>
      </c>
      <c r="P156" s="21" t="n">
        <f aca="false">L156*O156</f>
        <v>-2048.64</v>
      </c>
      <c r="Q156" s="50" t="n">
        <f aca="false">INDEX(Productos!$E$2:$E$13,MATCH($H156,Productos!$A$2:$A$13,0))*INDEX(Parametros!$B$26:$B$43,MATCH($C156,Parametros!$A$26:$A$43,0))</f>
        <v>34.8735</v>
      </c>
      <c r="R156" s="21" t="n">
        <f aca="false">L156*Q156</f>
        <v>-1150.8255</v>
      </c>
      <c r="S156" s="18" t="n">
        <f aca="false">L156*INDEX(Parametros!$B$20:$B$22,MATCH($E156,Parametros!$A$20:$A$22,0))</f>
        <v>-79.2</v>
      </c>
      <c r="T156" s="18" t="n">
        <f aca="false">P156*INDEX(Parametros!$B$13:$B$16,MATCH($F156,Parametros!$A$13:$A$16,0))</f>
        <v>-71.7024</v>
      </c>
      <c r="U156" s="21" t="n">
        <f aca="false">P156-R156-S156-T156</f>
        <v>-746.9121</v>
      </c>
      <c r="V156" s="19" t="n">
        <f aca="false">IFERROR(U156/P156,0)</f>
        <v>0.364589239690722</v>
      </c>
      <c r="W156" s="48" t="n">
        <f aca="false">B156+INDEX(Parametros!$C$13:$C$16,MATCH($F156,Parametros!$A$13:$A$16,0))</f>
        <v>45760</v>
      </c>
      <c r="X156" s="31" t="s">
        <v>67</v>
      </c>
      <c r="Y156" s="53" t="n">
        <f aca="false">IF(COUNTIF($A$2:$A156,A156)=1,1,0)</f>
        <v>0</v>
      </c>
    </row>
    <row r="157" customFormat="false" ht="15" hidden="false" customHeight="false" outlineLevel="0" collapsed="false">
      <c r="A157" s="31" t="s">
        <v>331</v>
      </c>
      <c r="B157" s="36" t="n">
        <v>45715</v>
      </c>
      <c r="C157" s="49" t="n">
        <f aca="false">DATE(YEAR(B157),MONTH(B157),1)</f>
        <v>45689</v>
      </c>
      <c r="D157" s="31" t="s">
        <v>199</v>
      </c>
      <c r="E157" s="31" t="s">
        <v>41</v>
      </c>
      <c r="F157" s="31" t="s">
        <v>45</v>
      </c>
      <c r="G157" s="31" t="s">
        <v>58</v>
      </c>
      <c r="H157" s="31" t="s">
        <v>179</v>
      </c>
      <c r="I157" s="32" t="str">
        <f aca="false">INDEX(Productos!$B$2:$B$13,MATCH($H157,Productos!$A$2:$A$13,0))</f>
        <v>Autotaladrante DIN 7504 4,8x38 zincado</v>
      </c>
      <c r="J157" s="32" t="str">
        <f aca="false">INDEX(Productos!$C$2:$C$13,MATCH($H157,Productos!$A$2:$A$13,0))</f>
        <v>Autotaladrante</v>
      </c>
      <c r="K157" s="31" t="s">
        <v>246</v>
      </c>
      <c r="L157" s="46" t="n">
        <v>71</v>
      </c>
      <c r="M157" s="50" t="n">
        <f aca="false">INDEX(Productos!$F$2:$F$13,MATCH($H157,Productos!$A$2:$A$13,0))</f>
        <v>29.5</v>
      </c>
      <c r="N157" s="51" t="n">
        <v>0.183</v>
      </c>
      <c r="O157" s="52" t="n">
        <f aca="false">M157*(1-N157)</f>
        <v>24.1015</v>
      </c>
      <c r="P157" s="21" t="n">
        <f aca="false">L157*O157</f>
        <v>1711.2065</v>
      </c>
      <c r="Q157" s="50" t="n">
        <f aca="false">INDEX(Productos!$E$2:$E$13,MATCH($H157,Productos!$A$2:$A$13,0))*INDEX(Parametros!$B$26:$B$43,MATCH($C157,Parametros!$A$26:$A$43,0))</f>
        <v>15.8232</v>
      </c>
      <c r="R157" s="21" t="n">
        <f aca="false">L157*Q157</f>
        <v>1123.4472</v>
      </c>
      <c r="S157" s="18" t="n">
        <f aca="false">L157*INDEX(Parametros!$B$20:$B$22,MATCH($E157,Parametros!$A$20:$A$22,0))</f>
        <v>60.35</v>
      </c>
      <c r="T157" s="18" t="n">
        <f aca="false">P157*INDEX(Parametros!$B$13:$B$16,MATCH($F157,Parametros!$A$13:$A$16,0))</f>
        <v>51.336195</v>
      </c>
      <c r="U157" s="21" t="n">
        <f aca="false">P157-R157-S157-T157</f>
        <v>476.073105</v>
      </c>
      <c r="V157" s="19" t="n">
        <f aca="false">IFERROR(U157/P157,0)</f>
        <v>0.278209032632824</v>
      </c>
      <c r="W157" s="48" t="n">
        <f aca="false">B157+INDEX(Parametros!$C$13:$C$16,MATCH($F157,Parametros!$A$13:$A$16,0))</f>
        <v>45775</v>
      </c>
      <c r="X157" s="31" t="s">
        <v>67</v>
      </c>
      <c r="Y157" s="53" t="n">
        <f aca="false">IF(COUNTIF($A$2:$A157,A157)=1,1,0)</f>
        <v>1</v>
      </c>
    </row>
    <row r="158" customFormat="false" ht="15" hidden="false" customHeight="false" outlineLevel="0" collapsed="false">
      <c r="A158" s="31" t="s">
        <v>332</v>
      </c>
      <c r="B158" s="36" t="n">
        <v>45715</v>
      </c>
      <c r="C158" s="49" t="n">
        <f aca="false">DATE(YEAR(B158),MONTH(B158),1)</f>
        <v>45689</v>
      </c>
      <c r="D158" s="31" t="s">
        <v>221</v>
      </c>
      <c r="E158" s="31" t="s">
        <v>43</v>
      </c>
      <c r="F158" s="31" t="s">
        <v>45</v>
      </c>
      <c r="G158" s="31" t="s">
        <v>59</v>
      </c>
      <c r="H158" s="31" t="s">
        <v>173</v>
      </c>
      <c r="I158" s="32" t="str">
        <f aca="false">INDEX(Productos!$B$2:$B$13,MATCH($H158,Productos!$A$2:$A$13,0))</f>
        <v>Tornillo DIN 933 M12x70 clase 8.8</v>
      </c>
      <c r="J158" s="32" t="str">
        <f aca="false">INDEX(Productos!$C$2:$C$13,MATCH($H158,Productos!$A$2:$A$13,0))</f>
        <v>Métrica</v>
      </c>
      <c r="K158" s="31" t="s">
        <v>246</v>
      </c>
      <c r="L158" s="46" t="n">
        <v>44</v>
      </c>
      <c r="M158" s="50" t="n">
        <f aca="false">INDEX(Productos!$F$2:$F$13,MATCH($H158,Productos!$A$2:$A$13,0))</f>
        <v>64</v>
      </c>
      <c r="N158" s="51" t="n">
        <v>0.163</v>
      </c>
      <c r="O158" s="52" t="n">
        <f aca="false">M158*(1-N158)</f>
        <v>53.568</v>
      </c>
      <c r="P158" s="21" t="n">
        <f aca="false">L158*O158</f>
        <v>2356.992</v>
      </c>
      <c r="Q158" s="50" t="n">
        <f aca="false">INDEX(Productos!$E$2:$E$13,MATCH($H158,Productos!$A$2:$A$13,0))*INDEX(Parametros!$B$26:$B$43,MATCH($C158,Parametros!$A$26:$A$43,0))</f>
        <v>34.8735</v>
      </c>
      <c r="R158" s="21" t="n">
        <f aca="false">L158*Q158</f>
        <v>1534.434</v>
      </c>
      <c r="S158" s="18" t="n">
        <f aca="false">L158*INDEX(Parametros!$B$20:$B$22,MATCH($E158,Parametros!$A$20:$A$22,0))</f>
        <v>83.6</v>
      </c>
      <c r="T158" s="18" t="n">
        <f aca="false">P158*INDEX(Parametros!$B$13:$B$16,MATCH($F158,Parametros!$A$13:$A$16,0))</f>
        <v>70.70976</v>
      </c>
      <c r="U158" s="21" t="n">
        <f aca="false">P158-R158-S158-T158</f>
        <v>668.24824</v>
      </c>
      <c r="V158" s="19" t="n">
        <f aca="false">IFERROR(U158/P158,0)</f>
        <v>0.283517398446834</v>
      </c>
      <c r="W158" s="48" t="n">
        <f aca="false">B158+INDEX(Parametros!$C$13:$C$16,MATCH($F158,Parametros!$A$13:$A$16,0))</f>
        <v>45775</v>
      </c>
      <c r="X158" s="31" t="s">
        <v>67</v>
      </c>
      <c r="Y158" s="53" t="n">
        <f aca="false">IF(COUNTIF($A$2:$A158,A158)=1,1,0)</f>
        <v>1</v>
      </c>
    </row>
    <row r="159" customFormat="false" ht="15" hidden="false" customHeight="false" outlineLevel="0" collapsed="false">
      <c r="A159" s="31" t="s">
        <v>332</v>
      </c>
      <c r="B159" s="36" t="n">
        <v>45715</v>
      </c>
      <c r="C159" s="49" t="n">
        <f aca="false">DATE(YEAR(B159),MONTH(B159),1)</f>
        <v>45689</v>
      </c>
      <c r="D159" s="31" t="s">
        <v>221</v>
      </c>
      <c r="E159" s="31" t="s">
        <v>43</v>
      </c>
      <c r="F159" s="31" t="s">
        <v>45</v>
      </c>
      <c r="G159" s="31" t="s">
        <v>59</v>
      </c>
      <c r="H159" s="31" t="s">
        <v>169</v>
      </c>
      <c r="I159" s="32" t="str">
        <f aca="false">INDEX(Productos!$B$2:$B$13,MATCH($H159,Productos!$A$2:$A$13,0))</f>
        <v>Tornillo DIN 912 M10x60 Allen inox A2</v>
      </c>
      <c r="J159" s="32" t="str">
        <f aca="false">INDEX(Productos!$C$2:$C$13,MATCH($H159,Productos!$A$2:$A$13,0))</f>
        <v>Inoxidable</v>
      </c>
      <c r="K159" s="31" t="s">
        <v>246</v>
      </c>
      <c r="L159" s="46" t="n">
        <v>226</v>
      </c>
      <c r="M159" s="50" t="n">
        <f aca="false">INDEX(Productos!$F$2:$F$13,MATCH($H159,Productos!$A$2:$A$13,0))</f>
        <v>79</v>
      </c>
      <c r="N159" s="51" t="n">
        <v>0.122</v>
      </c>
      <c r="O159" s="52" t="n">
        <f aca="false">M159*(1-N159)</f>
        <v>69.362</v>
      </c>
      <c r="P159" s="21" t="n">
        <f aca="false">L159*O159</f>
        <v>15675.812</v>
      </c>
      <c r="Q159" s="50" t="n">
        <f aca="false">INDEX(Productos!$E$2:$E$13,MATCH($H159,Productos!$A$2:$A$13,0))*INDEX(Parametros!$B$26:$B$43,MATCH($C159,Parametros!$A$26:$A$43,0))</f>
        <v>43.722</v>
      </c>
      <c r="R159" s="21" t="n">
        <f aca="false">L159*Q159</f>
        <v>9881.172</v>
      </c>
      <c r="S159" s="18" t="n">
        <f aca="false">L159*INDEX(Parametros!$B$20:$B$22,MATCH($E159,Parametros!$A$20:$A$22,0))</f>
        <v>429.4</v>
      </c>
      <c r="T159" s="18" t="n">
        <f aca="false">P159*INDEX(Parametros!$B$13:$B$16,MATCH($F159,Parametros!$A$13:$A$16,0))</f>
        <v>470.27436</v>
      </c>
      <c r="U159" s="21" t="n">
        <f aca="false">P159-R159-S159-T159</f>
        <v>4894.96564</v>
      </c>
      <c r="V159" s="19" t="n">
        <f aca="false">IFERROR(U159/P159,0)</f>
        <v>0.312262333842738</v>
      </c>
      <c r="W159" s="48" t="n">
        <f aca="false">B159+INDEX(Parametros!$C$13:$C$16,MATCH($F159,Parametros!$A$13:$A$16,0))</f>
        <v>45775</v>
      </c>
      <c r="X159" s="31" t="s">
        <v>67</v>
      </c>
      <c r="Y159" s="53" t="n">
        <f aca="false">IF(COUNTIF($A$2:$A159,A159)=1,1,0)</f>
        <v>0</v>
      </c>
    </row>
    <row r="160" customFormat="false" ht="15" hidden="false" customHeight="false" outlineLevel="0" collapsed="false">
      <c r="A160" s="31" t="s">
        <v>332</v>
      </c>
      <c r="B160" s="36" t="n">
        <v>45715</v>
      </c>
      <c r="C160" s="49" t="n">
        <f aca="false">DATE(YEAR(B160),MONTH(B160),1)</f>
        <v>45689</v>
      </c>
      <c r="D160" s="31" t="s">
        <v>221</v>
      </c>
      <c r="E160" s="31" t="s">
        <v>43</v>
      </c>
      <c r="F160" s="31" t="s">
        <v>45</v>
      </c>
      <c r="G160" s="31" t="s">
        <v>59</v>
      </c>
      <c r="H160" s="31" t="s">
        <v>179</v>
      </c>
      <c r="I160" s="32" t="str">
        <f aca="false">INDEX(Productos!$B$2:$B$13,MATCH($H160,Productos!$A$2:$A$13,0))</f>
        <v>Autotaladrante DIN 7504 4,8x38 zincado</v>
      </c>
      <c r="J160" s="32" t="str">
        <f aca="false">INDEX(Productos!$C$2:$C$13,MATCH($H160,Productos!$A$2:$A$13,0))</f>
        <v>Autotaladrante</v>
      </c>
      <c r="K160" s="31" t="s">
        <v>246</v>
      </c>
      <c r="L160" s="46" t="n">
        <v>57</v>
      </c>
      <c r="M160" s="50" t="n">
        <f aca="false">INDEX(Productos!$F$2:$F$13,MATCH($H160,Productos!$A$2:$A$13,0))</f>
        <v>29.5</v>
      </c>
      <c r="N160" s="51" t="n">
        <v>0.135</v>
      </c>
      <c r="O160" s="52" t="n">
        <f aca="false">M160*(1-N160)</f>
        <v>25.5175</v>
      </c>
      <c r="P160" s="21" t="n">
        <f aca="false">L160*O160</f>
        <v>1454.4975</v>
      </c>
      <c r="Q160" s="50" t="n">
        <f aca="false">INDEX(Productos!$E$2:$E$13,MATCH($H160,Productos!$A$2:$A$13,0))*INDEX(Parametros!$B$26:$B$43,MATCH($C160,Parametros!$A$26:$A$43,0))</f>
        <v>15.8232</v>
      </c>
      <c r="R160" s="21" t="n">
        <f aca="false">L160*Q160</f>
        <v>901.9224</v>
      </c>
      <c r="S160" s="18" t="n">
        <f aca="false">L160*INDEX(Parametros!$B$20:$B$22,MATCH($E160,Parametros!$A$20:$A$22,0))</f>
        <v>108.3</v>
      </c>
      <c r="T160" s="18" t="n">
        <f aca="false">P160*INDEX(Parametros!$B$13:$B$16,MATCH($F160,Parametros!$A$13:$A$16,0))</f>
        <v>43.634925</v>
      </c>
      <c r="U160" s="21" t="n">
        <f aca="false">P160-R160-S160-T160</f>
        <v>400.640175</v>
      </c>
      <c r="V160" s="19" t="n">
        <f aca="false">IFERROR(U160/P160,0)</f>
        <v>0.275449201528363</v>
      </c>
      <c r="W160" s="48" t="n">
        <f aca="false">B160+INDEX(Parametros!$C$13:$C$16,MATCH($F160,Parametros!$A$13:$A$16,0))</f>
        <v>45775</v>
      </c>
      <c r="X160" s="31" t="s">
        <v>67</v>
      </c>
      <c r="Y160" s="53" t="n">
        <f aca="false">IF(COUNTIF($A$2:$A160,A160)=1,1,0)</f>
        <v>0</v>
      </c>
    </row>
    <row r="161" customFormat="false" ht="15" hidden="false" customHeight="false" outlineLevel="0" collapsed="false">
      <c r="A161" s="31" t="s">
        <v>332</v>
      </c>
      <c r="B161" s="36" t="n">
        <v>45715</v>
      </c>
      <c r="C161" s="49" t="n">
        <f aca="false">DATE(YEAR(B161),MONTH(B161),1)</f>
        <v>45689</v>
      </c>
      <c r="D161" s="31" t="s">
        <v>221</v>
      </c>
      <c r="E161" s="31" t="s">
        <v>43</v>
      </c>
      <c r="F161" s="31" t="s">
        <v>45</v>
      </c>
      <c r="G161" s="31" t="s">
        <v>59</v>
      </c>
      <c r="H161" s="31" t="s">
        <v>185</v>
      </c>
      <c r="I161" s="32" t="str">
        <f aca="false">INDEX(Productos!$B$2:$B$13,MATCH($H161,Productos!$A$2:$A$13,0))</f>
        <v>Varilla roscada M10 x 1 m zincada</v>
      </c>
      <c r="J161" s="32" t="str">
        <f aca="false">INDEX(Productos!$C$2:$C$13,MATCH($H161,Productos!$A$2:$A$13,0))</f>
        <v>Especial</v>
      </c>
      <c r="K161" s="31" t="s">
        <v>246</v>
      </c>
      <c r="L161" s="46" t="n">
        <v>28</v>
      </c>
      <c r="M161" s="50" t="n">
        <f aca="false">INDEX(Productos!$F$2:$F$13,MATCH($H161,Productos!$A$2:$A$13,0))</f>
        <v>54</v>
      </c>
      <c r="N161" s="51" t="n">
        <v>0.152</v>
      </c>
      <c r="O161" s="52" t="n">
        <f aca="false">M161*(1-N161)</f>
        <v>45.792</v>
      </c>
      <c r="P161" s="21" t="n">
        <f aca="false">L161*O161</f>
        <v>1282.176</v>
      </c>
      <c r="Q161" s="50" t="n">
        <f aca="false">INDEX(Productos!$E$2:$E$13,MATCH($H161,Productos!$A$2:$A$13,0))*INDEX(Parametros!$B$26:$B$43,MATCH($C161,Parametros!$A$26:$A$43,0))</f>
        <v>29.6685</v>
      </c>
      <c r="R161" s="21" t="n">
        <f aca="false">L161*Q161</f>
        <v>830.718</v>
      </c>
      <c r="S161" s="18" t="n">
        <f aca="false">L161*INDEX(Parametros!$B$20:$B$22,MATCH($E161,Parametros!$A$20:$A$22,0))</f>
        <v>53.2</v>
      </c>
      <c r="T161" s="18" t="n">
        <f aca="false">P161*INDEX(Parametros!$B$13:$B$16,MATCH($F161,Parametros!$A$13:$A$16,0))</f>
        <v>38.46528</v>
      </c>
      <c r="U161" s="21" t="n">
        <f aca="false">P161-R161-S161-T161</f>
        <v>359.79272</v>
      </c>
      <c r="V161" s="19" t="n">
        <f aca="false">IFERROR(U161/P161,0)</f>
        <v>0.280611023759609</v>
      </c>
      <c r="W161" s="48" t="n">
        <f aca="false">B161+INDEX(Parametros!$C$13:$C$16,MATCH($F161,Parametros!$A$13:$A$16,0))</f>
        <v>45775</v>
      </c>
      <c r="X161" s="31" t="s">
        <v>67</v>
      </c>
      <c r="Y161" s="53" t="n">
        <f aca="false">IF(COUNTIF($A$2:$A161,A161)=1,1,0)</f>
        <v>0</v>
      </c>
    </row>
    <row r="162" customFormat="false" ht="15" hidden="false" customHeight="false" outlineLevel="0" collapsed="false">
      <c r="A162" s="31" t="s">
        <v>333</v>
      </c>
      <c r="B162" s="36" t="n">
        <v>45716</v>
      </c>
      <c r="C162" s="49" t="n">
        <f aca="false">DATE(YEAR(B162),MONTH(B162),1)</f>
        <v>45689</v>
      </c>
      <c r="D162" s="31" t="s">
        <v>191</v>
      </c>
      <c r="E162" s="31" t="s">
        <v>41</v>
      </c>
      <c r="F162" s="31" t="s">
        <v>47</v>
      </c>
      <c r="G162" s="31" t="s">
        <v>58</v>
      </c>
      <c r="H162" s="31" t="s">
        <v>163</v>
      </c>
      <c r="I162" s="32" t="str">
        <f aca="false">INDEX(Productos!$B$2:$B$13,MATCH($H162,Productos!$A$2:$A$13,0))</f>
        <v>Tornillo DIN 933 M6x30 rosca completa zincado</v>
      </c>
      <c r="J162" s="32" t="str">
        <f aca="false">INDEX(Productos!$C$2:$C$13,MATCH($H162,Productos!$A$2:$A$13,0))</f>
        <v>Métrica</v>
      </c>
      <c r="K162" s="31" t="s">
        <v>246</v>
      </c>
      <c r="L162" s="46" t="n">
        <v>154</v>
      </c>
      <c r="M162" s="50" t="n">
        <f aca="false">INDEX(Productos!$F$2:$F$13,MATCH($H162,Productos!$A$2:$A$13,0))</f>
        <v>32</v>
      </c>
      <c r="N162" s="51" t="n">
        <v>0.099</v>
      </c>
      <c r="O162" s="52" t="n">
        <f aca="false">M162*(1-N162)</f>
        <v>28.832</v>
      </c>
      <c r="P162" s="21" t="n">
        <f aca="false">L162*O162</f>
        <v>4440.128</v>
      </c>
      <c r="Q162" s="50" t="n">
        <f aca="false">INDEX(Productos!$E$2:$E$13,MATCH($H162,Productos!$A$2:$A$13,0))*INDEX(Parametros!$B$26:$B$43,MATCH($C162,Parametros!$A$26:$A$43,0))</f>
        <v>17.2806</v>
      </c>
      <c r="R162" s="21" t="n">
        <f aca="false">L162*Q162</f>
        <v>2661.2124</v>
      </c>
      <c r="S162" s="18" t="n">
        <f aca="false">L162*INDEX(Parametros!$B$20:$B$22,MATCH($E162,Parametros!$A$20:$A$22,0))</f>
        <v>130.9</v>
      </c>
      <c r="T162" s="18" t="n">
        <f aca="false">P162*INDEX(Parametros!$B$13:$B$16,MATCH($F162,Parametros!$A$13:$A$16,0))</f>
        <v>155.40448</v>
      </c>
      <c r="U162" s="21" t="n">
        <f aca="false">P162-R162-S162-T162</f>
        <v>1492.61112</v>
      </c>
      <c r="V162" s="19" t="n">
        <f aca="false">IFERROR(U162/P162,0)</f>
        <v>0.336163984461709</v>
      </c>
      <c r="W162" s="48" t="n">
        <f aca="false">B162+INDEX(Parametros!$C$13:$C$16,MATCH($F162,Parametros!$A$13:$A$16,0))</f>
        <v>45761</v>
      </c>
      <c r="X162" s="31" t="s">
        <v>67</v>
      </c>
      <c r="Y162" s="53" t="n">
        <f aca="false">IF(COUNTIF($A$2:$A162,A162)=1,1,0)</f>
        <v>1</v>
      </c>
    </row>
    <row r="163" customFormat="false" ht="15" hidden="false" customHeight="false" outlineLevel="0" collapsed="false">
      <c r="A163" s="31" t="s">
        <v>334</v>
      </c>
      <c r="B163" s="36" t="n">
        <v>45719</v>
      </c>
      <c r="C163" s="49" t="n">
        <f aca="false">DATE(YEAR(B163),MONTH(B163),1)</f>
        <v>45717</v>
      </c>
      <c r="D163" s="31" t="s">
        <v>216</v>
      </c>
      <c r="E163" s="31" t="s">
        <v>42</v>
      </c>
      <c r="F163" s="31" t="s">
        <v>45</v>
      </c>
      <c r="G163" s="31" t="s">
        <v>61</v>
      </c>
      <c r="H163" s="31" t="s">
        <v>171</v>
      </c>
      <c r="I163" s="32" t="str">
        <f aca="false">INDEX(Productos!$B$2:$B$13,MATCH($H163,Productos!$A$2:$A$13,0))</f>
        <v>Tornillo DIN 7991 M8x30 avellanado inox A2</v>
      </c>
      <c r="J163" s="32" t="str">
        <f aca="false">INDEX(Productos!$C$2:$C$13,MATCH($H163,Productos!$A$2:$A$13,0))</f>
        <v>Inoxidable</v>
      </c>
      <c r="K163" s="31" t="s">
        <v>246</v>
      </c>
      <c r="L163" s="46" t="n">
        <v>233</v>
      </c>
      <c r="M163" s="50" t="n">
        <f aca="false">INDEX(Productos!$F$2:$F$13,MATCH($H163,Productos!$A$2:$A$13,0))</f>
        <v>88</v>
      </c>
      <c r="N163" s="51" t="n">
        <v>0.214</v>
      </c>
      <c r="O163" s="52" t="n">
        <f aca="false">M163*(1-N163)</f>
        <v>69.168</v>
      </c>
      <c r="P163" s="21" t="n">
        <f aca="false">L163*O163</f>
        <v>16116.144</v>
      </c>
      <c r="Q163" s="50" t="n">
        <f aca="false">INDEX(Productos!$E$2:$E$13,MATCH($H163,Productos!$A$2:$A$13,0))*INDEX(Parametros!$B$26:$B$43,MATCH($C163,Parametros!$A$26:$A$43,0))</f>
        <v>47.895</v>
      </c>
      <c r="R163" s="21" t="n">
        <f aca="false">L163*Q163</f>
        <v>11159.535</v>
      </c>
      <c r="S163" s="18" t="n">
        <f aca="false">L163*INDEX(Parametros!$B$20:$B$22,MATCH($E163,Parametros!$A$20:$A$22,0))</f>
        <v>559.2</v>
      </c>
      <c r="T163" s="18" t="n">
        <f aca="false">P163*INDEX(Parametros!$B$13:$B$16,MATCH($F163,Parametros!$A$13:$A$16,0))</f>
        <v>483.48432</v>
      </c>
      <c r="U163" s="21" t="n">
        <f aca="false">P163-R163-S163-T163</f>
        <v>3913.92468</v>
      </c>
      <c r="V163" s="19" t="n">
        <f aca="false">IFERROR(U163/P163,0)</f>
        <v>0.242857390700902</v>
      </c>
      <c r="W163" s="48" t="n">
        <f aca="false">B163+INDEX(Parametros!$C$13:$C$16,MATCH($F163,Parametros!$A$13:$A$16,0))</f>
        <v>45779</v>
      </c>
      <c r="X163" s="31" t="s">
        <v>67</v>
      </c>
      <c r="Y163" s="53" t="n">
        <f aca="false">IF(COUNTIF($A$2:$A163,A163)=1,1,0)</f>
        <v>1</v>
      </c>
    </row>
    <row r="164" customFormat="false" ht="15" hidden="false" customHeight="false" outlineLevel="0" collapsed="false">
      <c r="A164" s="31" t="s">
        <v>334</v>
      </c>
      <c r="B164" s="36" t="n">
        <v>45719</v>
      </c>
      <c r="C164" s="49" t="n">
        <f aca="false">DATE(YEAR(B164),MONTH(B164),1)</f>
        <v>45717</v>
      </c>
      <c r="D164" s="31" t="s">
        <v>216</v>
      </c>
      <c r="E164" s="31" t="s">
        <v>42</v>
      </c>
      <c r="F164" s="31" t="s">
        <v>45</v>
      </c>
      <c r="G164" s="31" t="s">
        <v>61</v>
      </c>
      <c r="H164" s="31" t="s">
        <v>185</v>
      </c>
      <c r="I164" s="32" t="str">
        <f aca="false">INDEX(Productos!$B$2:$B$13,MATCH($H164,Productos!$A$2:$A$13,0))</f>
        <v>Varilla roscada M10 x 1 m zincada</v>
      </c>
      <c r="J164" s="32" t="str">
        <f aca="false">INDEX(Productos!$C$2:$C$13,MATCH($H164,Productos!$A$2:$A$13,0))</f>
        <v>Especial</v>
      </c>
      <c r="K164" s="31" t="s">
        <v>246</v>
      </c>
      <c r="L164" s="46" t="n">
        <v>27</v>
      </c>
      <c r="M164" s="50" t="n">
        <f aca="false">INDEX(Productos!$F$2:$F$13,MATCH($H164,Productos!$A$2:$A$13,0))</f>
        <v>54</v>
      </c>
      <c r="N164" s="51" t="n">
        <v>0.197</v>
      </c>
      <c r="O164" s="52" t="n">
        <f aca="false">M164*(1-N164)</f>
        <v>43.362</v>
      </c>
      <c r="P164" s="21" t="n">
        <f aca="false">L164*O164</f>
        <v>1170.774</v>
      </c>
      <c r="Q164" s="50" t="n">
        <f aca="false">INDEX(Productos!$E$2:$E$13,MATCH($H164,Productos!$A$2:$A$13,0))*INDEX(Parametros!$B$26:$B$43,MATCH($C164,Parametros!$A$26:$A$43,0))</f>
        <v>29.355</v>
      </c>
      <c r="R164" s="21" t="n">
        <f aca="false">L164*Q164</f>
        <v>792.585</v>
      </c>
      <c r="S164" s="18" t="n">
        <f aca="false">L164*INDEX(Parametros!$B$20:$B$22,MATCH($E164,Parametros!$A$20:$A$22,0))</f>
        <v>64.8</v>
      </c>
      <c r="T164" s="18" t="n">
        <f aca="false">P164*INDEX(Parametros!$B$13:$B$16,MATCH($F164,Parametros!$A$13:$A$16,0))</f>
        <v>35.12322</v>
      </c>
      <c r="U164" s="21" t="n">
        <f aca="false">P164-R164-S164-T164</f>
        <v>278.26578</v>
      </c>
      <c r="V164" s="19" t="n">
        <f aca="false">IFERROR(U164/P164,0)</f>
        <v>0.237676767676768</v>
      </c>
      <c r="W164" s="48" t="n">
        <f aca="false">B164+INDEX(Parametros!$C$13:$C$16,MATCH($F164,Parametros!$A$13:$A$16,0))</f>
        <v>45779</v>
      </c>
      <c r="X164" s="31" t="s">
        <v>67</v>
      </c>
      <c r="Y164" s="53" t="n">
        <f aca="false">IF(COUNTIF($A$2:$A164,A164)=1,1,0)</f>
        <v>0</v>
      </c>
    </row>
    <row r="165" customFormat="false" ht="15" hidden="false" customHeight="false" outlineLevel="0" collapsed="false">
      <c r="A165" s="31" t="s">
        <v>335</v>
      </c>
      <c r="B165" s="36" t="n">
        <v>45719</v>
      </c>
      <c r="C165" s="49" t="n">
        <f aca="false">DATE(YEAR(B165),MONTH(B165),1)</f>
        <v>45717</v>
      </c>
      <c r="D165" s="31" t="s">
        <v>205</v>
      </c>
      <c r="E165" s="31" t="s">
        <v>41</v>
      </c>
      <c r="F165" s="31" t="s">
        <v>45</v>
      </c>
      <c r="G165" s="31" t="s">
        <v>62</v>
      </c>
      <c r="H165" s="31" t="s">
        <v>163</v>
      </c>
      <c r="I165" s="32" t="str">
        <f aca="false">INDEX(Productos!$B$2:$B$13,MATCH($H165,Productos!$A$2:$A$13,0))</f>
        <v>Tornillo DIN 933 M6x30 rosca completa zincado</v>
      </c>
      <c r="J165" s="32" t="str">
        <f aca="false">INDEX(Productos!$C$2:$C$13,MATCH($H165,Productos!$A$2:$A$13,0))</f>
        <v>Métrica</v>
      </c>
      <c r="K165" s="31" t="s">
        <v>246</v>
      </c>
      <c r="L165" s="46" t="n">
        <v>53</v>
      </c>
      <c r="M165" s="50" t="n">
        <f aca="false">INDEX(Productos!$F$2:$F$13,MATCH($H165,Productos!$A$2:$A$13,0))</f>
        <v>32</v>
      </c>
      <c r="N165" s="51" t="n">
        <v>0.146</v>
      </c>
      <c r="O165" s="52" t="n">
        <f aca="false">M165*(1-N165)</f>
        <v>27.328</v>
      </c>
      <c r="P165" s="21" t="n">
        <f aca="false">L165*O165</f>
        <v>1448.384</v>
      </c>
      <c r="Q165" s="50" t="n">
        <f aca="false">INDEX(Productos!$E$2:$E$13,MATCH($H165,Productos!$A$2:$A$13,0))*INDEX(Parametros!$B$26:$B$43,MATCH($C165,Parametros!$A$26:$A$43,0))</f>
        <v>17.098</v>
      </c>
      <c r="R165" s="21" t="n">
        <f aca="false">L165*Q165</f>
        <v>906.194</v>
      </c>
      <c r="S165" s="18" t="n">
        <f aca="false">L165*INDEX(Parametros!$B$20:$B$22,MATCH($E165,Parametros!$A$20:$A$22,0))</f>
        <v>45.05</v>
      </c>
      <c r="T165" s="18" t="n">
        <f aca="false">P165*INDEX(Parametros!$B$13:$B$16,MATCH($F165,Parametros!$A$13:$A$16,0))</f>
        <v>43.45152</v>
      </c>
      <c r="U165" s="21" t="n">
        <f aca="false">P165-R165-S165-T165</f>
        <v>453.68848</v>
      </c>
      <c r="V165" s="19" t="n">
        <f aca="false">IFERROR(U165/P165,0)</f>
        <v>0.313237704918033</v>
      </c>
      <c r="W165" s="48" t="n">
        <f aca="false">B165+INDEX(Parametros!$C$13:$C$16,MATCH($F165,Parametros!$A$13:$A$16,0))</f>
        <v>45779</v>
      </c>
      <c r="X165" s="31" t="s">
        <v>67</v>
      </c>
      <c r="Y165" s="53" t="n">
        <f aca="false">IF(COUNTIF($A$2:$A165,A165)=1,1,0)</f>
        <v>1</v>
      </c>
    </row>
    <row r="166" customFormat="false" ht="15" hidden="false" customHeight="false" outlineLevel="0" collapsed="false">
      <c r="A166" s="31" t="s">
        <v>336</v>
      </c>
      <c r="B166" s="36" t="n">
        <v>45719</v>
      </c>
      <c r="C166" s="49" t="n">
        <f aca="false">DATE(YEAR(B166),MONTH(B166),1)</f>
        <v>45717</v>
      </c>
      <c r="D166" s="31" t="s">
        <v>221</v>
      </c>
      <c r="E166" s="31" t="s">
        <v>43</v>
      </c>
      <c r="F166" s="31" t="s">
        <v>45</v>
      </c>
      <c r="G166" s="31" t="s">
        <v>59</v>
      </c>
      <c r="H166" s="31" t="s">
        <v>173</v>
      </c>
      <c r="I166" s="32" t="str">
        <f aca="false">INDEX(Productos!$B$2:$B$13,MATCH($H166,Productos!$A$2:$A$13,0))</f>
        <v>Tornillo DIN 933 M12x70 clase 8.8</v>
      </c>
      <c r="J166" s="32" t="str">
        <f aca="false">INDEX(Productos!$C$2:$C$13,MATCH($H166,Productos!$A$2:$A$13,0))</f>
        <v>Métrica</v>
      </c>
      <c r="K166" s="31" t="s">
        <v>246</v>
      </c>
      <c r="L166" s="46" t="n">
        <v>161</v>
      </c>
      <c r="M166" s="50" t="n">
        <f aca="false">INDEX(Productos!$F$2:$F$13,MATCH($H166,Productos!$A$2:$A$13,0))</f>
        <v>64</v>
      </c>
      <c r="N166" s="51" t="n">
        <v>0.142</v>
      </c>
      <c r="O166" s="52" t="n">
        <f aca="false">M166*(1-N166)</f>
        <v>54.912</v>
      </c>
      <c r="P166" s="21" t="n">
        <f aca="false">L166*O166</f>
        <v>8840.832</v>
      </c>
      <c r="Q166" s="50" t="n">
        <f aca="false">INDEX(Productos!$E$2:$E$13,MATCH($H166,Productos!$A$2:$A$13,0))*INDEX(Parametros!$B$26:$B$43,MATCH($C166,Parametros!$A$26:$A$43,0))</f>
        <v>34.505</v>
      </c>
      <c r="R166" s="21" t="n">
        <f aca="false">L166*Q166</f>
        <v>5555.305</v>
      </c>
      <c r="S166" s="18" t="n">
        <f aca="false">L166*INDEX(Parametros!$B$20:$B$22,MATCH($E166,Parametros!$A$20:$A$22,0))</f>
        <v>305.9</v>
      </c>
      <c r="T166" s="18" t="n">
        <f aca="false">P166*INDEX(Parametros!$B$13:$B$16,MATCH($F166,Parametros!$A$13:$A$16,0))</f>
        <v>265.22496</v>
      </c>
      <c r="U166" s="21" t="n">
        <f aca="false">P166-R166-S166-T166</f>
        <v>2714.40204</v>
      </c>
      <c r="V166" s="19" t="n">
        <f aca="false">IFERROR(U166/P166,0)</f>
        <v>0.307030157342657</v>
      </c>
      <c r="W166" s="48" t="n">
        <f aca="false">B166+INDEX(Parametros!$C$13:$C$16,MATCH($F166,Parametros!$A$13:$A$16,0))</f>
        <v>45779</v>
      </c>
      <c r="X166" s="31" t="s">
        <v>67</v>
      </c>
      <c r="Y166" s="53" t="n">
        <f aca="false">IF(COUNTIF($A$2:$A166,A166)=1,1,0)</f>
        <v>1</v>
      </c>
    </row>
    <row r="167" customFormat="false" ht="15" hidden="false" customHeight="false" outlineLevel="0" collapsed="false">
      <c r="A167" s="31" t="s">
        <v>337</v>
      </c>
      <c r="B167" s="36" t="n">
        <v>45719</v>
      </c>
      <c r="C167" s="49" t="n">
        <f aca="false">DATE(YEAR(B167),MONTH(B167),1)</f>
        <v>45717</v>
      </c>
      <c r="D167" s="31" t="s">
        <v>225</v>
      </c>
      <c r="E167" s="31" t="s">
        <v>43</v>
      </c>
      <c r="F167" s="31" t="s">
        <v>47</v>
      </c>
      <c r="G167" s="31" t="s">
        <v>59</v>
      </c>
      <c r="H167" s="31" t="s">
        <v>185</v>
      </c>
      <c r="I167" s="32" t="str">
        <f aca="false">INDEX(Productos!$B$2:$B$13,MATCH($H167,Productos!$A$2:$A$13,0))</f>
        <v>Varilla roscada M10 x 1 m zincada</v>
      </c>
      <c r="J167" s="32" t="str">
        <f aca="false">INDEX(Productos!$C$2:$C$13,MATCH($H167,Productos!$A$2:$A$13,0))</f>
        <v>Especial</v>
      </c>
      <c r="K167" s="31" t="s">
        <v>246</v>
      </c>
      <c r="L167" s="46" t="n">
        <v>49</v>
      </c>
      <c r="M167" s="50" t="n">
        <f aca="false">INDEX(Productos!$F$2:$F$13,MATCH($H167,Productos!$A$2:$A$13,0))</f>
        <v>54</v>
      </c>
      <c r="N167" s="51" t="n">
        <v>0.051</v>
      </c>
      <c r="O167" s="52" t="n">
        <f aca="false">M167*(1-N167)</f>
        <v>51.246</v>
      </c>
      <c r="P167" s="21" t="n">
        <f aca="false">L167*O167</f>
        <v>2511.054</v>
      </c>
      <c r="Q167" s="50" t="n">
        <f aca="false">INDEX(Productos!$E$2:$E$13,MATCH($H167,Productos!$A$2:$A$13,0))*INDEX(Parametros!$B$26:$B$43,MATCH($C167,Parametros!$A$26:$A$43,0))</f>
        <v>29.355</v>
      </c>
      <c r="R167" s="21" t="n">
        <f aca="false">L167*Q167</f>
        <v>1438.395</v>
      </c>
      <c r="S167" s="18" t="n">
        <f aca="false">L167*INDEX(Parametros!$B$20:$B$22,MATCH($E167,Parametros!$A$20:$A$22,0))</f>
        <v>93.1</v>
      </c>
      <c r="T167" s="18" t="n">
        <f aca="false">P167*INDEX(Parametros!$B$13:$B$16,MATCH($F167,Parametros!$A$13:$A$16,0))</f>
        <v>87.88689</v>
      </c>
      <c r="U167" s="21" t="n">
        <f aca="false">P167-R167-S167-T167</f>
        <v>891.67211</v>
      </c>
      <c r="V167" s="19" t="n">
        <f aca="false">IFERROR(U167/P167,0)</f>
        <v>0.355098739413808</v>
      </c>
      <c r="W167" s="48" t="n">
        <f aca="false">B167+INDEX(Parametros!$C$13:$C$16,MATCH($F167,Parametros!$A$13:$A$16,0))</f>
        <v>45764</v>
      </c>
      <c r="X167" s="31" t="s">
        <v>67</v>
      </c>
      <c r="Y167" s="53" t="n">
        <f aca="false">IF(COUNTIF($A$2:$A167,A167)=1,1,0)</f>
        <v>1</v>
      </c>
    </row>
    <row r="168" customFormat="false" ht="15" hidden="false" customHeight="false" outlineLevel="0" collapsed="false">
      <c r="A168" s="31" t="s">
        <v>337</v>
      </c>
      <c r="B168" s="36" t="n">
        <v>45719</v>
      </c>
      <c r="C168" s="49" t="n">
        <f aca="false">DATE(YEAR(B168),MONTH(B168),1)</f>
        <v>45717</v>
      </c>
      <c r="D168" s="31" t="s">
        <v>225</v>
      </c>
      <c r="E168" s="31" t="s">
        <v>43</v>
      </c>
      <c r="F168" s="31" t="s">
        <v>47</v>
      </c>
      <c r="G168" s="31" t="s">
        <v>59</v>
      </c>
      <c r="H168" s="31" t="s">
        <v>165</v>
      </c>
      <c r="I168" s="32" t="str">
        <f aca="false">INDEX(Productos!$B$2:$B$13,MATCH($H168,Productos!$A$2:$A$13,0))</f>
        <v>Tornillo DIN 933 M8x40 rosca completa zincado</v>
      </c>
      <c r="J168" s="32" t="str">
        <f aca="false">INDEX(Productos!$C$2:$C$13,MATCH($H168,Productos!$A$2:$A$13,0))</f>
        <v>Métrica</v>
      </c>
      <c r="K168" s="31" t="s">
        <v>246</v>
      </c>
      <c r="L168" s="46" t="n">
        <v>20</v>
      </c>
      <c r="M168" s="50" t="n">
        <f aca="false">INDEX(Productos!$F$2:$F$13,MATCH($H168,Productos!$A$2:$A$13,0))</f>
        <v>37.5</v>
      </c>
      <c r="N168" s="51" t="n">
        <v>0.089</v>
      </c>
      <c r="O168" s="52" t="n">
        <f aca="false">M168*(1-N168)</f>
        <v>34.1625</v>
      </c>
      <c r="P168" s="21" t="n">
        <f aca="false">L168*O168</f>
        <v>683.25</v>
      </c>
      <c r="Q168" s="50" t="n">
        <f aca="false">INDEX(Productos!$E$2:$E$13,MATCH($H168,Productos!$A$2:$A$13,0))*INDEX(Parametros!$B$26:$B$43,MATCH($C168,Parametros!$A$26:$A$43,0))</f>
        <v>19.982</v>
      </c>
      <c r="R168" s="21" t="n">
        <f aca="false">L168*Q168</f>
        <v>399.64</v>
      </c>
      <c r="S168" s="18" t="n">
        <f aca="false">L168*INDEX(Parametros!$B$20:$B$22,MATCH($E168,Parametros!$A$20:$A$22,0))</f>
        <v>38</v>
      </c>
      <c r="T168" s="18" t="n">
        <f aca="false">P168*INDEX(Parametros!$B$13:$B$16,MATCH($F168,Parametros!$A$13:$A$16,0))</f>
        <v>23.91375</v>
      </c>
      <c r="U168" s="21" t="n">
        <f aca="false">P168-R168-S168-T168</f>
        <v>221.69625</v>
      </c>
      <c r="V168" s="19" t="n">
        <f aca="false">IFERROR(U168/P168,0)</f>
        <v>0.3244731064764</v>
      </c>
      <c r="W168" s="48" t="n">
        <f aca="false">B168+INDEX(Parametros!$C$13:$C$16,MATCH($F168,Parametros!$A$13:$A$16,0))</f>
        <v>45764</v>
      </c>
      <c r="X168" s="31" t="s">
        <v>67</v>
      </c>
      <c r="Y168" s="53" t="n">
        <f aca="false">IF(COUNTIF($A$2:$A168,A168)=1,1,0)</f>
        <v>0</v>
      </c>
    </row>
    <row r="169" customFormat="false" ht="15" hidden="false" customHeight="false" outlineLevel="0" collapsed="false">
      <c r="A169" s="31" t="s">
        <v>337</v>
      </c>
      <c r="B169" s="36" t="n">
        <v>45719</v>
      </c>
      <c r="C169" s="49" t="n">
        <f aca="false">DATE(YEAR(B169),MONTH(B169),1)</f>
        <v>45717</v>
      </c>
      <c r="D169" s="31" t="s">
        <v>225</v>
      </c>
      <c r="E169" s="31" t="s">
        <v>43</v>
      </c>
      <c r="F169" s="31" t="s">
        <v>47</v>
      </c>
      <c r="G169" s="31" t="s">
        <v>59</v>
      </c>
      <c r="H169" s="31" t="s">
        <v>181</v>
      </c>
      <c r="I169" s="32" t="str">
        <f aca="false">INDEX(Productos!$B$2:$B$13,MATCH($H169,Productos!$A$2:$A$13,0))</f>
        <v>Autotaladrante 5,5x55 punta broca</v>
      </c>
      <c r="J169" s="32" t="str">
        <f aca="false">INDEX(Productos!$C$2:$C$13,MATCH($H169,Productos!$A$2:$A$13,0))</f>
        <v>Autotaladrante</v>
      </c>
      <c r="K169" s="31" t="s">
        <v>246</v>
      </c>
      <c r="L169" s="46" t="n">
        <v>23</v>
      </c>
      <c r="M169" s="50" t="n">
        <f aca="false">INDEX(Productos!$F$2:$F$13,MATCH($H169,Productos!$A$2:$A$13,0))</f>
        <v>39</v>
      </c>
      <c r="N169" s="51" t="n">
        <v>0.09</v>
      </c>
      <c r="O169" s="52" t="n">
        <f aca="false">M169*(1-N169)</f>
        <v>35.49</v>
      </c>
      <c r="P169" s="21" t="n">
        <f aca="false">L169*O169</f>
        <v>816.27</v>
      </c>
      <c r="Q169" s="50" t="n">
        <f aca="false">INDEX(Productos!$E$2:$E$13,MATCH($H169,Productos!$A$2:$A$13,0))*INDEX(Parametros!$B$26:$B$43,MATCH($C169,Parametros!$A$26:$A$43,0))</f>
        <v>20.909</v>
      </c>
      <c r="R169" s="21" t="n">
        <f aca="false">L169*Q169</f>
        <v>480.907</v>
      </c>
      <c r="S169" s="18" t="n">
        <f aca="false">L169*INDEX(Parametros!$B$20:$B$22,MATCH($E169,Parametros!$A$20:$A$22,0))</f>
        <v>43.7</v>
      </c>
      <c r="T169" s="18" t="n">
        <f aca="false">P169*INDEX(Parametros!$B$13:$B$16,MATCH($F169,Parametros!$A$13:$A$16,0))</f>
        <v>28.56945</v>
      </c>
      <c r="U169" s="21" t="n">
        <f aca="false">P169-R169-S169-T169</f>
        <v>263.09355</v>
      </c>
      <c r="V169" s="19" t="n">
        <f aca="false">IFERROR(U169/P169,0)</f>
        <v>0.32231191885038</v>
      </c>
      <c r="W169" s="48" t="n">
        <f aca="false">B169+INDEX(Parametros!$C$13:$C$16,MATCH($F169,Parametros!$A$13:$A$16,0))</f>
        <v>45764</v>
      </c>
      <c r="X169" s="31" t="s">
        <v>67</v>
      </c>
      <c r="Y169" s="53" t="n">
        <f aca="false">IF(COUNTIF($A$2:$A169,A169)=1,1,0)</f>
        <v>0</v>
      </c>
    </row>
    <row r="170" customFormat="false" ht="15" hidden="false" customHeight="false" outlineLevel="0" collapsed="false">
      <c r="A170" s="31" t="s">
        <v>338</v>
      </c>
      <c r="B170" s="36" t="n">
        <v>45719</v>
      </c>
      <c r="C170" s="49" t="n">
        <f aca="false">DATE(YEAR(B170),MONTH(B170),1)</f>
        <v>45717</v>
      </c>
      <c r="D170" s="31" t="s">
        <v>215</v>
      </c>
      <c r="E170" s="31" t="s">
        <v>42</v>
      </c>
      <c r="F170" s="31" t="s">
        <v>46</v>
      </c>
      <c r="G170" s="31" t="s">
        <v>61</v>
      </c>
      <c r="H170" s="31" t="s">
        <v>185</v>
      </c>
      <c r="I170" s="32" t="str">
        <f aca="false">INDEX(Productos!$B$2:$B$13,MATCH($H170,Productos!$A$2:$A$13,0))</f>
        <v>Varilla roscada M10 x 1 m zincada</v>
      </c>
      <c r="J170" s="32" t="str">
        <f aca="false">INDEX(Productos!$C$2:$C$13,MATCH($H170,Productos!$A$2:$A$13,0))</f>
        <v>Especial</v>
      </c>
      <c r="K170" s="31" t="s">
        <v>246</v>
      </c>
      <c r="L170" s="46" t="n">
        <v>27</v>
      </c>
      <c r="M170" s="50" t="n">
        <f aca="false">INDEX(Productos!$F$2:$F$13,MATCH($H170,Productos!$A$2:$A$13,0))</f>
        <v>54</v>
      </c>
      <c r="N170" s="51" t="n">
        <v>0.165</v>
      </c>
      <c r="O170" s="52" t="n">
        <f aca="false">M170*(1-N170)</f>
        <v>45.09</v>
      </c>
      <c r="P170" s="21" t="n">
        <f aca="false">L170*O170</f>
        <v>1217.43</v>
      </c>
      <c r="Q170" s="50" t="n">
        <f aca="false">INDEX(Productos!$E$2:$E$13,MATCH($H170,Productos!$A$2:$A$13,0))*INDEX(Parametros!$B$26:$B$43,MATCH($C170,Parametros!$A$26:$A$43,0))</f>
        <v>29.355</v>
      </c>
      <c r="R170" s="21" t="n">
        <f aca="false">L170*Q170</f>
        <v>792.585</v>
      </c>
      <c r="S170" s="18" t="n">
        <f aca="false">L170*INDEX(Parametros!$B$20:$B$22,MATCH($E170,Parametros!$A$20:$A$22,0))</f>
        <v>64.8</v>
      </c>
      <c r="T170" s="18" t="n">
        <f aca="false">P170*INDEX(Parametros!$B$13:$B$16,MATCH($F170,Parametros!$A$13:$A$16,0))</f>
        <v>48.6972</v>
      </c>
      <c r="U170" s="21" t="n">
        <f aca="false">P170-R170-S170-T170</f>
        <v>311.3478</v>
      </c>
      <c r="V170" s="19" t="n">
        <f aca="false">IFERROR(U170/P170,0)</f>
        <v>0.255741849634065</v>
      </c>
      <c r="W170" s="48" t="n">
        <f aca="false">B170+INDEX(Parametros!$C$13:$C$16,MATCH($F170,Parametros!$A$13:$A$16,0))</f>
        <v>45794</v>
      </c>
      <c r="X170" s="31" t="s">
        <v>67</v>
      </c>
      <c r="Y170" s="53" t="n">
        <f aca="false">IF(COUNTIF($A$2:$A170,A170)=1,1,0)</f>
        <v>1</v>
      </c>
    </row>
    <row r="171" customFormat="false" ht="15" hidden="false" customHeight="false" outlineLevel="0" collapsed="false">
      <c r="A171" s="31" t="s">
        <v>338</v>
      </c>
      <c r="B171" s="36" t="n">
        <v>45719</v>
      </c>
      <c r="C171" s="49" t="n">
        <f aca="false">DATE(YEAR(B171),MONTH(B171),1)</f>
        <v>45717</v>
      </c>
      <c r="D171" s="31" t="s">
        <v>215</v>
      </c>
      <c r="E171" s="31" t="s">
        <v>42</v>
      </c>
      <c r="F171" s="31" t="s">
        <v>46</v>
      </c>
      <c r="G171" s="31" t="s">
        <v>61</v>
      </c>
      <c r="H171" s="31" t="s">
        <v>167</v>
      </c>
      <c r="I171" s="32" t="str">
        <f aca="false">INDEX(Productos!$B$2:$B$13,MATCH($H171,Productos!$A$2:$A$13,0))</f>
        <v>Tornillo DIN 912 M6x25 Allen zincado</v>
      </c>
      <c r="J171" s="32" t="str">
        <f aca="false">INDEX(Productos!$C$2:$C$13,MATCH($H171,Productos!$A$2:$A$13,0))</f>
        <v>Métrica</v>
      </c>
      <c r="K171" s="31" t="s">
        <v>246</v>
      </c>
      <c r="L171" s="46" t="n">
        <v>47</v>
      </c>
      <c r="M171" s="50" t="n">
        <f aca="false">INDEX(Productos!$F$2:$F$13,MATCH($H171,Productos!$A$2:$A$13,0))</f>
        <v>42</v>
      </c>
      <c r="N171" s="51" t="n">
        <v>0.162</v>
      </c>
      <c r="O171" s="52" t="n">
        <f aca="false">M171*(1-N171)</f>
        <v>35.196</v>
      </c>
      <c r="P171" s="21" t="n">
        <f aca="false">L171*O171</f>
        <v>1654.212</v>
      </c>
      <c r="Q171" s="50" t="n">
        <f aca="false">INDEX(Productos!$E$2:$E$13,MATCH($H171,Productos!$A$2:$A$13,0))*INDEX(Parametros!$B$26:$B$43,MATCH($C171,Parametros!$A$26:$A$43,0))</f>
        <v>22.454</v>
      </c>
      <c r="R171" s="21" t="n">
        <f aca="false">L171*Q171</f>
        <v>1055.338</v>
      </c>
      <c r="S171" s="18" t="n">
        <f aca="false">L171*INDEX(Parametros!$B$20:$B$22,MATCH($E171,Parametros!$A$20:$A$22,0))</f>
        <v>112.8</v>
      </c>
      <c r="T171" s="18" t="n">
        <f aca="false">P171*INDEX(Parametros!$B$13:$B$16,MATCH($F171,Parametros!$A$13:$A$16,0))</f>
        <v>66.16848</v>
      </c>
      <c r="U171" s="21" t="n">
        <f aca="false">P171-R171-S171-T171</f>
        <v>419.90552</v>
      </c>
      <c r="V171" s="19" t="n">
        <f aca="false">IFERROR(U171/P171,0)</f>
        <v>0.253840209114672</v>
      </c>
      <c r="W171" s="48" t="n">
        <f aca="false">B171+INDEX(Parametros!$C$13:$C$16,MATCH($F171,Parametros!$A$13:$A$16,0))</f>
        <v>45794</v>
      </c>
      <c r="X171" s="31" t="s">
        <v>67</v>
      </c>
      <c r="Y171" s="53" t="n">
        <f aca="false">IF(COUNTIF($A$2:$A171,A171)=1,1,0)</f>
        <v>0</v>
      </c>
    </row>
    <row r="172" customFormat="false" ht="15" hidden="false" customHeight="false" outlineLevel="0" collapsed="false">
      <c r="A172" s="31" t="s">
        <v>338</v>
      </c>
      <c r="B172" s="36" t="n">
        <v>45719</v>
      </c>
      <c r="C172" s="49" t="n">
        <f aca="false">DATE(YEAR(B172),MONTH(B172),1)</f>
        <v>45717</v>
      </c>
      <c r="D172" s="31" t="s">
        <v>215</v>
      </c>
      <c r="E172" s="31" t="s">
        <v>42</v>
      </c>
      <c r="F172" s="31" t="s">
        <v>46</v>
      </c>
      <c r="G172" s="31" t="s">
        <v>61</v>
      </c>
      <c r="H172" s="31" t="s">
        <v>171</v>
      </c>
      <c r="I172" s="32" t="str">
        <f aca="false">INDEX(Productos!$B$2:$B$13,MATCH($H172,Productos!$A$2:$A$13,0))</f>
        <v>Tornillo DIN 7991 M8x30 avellanado inox A2</v>
      </c>
      <c r="J172" s="32" t="str">
        <f aca="false">INDEX(Productos!$C$2:$C$13,MATCH($H172,Productos!$A$2:$A$13,0))</f>
        <v>Inoxidable</v>
      </c>
      <c r="K172" s="31" t="s">
        <v>246</v>
      </c>
      <c r="L172" s="46" t="n">
        <v>35</v>
      </c>
      <c r="M172" s="50" t="n">
        <f aca="false">INDEX(Productos!$F$2:$F$13,MATCH($H172,Productos!$A$2:$A$13,0))</f>
        <v>88</v>
      </c>
      <c r="N172" s="51" t="n">
        <v>0.08</v>
      </c>
      <c r="O172" s="52" t="n">
        <f aca="false">M172*(1-N172)</f>
        <v>80.96</v>
      </c>
      <c r="P172" s="21" t="n">
        <f aca="false">L172*O172</f>
        <v>2833.6</v>
      </c>
      <c r="Q172" s="50" t="n">
        <f aca="false">INDEX(Productos!$E$2:$E$13,MATCH($H172,Productos!$A$2:$A$13,0))*INDEX(Parametros!$B$26:$B$43,MATCH($C172,Parametros!$A$26:$A$43,0))</f>
        <v>47.895</v>
      </c>
      <c r="R172" s="21" t="n">
        <f aca="false">L172*Q172</f>
        <v>1676.325</v>
      </c>
      <c r="S172" s="18" t="n">
        <f aca="false">L172*INDEX(Parametros!$B$20:$B$22,MATCH($E172,Parametros!$A$20:$A$22,0))</f>
        <v>84</v>
      </c>
      <c r="T172" s="18" t="n">
        <f aca="false">P172*INDEX(Parametros!$B$13:$B$16,MATCH($F172,Parametros!$A$13:$A$16,0))</f>
        <v>113.344</v>
      </c>
      <c r="U172" s="21" t="n">
        <f aca="false">P172-R172-S172-T172</f>
        <v>959.931</v>
      </c>
      <c r="V172" s="19" t="n">
        <f aca="false">IFERROR(U172/P172,0)</f>
        <v>0.338767292490119</v>
      </c>
      <c r="W172" s="48" t="n">
        <f aca="false">B172+INDEX(Parametros!$C$13:$C$16,MATCH($F172,Parametros!$A$13:$A$16,0))</f>
        <v>45794</v>
      </c>
      <c r="X172" s="31" t="s">
        <v>67</v>
      </c>
      <c r="Y172" s="53" t="n">
        <f aca="false">IF(COUNTIF($A$2:$A172,A172)=1,1,0)</f>
        <v>0</v>
      </c>
    </row>
    <row r="173" customFormat="false" ht="15" hidden="false" customHeight="false" outlineLevel="0" collapsed="false">
      <c r="A173" s="31" t="s">
        <v>339</v>
      </c>
      <c r="B173" s="36" t="n">
        <v>45719</v>
      </c>
      <c r="C173" s="49" t="n">
        <f aca="false">DATE(YEAR(B173),MONTH(B173),1)</f>
        <v>45717</v>
      </c>
      <c r="D173" s="31" t="s">
        <v>193</v>
      </c>
      <c r="E173" s="31" t="s">
        <v>41</v>
      </c>
      <c r="F173" s="31" t="s">
        <v>45</v>
      </c>
      <c r="G173" s="31" t="s">
        <v>62</v>
      </c>
      <c r="H173" s="31" t="s">
        <v>183</v>
      </c>
      <c r="I173" s="32" t="str">
        <f aca="false">INDEX(Productos!$B$2:$B$13,MATCH($H173,Productos!$A$2:$A$13,0))</f>
        <v>Tornillo estructural M16x90 clase 10.9</v>
      </c>
      <c r="J173" s="32" t="str">
        <f aca="false">INDEX(Productos!$C$2:$C$13,MATCH($H173,Productos!$A$2:$A$13,0))</f>
        <v>Especial</v>
      </c>
      <c r="K173" s="31" t="s">
        <v>246</v>
      </c>
      <c r="L173" s="46" t="n">
        <v>131</v>
      </c>
      <c r="M173" s="50" t="n">
        <f aca="false">INDEX(Productos!$F$2:$F$13,MATCH($H173,Productos!$A$2:$A$13,0))</f>
        <v>112</v>
      </c>
      <c r="N173" s="51" t="n">
        <v>0.161</v>
      </c>
      <c r="O173" s="52" t="n">
        <f aca="false">M173*(1-N173)</f>
        <v>93.968</v>
      </c>
      <c r="P173" s="21" t="n">
        <f aca="false">L173*O173</f>
        <v>12309.808</v>
      </c>
      <c r="Q173" s="50" t="n">
        <f aca="false">INDEX(Productos!$E$2:$E$13,MATCH($H173,Productos!$A$2:$A$13,0))*INDEX(Parametros!$B$26:$B$43,MATCH($C173,Parametros!$A$26:$A$43,0))</f>
        <v>61.8</v>
      </c>
      <c r="R173" s="21" t="n">
        <f aca="false">L173*Q173</f>
        <v>8095.8</v>
      </c>
      <c r="S173" s="18" t="n">
        <f aca="false">L173*INDEX(Parametros!$B$20:$B$22,MATCH($E173,Parametros!$A$20:$A$22,0))</f>
        <v>111.35</v>
      </c>
      <c r="T173" s="18" t="n">
        <f aca="false">P173*INDEX(Parametros!$B$13:$B$16,MATCH($F173,Parametros!$A$13:$A$16,0))</f>
        <v>369.29424</v>
      </c>
      <c r="U173" s="21" t="n">
        <f aca="false">P173-R173-S173-T173</f>
        <v>3733.36376</v>
      </c>
      <c r="V173" s="19" t="n">
        <f aca="false">IFERROR(U173/P173,0)</f>
        <v>0.303283671036949</v>
      </c>
      <c r="W173" s="48" t="n">
        <f aca="false">B173+INDEX(Parametros!$C$13:$C$16,MATCH($F173,Parametros!$A$13:$A$16,0))</f>
        <v>45779</v>
      </c>
      <c r="X173" s="31" t="s">
        <v>67</v>
      </c>
      <c r="Y173" s="53" t="n">
        <f aca="false">IF(COUNTIF($A$2:$A173,A173)=1,1,0)</f>
        <v>1</v>
      </c>
    </row>
    <row r="174" customFormat="false" ht="15" hidden="false" customHeight="false" outlineLevel="0" collapsed="false">
      <c r="A174" s="31" t="s">
        <v>339</v>
      </c>
      <c r="B174" s="36" t="n">
        <v>45719</v>
      </c>
      <c r="C174" s="49" t="n">
        <f aca="false">DATE(YEAR(B174),MONTH(B174),1)</f>
        <v>45717</v>
      </c>
      <c r="D174" s="31" t="s">
        <v>193</v>
      </c>
      <c r="E174" s="31" t="s">
        <v>41</v>
      </c>
      <c r="F174" s="31" t="s">
        <v>45</v>
      </c>
      <c r="G174" s="31" t="s">
        <v>62</v>
      </c>
      <c r="H174" s="31" t="s">
        <v>167</v>
      </c>
      <c r="I174" s="32" t="str">
        <f aca="false">INDEX(Productos!$B$2:$B$13,MATCH($H174,Productos!$A$2:$A$13,0))</f>
        <v>Tornillo DIN 912 M6x25 Allen zincado</v>
      </c>
      <c r="J174" s="32" t="str">
        <f aca="false">INDEX(Productos!$C$2:$C$13,MATCH($H174,Productos!$A$2:$A$13,0))</f>
        <v>Métrica</v>
      </c>
      <c r="K174" s="31" t="s">
        <v>246</v>
      </c>
      <c r="L174" s="46" t="n">
        <v>94</v>
      </c>
      <c r="M174" s="50" t="n">
        <f aca="false">INDEX(Productos!$F$2:$F$13,MATCH($H174,Productos!$A$2:$A$13,0))</f>
        <v>42</v>
      </c>
      <c r="N174" s="51" t="n">
        <v>0.17</v>
      </c>
      <c r="O174" s="52" t="n">
        <f aca="false">M174*(1-N174)</f>
        <v>34.86</v>
      </c>
      <c r="P174" s="21" t="n">
        <f aca="false">L174*O174</f>
        <v>3276.84</v>
      </c>
      <c r="Q174" s="50" t="n">
        <f aca="false">INDEX(Productos!$E$2:$E$13,MATCH($H174,Productos!$A$2:$A$13,0))*INDEX(Parametros!$B$26:$B$43,MATCH($C174,Parametros!$A$26:$A$43,0))</f>
        <v>22.454</v>
      </c>
      <c r="R174" s="21" t="n">
        <f aca="false">L174*Q174</f>
        <v>2110.676</v>
      </c>
      <c r="S174" s="18" t="n">
        <f aca="false">L174*INDEX(Parametros!$B$20:$B$22,MATCH($E174,Parametros!$A$20:$A$22,0))</f>
        <v>79.9</v>
      </c>
      <c r="T174" s="18" t="n">
        <f aca="false">P174*INDEX(Parametros!$B$13:$B$16,MATCH($F174,Parametros!$A$13:$A$16,0))</f>
        <v>98.3052</v>
      </c>
      <c r="U174" s="21" t="n">
        <f aca="false">P174-R174-S174-T174</f>
        <v>987.9588</v>
      </c>
      <c r="V174" s="19" t="n">
        <f aca="false">IFERROR(U174/P174,0)</f>
        <v>0.301497418244406</v>
      </c>
      <c r="W174" s="48" t="n">
        <f aca="false">B174+INDEX(Parametros!$C$13:$C$16,MATCH($F174,Parametros!$A$13:$A$16,0))</f>
        <v>45779</v>
      </c>
      <c r="X174" s="31" t="s">
        <v>67</v>
      </c>
      <c r="Y174" s="53" t="n">
        <f aca="false">IF(COUNTIF($A$2:$A174,A174)=1,1,0)</f>
        <v>0</v>
      </c>
    </row>
    <row r="175" customFormat="false" ht="15" hidden="false" customHeight="false" outlineLevel="0" collapsed="false">
      <c r="A175" s="31" t="s">
        <v>340</v>
      </c>
      <c r="B175" s="36" t="n">
        <v>45719</v>
      </c>
      <c r="C175" s="49" t="n">
        <f aca="false">DATE(YEAR(B175),MONTH(B175),1)</f>
        <v>45717</v>
      </c>
      <c r="D175" s="31" t="s">
        <v>191</v>
      </c>
      <c r="E175" s="31" t="s">
        <v>41</v>
      </c>
      <c r="F175" s="31" t="s">
        <v>47</v>
      </c>
      <c r="G175" s="31" t="s">
        <v>58</v>
      </c>
      <c r="H175" s="31" t="s">
        <v>183</v>
      </c>
      <c r="I175" s="32" t="str">
        <f aca="false">INDEX(Productos!$B$2:$B$13,MATCH($H175,Productos!$A$2:$A$13,0))</f>
        <v>Tornillo estructural M16x90 clase 10.9</v>
      </c>
      <c r="J175" s="32" t="str">
        <f aca="false">INDEX(Productos!$C$2:$C$13,MATCH($H175,Productos!$A$2:$A$13,0))</f>
        <v>Especial</v>
      </c>
      <c r="K175" s="31" t="s">
        <v>246</v>
      </c>
      <c r="L175" s="46" t="n">
        <v>78</v>
      </c>
      <c r="M175" s="50" t="n">
        <f aca="false">INDEX(Productos!$F$2:$F$13,MATCH($H175,Productos!$A$2:$A$13,0))</f>
        <v>112</v>
      </c>
      <c r="N175" s="51" t="n">
        <v>0.09</v>
      </c>
      <c r="O175" s="52" t="n">
        <f aca="false">M175*(1-N175)</f>
        <v>101.92</v>
      </c>
      <c r="P175" s="21" t="n">
        <f aca="false">L175*O175</f>
        <v>7949.76</v>
      </c>
      <c r="Q175" s="50" t="n">
        <f aca="false">INDEX(Productos!$E$2:$E$13,MATCH($H175,Productos!$A$2:$A$13,0))*INDEX(Parametros!$B$26:$B$43,MATCH($C175,Parametros!$A$26:$A$43,0))</f>
        <v>61.8</v>
      </c>
      <c r="R175" s="21" t="n">
        <f aca="false">L175*Q175</f>
        <v>4820.4</v>
      </c>
      <c r="S175" s="18" t="n">
        <f aca="false">L175*INDEX(Parametros!$B$20:$B$22,MATCH($E175,Parametros!$A$20:$A$22,0))</f>
        <v>66.3</v>
      </c>
      <c r="T175" s="18" t="n">
        <f aca="false">P175*INDEX(Parametros!$B$13:$B$16,MATCH($F175,Parametros!$A$13:$A$16,0))</f>
        <v>278.2416</v>
      </c>
      <c r="U175" s="21" t="n">
        <f aca="false">P175-R175-S175-T175</f>
        <v>2784.8184</v>
      </c>
      <c r="V175" s="19" t="n">
        <f aca="false">IFERROR(U175/P175,0)</f>
        <v>0.350302197802198</v>
      </c>
      <c r="W175" s="48" t="n">
        <f aca="false">B175+INDEX(Parametros!$C$13:$C$16,MATCH($F175,Parametros!$A$13:$A$16,0))</f>
        <v>45764</v>
      </c>
      <c r="X175" s="31" t="s">
        <v>67</v>
      </c>
      <c r="Y175" s="53" t="n">
        <f aca="false">IF(COUNTIF($A$2:$A175,A175)=1,1,0)</f>
        <v>1</v>
      </c>
    </row>
    <row r="176" customFormat="false" ht="15" hidden="false" customHeight="false" outlineLevel="0" collapsed="false">
      <c r="A176" s="31" t="s">
        <v>340</v>
      </c>
      <c r="B176" s="36" t="n">
        <v>45719</v>
      </c>
      <c r="C176" s="49" t="n">
        <f aca="false">DATE(YEAR(B176),MONTH(B176),1)</f>
        <v>45717</v>
      </c>
      <c r="D176" s="31" t="s">
        <v>191</v>
      </c>
      <c r="E176" s="31" t="s">
        <v>41</v>
      </c>
      <c r="F176" s="31" t="s">
        <v>47</v>
      </c>
      <c r="G176" s="31" t="s">
        <v>58</v>
      </c>
      <c r="H176" s="31" t="s">
        <v>185</v>
      </c>
      <c r="I176" s="32" t="str">
        <f aca="false">INDEX(Productos!$B$2:$B$13,MATCH($H176,Productos!$A$2:$A$13,0))</f>
        <v>Varilla roscada M10 x 1 m zincada</v>
      </c>
      <c r="J176" s="32" t="str">
        <f aca="false">INDEX(Productos!$C$2:$C$13,MATCH($H176,Productos!$A$2:$A$13,0))</f>
        <v>Especial</v>
      </c>
      <c r="K176" s="31" t="s">
        <v>246</v>
      </c>
      <c r="L176" s="46" t="n">
        <v>30</v>
      </c>
      <c r="M176" s="50" t="n">
        <f aca="false">INDEX(Productos!$F$2:$F$13,MATCH($H176,Productos!$A$2:$A$13,0))</f>
        <v>54</v>
      </c>
      <c r="N176" s="51" t="n">
        <v>0.091</v>
      </c>
      <c r="O176" s="52" t="n">
        <f aca="false">M176*(1-N176)</f>
        <v>49.086</v>
      </c>
      <c r="P176" s="21" t="n">
        <f aca="false">L176*O176</f>
        <v>1472.58</v>
      </c>
      <c r="Q176" s="50" t="n">
        <f aca="false">INDEX(Productos!$E$2:$E$13,MATCH($H176,Productos!$A$2:$A$13,0))*INDEX(Parametros!$B$26:$B$43,MATCH($C176,Parametros!$A$26:$A$43,0))</f>
        <v>29.355</v>
      </c>
      <c r="R176" s="21" t="n">
        <f aca="false">L176*Q176</f>
        <v>880.65</v>
      </c>
      <c r="S176" s="18" t="n">
        <f aca="false">L176*INDEX(Parametros!$B$20:$B$22,MATCH($E176,Parametros!$A$20:$A$22,0))</f>
        <v>25.5</v>
      </c>
      <c r="T176" s="18" t="n">
        <f aca="false">P176*INDEX(Parametros!$B$13:$B$16,MATCH($F176,Parametros!$A$13:$A$16,0))</f>
        <v>51.5403</v>
      </c>
      <c r="U176" s="21" t="n">
        <f aca="false">P176-R176-S176-T176</f>
        <v>514.8897</v>
      </c>
      <c r="V176" s="19" t="n">
        <f aca="false">IFERROR(U176/P176,0)</f>
        <v>0.349651428105774</v>
      </c>
      <c r="W176" s="48" t="n">
        <f aca="false">B176+INDEX(Parametros!$C$13:$C$16,MATCH($F176,Parametros!$A$13:$A$16,0))</f>
        <v>45764</v>
      </c>
      <c r="X176" s="31" t="s">
        <v>67</v>
      </c>
      <c r="Y176" s="53" t="n">
        <f aca="false">IF(COUNTIF($A$2:$A176,A176)=1,1,0)</f>
        <v>0</v>
      </c>
    </row>
    <row r="177" customFormat="false" ht="15" hidden="false" customHeight="false" outlineLevel="0" collapsed="false">
      <c r="A177" s="31" t="s">
        <v>340</v>
      </c>
      <c r="B177" s="36" t="n">
        <v>45719</v>
      </c>
      <c r="C177" s="49" t="n">
        <f aca="false">DATE(YEAR(B177),MONTH(B177),1)</f>
        <v>45717</v>
      </c>
      <c r="D177" s="31" t="s">
        <v>191</v>
      </c>
      <c r="E177" s="31" t="s">
        <v>41</v>
      </c>
      <c r="F177" s="31" t="s">
        <v>47</v>
      </c>
      <c r="G177" s="31" t="s">
        <v>58</v>
      </c>
      <c r="H177" s="31" t="s">
        <v>179</v>
      </c>
      <c r="I177" s="32" t="str">
        <f aca="false">INDEX(Productos!$B$2:$B$13,MATCH($H177,Productos!$A$2:$A$13,0))</f>
        <v>Autotaladrante DIN 7504 4,8x38 zincado</v>
      </c>
      <c r="J177" s="32" t="str">
        <f aca="false">INDEX(Productos!$C$2:$C$13,MATCH($H177,Productos!$A$2:$A$13,0))</f>
        <v>Autotaladrante</v>
      </c>
      <c r="K177" s="31" t="s">
        <v>246</v>
      </c>
      <c r="L177" s="46" t="n">
        <v>74</v>
      </c>
      <c r="M177" s="50" t="n">
        <f aca="false">INDEX(Productos!$F$2:$F$13,MATCH($H177,Productos!$A$2:$A$13,0))</f>
        <v>29.5</v>
      </c>
      <c r="N177" s="51" t="n">
        <v>0.082</v>
      </c>
      <c r="O177" s="52" t="n">
        <f aca="false">M177*(1-N177)</f>
        <v>27.081</v>
      </c>
      <c r="P177" s="21" t="n">
        <f aca="false">L177*O177</f>
        <v>2003.994</v>
      </c>
      <c r="Q177" s="50" t="n">
        <f aca="false">INDEX(Productos!$E$2:$E$13,MATCH($H177,Productos!$A$2:$A$13,0))*INDEX(Parametros!$B$26:$B$43,MATCH($C177,Parametros!$A$26:$A$43,0))</f>
        <v>15.656</v>
      </c>
      <c r="R177" s="21" t="n">
        <f aca="false">L177*Q177</f>
        <v>1158.544</v>
      </c>
      <c r="S177" s="18" t="n">
        <f aca="false">L177*INDEX(Parametros!$B$20:$B$22,MATCH($E177,Parametros!$A$20:$A$22,0))</f>
        <v>62.9</v>
      </c>
      <c r="T177" s="18" t="n">
        <f aca="false">P177*INDEX(Parametros!$B$13:$B$16,MATCH($F177,Parametros!$A$13:$A$16,0))</f>
        <v>70.13979</v>
      </c>
      <c r="U177" s="21" t="n">
        <f aca="false">P177-R177-S177-T177</f>
        <v>712.41021</v>
      </c>
      <c r="V177" s="19" t="n">
        <f aca="false">IFERROR(U177/P177,0)</f>
        <v>0.355495181123297</v>
      </c>
      <c r="W177" s="48" t="n">
        <f aca="false">B177+INDEX(Parametros!$C$13:$C$16,MATCH($F177,Parametros!$A$13:$A$16,0))</f>
        <v>45764</v>
      </c>
      <c r="X177" s="31" t="s">
        <v>67</v>
      </c>
      <c r="Y177" s="53" t="n">
        <f aca="false">IF(COUNTIF($A$2:$A177,A177)=1,1,0)</f>
        <v>0</v>
      </c>
    </row>
    <row r="178" customFormat="false" ht="15" hidden="false" customHeight="false" outlineLevel="0" collapsed="false">
      <c r="A178" s="31" t="s">
        <v>340</v>
      </c>
      <c r="B178" s="36" t="n">
        <v>45719</v>
      </c>
      <c r="C178" s="49" t="n">
        <f aca="false">DATE(YEAR(B178),MONTH(B178),1)</f>
        <v>45717</v>
      </c>
      <c r="D178" s="31" t="s">
        <v>191</v>
      </c>
      <c r="E178" s="31" t="s">
        <v>41</v>
      </c>
      <c r="F178" s="31" t="s">
        <v>47</v>
      </c>
      <c r="G178" s="31" t="s">
        <v>58</v>
      </c>
      <c r="H178" s="31" t="s">
        <v>177</v>
      </c>
      <c r="I178" s="32" t="str">
        <f aca="false">INDEX(Productos!$B$2:$B$13,MATCH($H178,Productos!$A$2:$A$13,0))</f>
        <v>Tirafondo madera 6x100 cabeza plana Torx</v>
      </c>
      <c r="J178" s="32" t="str">
        <f aca="false">INDEX(Productos!$C$2:$C$13,MATCH($H178,Productos!$A$2:$A$13,0))</f>
        <v>Madera</v>
      </c>
      <c r="K178" s="31" t="s">
        <v>246</v>
      </c>
      <c r="L178" s="46" t="n">
        <v>26</v>
      </c>
      <c r="M178" s="50" t="n">
        <f aca="false">INDEX(Productos!$F$2:$F$13,MATCH($H178,Productos!$A$2:$A$13,0))</f>
        <v>34</v>
      </c>
      <c r="N178" s="51" t="n">
        <v>0.084</v>
      </c>
      <c r="O178" s="52" t="n">
        <f aca="false">M178*(1-N178)</f>
        <v>31.144</v>
      </c>
      <c r="P178" s="21" t="n">
        <f aca="false">L178*O178</f>
        <v>809.744</v>
      </c>
      <c r="Q178" s="50" t="n">
        <f aca="false">INDEX(Productos!$E$2:$E$13,MATCH($H178,Productos!$A$2:$A$13,0))*INDEX(Parametros!$B$26:$B$43,MATCH($C178,Parametros!$A$26:$A$43,0))</f>
        <v>18.334</v>
      </c>
      <c r="R178" s="21" t="n">
        <f aca="false">L178*Q178</f>
        <v>476.684</v>
      </c>
      <c r="S178" s="18" t="n">
        <f aca="false">L178*INDEX(Parametros!$B$20:$B$22,MATCH($E178,Parametros!$A$20:$A$22,0))</f>
        <v>22.1</v>
      </c>
      <c r="T178" s="18" t="n">
        <f aca="false">P178*INDEX(Parametros!$B$13:$B$16,MATCH($F178,Parametros!$A$13:$A$16,0))</f>
        <v>28.34104</v>
      </c>
      <c r="U178" s="21" t="n">
        <f aca="false">P178-R178-S178-T178</f>
        <v>282.61896</v>
      </c>
      <c r="V178" s="19" t="n">
        <f aca="false">IFERROR(U178/P178,0)</f>
        <v>0.349022604675058</v>
      </c>
      <c r="W178" s="48" t="n">
        <f aca="false">B178+INDEX(Parametros!$C$13:$C$16,MATCH($F178,Parametros!$A$13:$A$16,0))</f>
        <v>45764</v>
      </c>
      <c r="X178" s="31" t="s">
        <v>69</v>
      </c>
      <c r="Y178" s="53" t="n">
        <f aca="false">IF(COUNTIF($A$2:$A178,A178)=1,1,0)</f>
        <v>0</v>
      </c>
    </row>
    <row r="179" customFormat="false" ht="15" hidden="false" customHeight="false" outlineLevel="0" collapsed="false">
      <c r="A179" s="31" t="s">
        <v>341</v>
      </c>
      <c r="B179" s="36" t="n">
        <v>45720</v>
      </c>
      <c r="C179" s="49" t="n">
        <f aca="false">DATE(YEAR(B179),MONTH(B179),1)</f>
        <v>45717</v>
      </c>
      <c r="D179" s="31" t="s">
        <v>207</v>
      </c>
      <c r="E179" s="31" t="s">
        <v>41</v>
      </c>
      <c r="F179" s="31" t="s">
        <v>47</v>
      </c>
      <c r="G179" s="31" t="s">
        <v>62</v>
      </c>
      <c r="H179" s="31" t="s">
        <v>163</v>
      </c>
      <c r="I179" s="32" t="str">
        <f aca="false">INDEX(Productos!$B$2:$B$13,MATCH($H179,Productos!$A$2:$A$13,0))</f>
        <v>Tornillo DIN 933 M6x30 rosca completa zincado</v>
      </c>
      <c r="J179" s="32" t="str">
        <f aca="false">INDEX(Productos!$C$2:$C$13,MATCH($H179,Productos!$A$2:$A$13,0))</f>
        <v>Métrica</v>
      </c>
      <c r="K179" s="31" t="s">
        <v>246</v>
      </c>
      <c r="L179" s="46" t="n">
        <v>67</v>
      </c>
      <c r="M179" s="50" t="n">
        <f aca="false">INDEX(Productos!$F$2:$F$13,MATCH($H179,Productos!$A$2:$A$13,0))</f>
        <v>32</v>
      </c>
      <c r="N179" s="51" t="n">
        <v>0.032</v>
      </c>
      <c r="O179" s="52" t="n">
        <f aca="false">M179*(1-N179)</f>
        <v>30.976</v>
      </c>
      <c r="P179" s="21" t="n">
        <f aca="false">L179*O179</f>
        <v>2075.392</v>
      </c>
      <c r="Q179" s="50" t="n">
        <f aca="false">INDEX(Productos!$E$2:$E$13,MATCH($H179,Productos!$A$2:$A$13,0))*INDEX(Parametros!$B$26:$B$43,MATCH($C179,Parametros!$A$26:$A$43,0))</f>
        <v>17.098</v>
      </c>
      <c r="R179" s="21" t="n">
        <f aca="false">L179*Q179</f>
        <v>1145.566</v>
      </c>
      <c r="S179" s="18" t="n">
        <f aca="false">L179*INDEX(Parametros!$B$20:$B$22,MATCH($E179,Parametros!$A$20:$A$22,0))</f>
        <v>56.95</v>
      </c>
      <c r="T179" s="18" t="n">
        <f aca="false">P179*INDEX(Parametros!$B$13:$B$16,MATCH($F179,Parametros!$A$13:$A$16,0))</f>
        <v>72.63872</v>
      </c>
      <c r="U179" s="21" t="n">
        <f aca="false">P179-R179-S179-T179</f>
        <v>800.23728</v>
      </c>
      <c r="V179" s="19" t="n">
        <f aca="false">IFERROR(U179/P179,0)</f>
        <v>0.38558367768595</v>
      </c>
      <c r="W179" s="48" t="n">
        <f aca="false">B179+INDEX(Parametros!$C$13:$C$16,MATCH($F179,Parametros!$A$13:$A$16,0))</f>
        <v>45765</v>
      </c>
      <c r="X179" s="31" t="s">
        <v>67</v>
      </c>
      <c r="Y179" s="53" t="n">
        <f aca="false">IF(COUNTIF($A$2:$A179,A179)=1,1,0)</f>
        <v>1</v>
      </c>
    </row>
    <row r="180" customFormat="false" ht="15" hidden="false" customHeight="false" outlineLevel="0" collapsed="false">
      <c r="A180" s="31" t="s">
        <v>341</v>
      </c>
      <c r="B180" s="36" t="n">
        <v>45720</v>
      </c>
      <c r="C180" s="49" t="n">
        <f aca="false">DATE(YEAR(B180),MONTH(B180),1)</f>
        <v>45717</v>
      </c>
      <c r="D180" s="31" t="s">
        <v>207</v>
      </c>
      <c r="E180" s="31" t="s">
        <v>41</v>
      </c>
      <c r="F180" s="31" t="s">
        <v>47</v>
      </c>
      <c r="G180" s="31" t="s">
        <v>62</v>
      </c>
      <c r="H180" s="31" t="s">
        <v>179</v>
      </c>
      <c r="I180" s="32" t="str">
        <f aca="false">INDEX(Productos!$B$2:$B$13,MATCH($H180,Productos!$A$2:$A$13,0))</f>
        <v>Autotaladrante DIN 7504 4,8x38 zincado</v>
      </c>
      <c r="J180" s="32" t="str">
        <f aca="false">INDEX(Productos!$C$2:$C$13,MATCH($H180,Productos!$A$2:$A$13,0))</f>
        <v>Autotaladrante</v>
      </c>
      <c r="K180" s="31" t="s">
        <v>246</v>
      </c>
      <c r="L180" s="46" t="n">
        <v>64</v>
      </c>
      <c r="M180" s="50" t="n">
        <f aca="false">INDEX(Productos!$F$2:$F$13,MATCH($H180,Productos!$A$2:$A$13,0))</f>
        <v>29.5</v>
      </c>
      <c r="N180" s="51" t="n">
        <v>0.035</v>
      </c>
      <c r="O180" s="52" t="n">
        <f aca="false">M180*(1-N180)</f>
        <v>28.4675</v>
      </c>
      <c r="P180" s="21" t="n">
        <f aca="false">L180*O180</f>
        <v>1821.92</v>
      </c>
      <c r="Q180" s="50" t="n">
        <f aca="false">INDEX(Productos!$E$2:$E$13,MATCH($H180,Productos!$A$2:$A$13,0))*INDEX(Parametros!$B$26:$B$43,MATCH($C180,Parametros!$A$26:$A$43,0))</f>
        <v>15.656</v>
      </c>
      <c r="R180" s="21" t="n">
        <f aca="false">L180*Q180</f>
        <v>1001.984</v>
      </c>
      <c r="S180" s="18" t="n">
        <f aca="false">L180*INDEX(Parametros!$B$20:$B$22,MATCH($E180,Parametros!$A$20:$A$22,0))</f>
        <v>54.4</v>
      </c>
      <c r="T180" s="18" t="n">
        <f aca="false">P180*INDEX(Parametros!$B$13:$B$16,MATCH($F180,Parametros!$A$13:$A$16,0))</f>
        <v>63.7672</v>
      </c>
      <c r="U180" s="21" t="n">
        <f aca="false">P180-R180-S180-T180</f>
        <v>701.7688</v>
      </c>
      <c r="V180" s="19" t="n">
        <f aca="false">IFERROR(U180/P180,0)</f>
        <v>0.385180908053043</v>
      </c>
      <c r="W180" s="48" t="n">
        <f aca="false">B180+INDEX(Parametros!$C$13:$C$16,MATCH($F180,Parametros!$A$13:$A$16,0))</f>
        <v>45765</v>
      </c>
      <c r="X180" s="31" t="s">
        <v>67</v>
      </c>
      <c r="Y180" s="53" t="n">
        <f aca="false">IF(COUNTIF($A$2:$A180,A180)=1,1,0)</f>
        <v>0</v>
      </c>
    </row>
    <row r="181" customFormat="false" ht="15" hidden="false" customHeight="false" outlineLevel="0" collapsed="false">
      <c r="A181" s="31" t="s">
        <v>342</v>
      </c>
      <c r="B181" s="36" t="n">
        <v>45720</v>
      </c>
      <c r="C181" s="49" t="n">
        <f aca="false">DATE(YEAR(B181),MONTH(B181),1)</f>
        <v>45717</v>
      </c>
      <c r="D181" s="31" t="s">
        <v>196</v>
      </c>
      <c r="E181" s="31" t="s">
        <v>41</v>
      </c>
      <c r="F181" s="31" t="s">
        <v>47</v>
      </c>
      <c r="G181" s="31" t="s">
        <v>58</v>
      </c>
      <c r="H181" s="31" t="s">
        <v>175</v>
      </c>
      <c r="I181" s="32" t="str">
        <f aca="false">INDEX(Productos!$B$2:$B$13,MATCH($H181,Productos!$A$2:$A$13,0))</f>
        <v>Tirafondo madera 5x60 cabeza plana Torx</v>
      </c>
      <c r="J181" s="32" t="str">
        <f aca="false">INDEX(Productos!$C$2:$C$13,MATCH($H181,Productos!$A$2:$A$13,0))</f>
        <v>Madera</v>
      </c>
      <c r="K181" s="31" t="s">
        <v>246</v>
      </c>
      <c r="L181" s="46" t="n">
        <v>28</v>
      </c>
      <c r="M181" s="50" t="n">
        <f aca="false">INDEX(Productos!$F$2:$F$13,MATCH($H181,Productos!$A$2:$A$13,0))</f>
        <v>26</v>
      </c>
      <c r="N181" s="51" t="n">
        <v>0.09</v>
      </c>
      <c r="O181" s="52" t="n">
        <f aca="false">M181*(1-N181)</f>
        <v>23.66</v>
      </c>
      <c r="P181" s="21" t="n">
        <f aca="false">L181*O181</f>
        <v>662.48</v>
      </c>
      <c r="Q181" s="50" t="n">
        <f aca="false">INDEX(Productos!$E$2:$E$13,MATCH($H181,Productos!$A$2:$A$13,0))*INDEX(Parametros!$B$26:$B$43,MATCH($C181,Parametros!$A$26:$A$43,0))</f>
        <v>13.802</v>
      </c>
      <c r="R181" s="21" t="n">
        <f aca="false">L181*Q181</f>
        <v>386.456</v>
      </c>
      <c r="S181" s="18" t="n">
        <f aca="false">L181*INDEX(Parametros!$B$20:$B$22,MATCH($E181,Parametros!$A$20:$A$22,0))</f>
        <v>23.8</v>
      </c>
      <c r="T181" s="18" t="n">
        <f aca="false">P181*INDEX(Parametros!$B$13:$B$16,MATCH($F181,Parametros!$A$13:$A$16,0))</f>
        <v>23.1868</v>
      </c>
      <c r="U181" s="21" t="n">
        <f aca="false">P181-R181-S181-T181</f>
        <v>229.0372</v>
      </c>
      <c r="V181" s="19" t="n">
        <f aca="false">IFERROR(U181/P181,0)</f>
        <v>0.34572696534235</v>
      </c>
      <c r="W181" s="48" t="n">
        <f aca="false">B181+INDEX(Parametros!$C$13:$C$16,MATCH($F181,Parametros!$A$13:$A$16,0))</f>
        <v>45765</v>
      </c>
      <c r="X181" s="31" t="s">
        <v>67</v>
      </c>
      <c r="Y181" s="53" t="n">
        <f aca="false">IF(COUNTIF($A$2:$A181,A181)=1,1,0)</f>
        <v>1</v>
      </c>
    </row>
    <row r="182" customFormat="false" ht="15" hidden="false" customHeight="false" outlineLevel="0" collapsed="false">
      <c r="A182" s="31" t="s">
        <v>343</v>
      </c>
      <c r="B182" s="36" t="n">
        <v>45721</v>
      </c>
      <c r="C182" s="49" t="n">
        <f aca="false">DATE(YEAR(B182),MONTH(B182),1)</f>
        <v>45717</v>
      </c>
      <c r="D182" s="31" t="s">
        <v>191</v>
      </c>
      <c r="E182" s="31" t="s">
        <v>41</v>
      </c>
      <c r="F182" s="31" t="s">
        <v>47</v>
      </c>
      <c r="G182" s="31" t="s">
        <v>58</v>
      </c>
      <c r="H182" s="31" t="s">
        <v>173</v>
      </c>
      <c r="I182" s="32" t="str">
        <f aca="false">INDEX(Productos!$B$2:$B$13,MATCH($H182,Productos!$A$2:$A$13,0))</f>
        <v>Tornillo DIN 933 M12x70 clase 8.8</v>
      </c>
      <c r="J182" s="32" t="str">
        <f aca="false">INDEX(Productos!$C$2:$C$13,MATCH($H182,Productos!$A$2:$A$13,0))</f>
        <v>Métrica</v>
      </c>
      <c r="K182" s="31" t="s">
        <v>246</v>
      </c>
      <c r="L182" s="46" t="n">
        <v>58</v>
      </c>
      <c r="M182" s="50" t="n">
        <f aca="false">INDEX(Productos!$F$2:$F$13,MATCH($H182,Productos!$A$2:$A$13,0))</f>
        <v>64</v>
      </c>
      <c r="N182" s="51" t="n">
        <v>0.086</v>
      </c>
      <c r="O182" s="52" t="n">
        <f aca="false">M182*(1-N182)</f>
        <v>58.496</v>
      </c>
      <c r="P182" s="21" t="n">
        <f aca="false">L182*O182</f>
        <v>3392.768</v>
      </c>
      <c r="Q182" s="50" t="n">
        <f aca="false">INDEX(Productos!$E$2:$E$13,MATCH($H182,Productos!$A$2:$A$13,0))*INDEX(Parametros!$B$26:$B$43,MATCH($C182,Parametros!$A$26:$A$43,0))</f>
        <v>34.505</v>
      </c>
      <c r="R182" s="21" t="n">
        <f aca="false">L182*Q182</f>
        <v>2001.29</v>
      </c>
      <c r="S182" s="18" t="n">
        <f aca="false">L182*INDEX(Parametros!$B$20:$B$22,MATCH($E182,Parametros!$A$20:$A$22,0))</f>
        <v>49.3</v>
      </c>
      <c r="T182" s="18" t="n">
        <f aca="false">P182*INDEX(Parametros!$B$13:$B$16,MATCH($F182,Parametros!$A$13:$A$16,0))</f>
        <v>118.74688</v>
      </c>
      <c r="U182" s="21" t="n">
        <f aca="false">P182-R182-S182-T182</f>
        <v>1223.43112</v>
      </c>
      <c r="V182" s="19" t="n">
        <f aca="false">IFERROR(U182/P182,0)</f>
        <v>0.360599699124726</v>
      </c>
      <c r="W182" s="48" t="n">
        <f aca="false">B182+INDEX(Parametros!$C$13:$C$16,MATCH($F182,Parametros!$A$13:$A$16,0))</f>
        <v>45766</v>
      </c>
      <c r="X182" s="31" t="s">
        <v>67</v>
      </c>
      <c r="Y182" s="53" t="n">
        <f aca="false">IF(COUNTIF($A$2:$A182,A182)=1,1,0)</f>
        <v>1</v>
      </c>
    </row>
    <row r="183" customFormat="false" ht="15" hidden="false" customHeight="false" outlineLevel="0" collapsed="false">
      <c r="A183" s="31" t="s">
        <v>343</v>
      </c>
      <c r="B183" s="36" t="n">
        <v>45721</v>
      </c>
      <c r="C183" s="49" t="n">
        <f aca="false">DATE(YEAR(B183),MONTH(B183),1)</f>
        <v>45717</v>
      </c>
      <c r="D183" s="31" t="s">
        <v>191</v>
      </c>
      <c r="E183" s="31" t="s">
        <v>41</v>
      </c>
      <c r="F183" s="31" t="s">
        <v>47</v>
      </c>
      <c r="G183" s="31" t="s">
        <v>58</v>
      </c>
      <c r="H183" s="31" t="s">
        <v>163</v>
      </c>
      <c r="I183" s="32" t="str">
        <f aca="false">INDEX(Productos!$B$2:$B$13,MATCH($H183,Productos!$A$2:$A$13,0))</f>
        <v>Tornillo DIN 933 M6x30 rosca completa zincado</v>
      </c>
      <c r="J183" s="32" t="str">
        <f aca="false">INDEX(Productos!$C$2:$C$13,MATCH($H183,Productos!$A$2:$A$13,0))</f>
        <v>Métrica</v>
      </c>
      <c r="K183" s="31" t="s">
        <v>246</v>
      </c>
      <c r="L183" s="46" t="n">
        <v>73</v>
      </c>
      <c r="M183" s="50" t="n">
        <f aca="false">INDEX(Productos!$F$2:$F$13,MATCH($H183,Productos!$A$2:$A$13,0))</f>
        <v>32</v>
      </c>
      <c r="N183" s="51" t="n">
        <v>0.077</v>
      </c>
      <c r="O183" s="52" t="n">
        <f aca="false">M183*(1-N183)</f>
        <v>29.536</v>
      </c>
      <c r="P183" s="21" t="n">
        <f aca="false">L183*O183</f>
        <v>2156.128</v>
      </c>
      <c r="Q183" s="50" t="n">
        <f aca="false">INDEX(Productos!$E$2:$E$13,MATCH($H183,Productos!$A$2:$A$13,0))*INDEX(Parametros!$B$26:$B$43,MATCH($C183,Parametros!$A$26:$A$43,0))</f>
        <v>17.098</v>
      </c>
      <c r="R183" s="21" t="n">
        <f aca="false">L183*Q183</f>
        <v>1248.154</v>
      </c>
      <c r="S183" s="18" t="n">
        <f aca="false">L183*INDEX(Parametros!$B$20:$B$22,MATCH($E183,Parametros!$A$20:$A$22,0))</f>
        <v>62.05</v>
      </c>
      <c r="T183" s="18" t="n">
        <f aca="false">P183*INDEX(Parametros!$B$13:$B$16,MATCH($F183,Parametros!$A$13:$A$16,0))</f>
        <v>75.46448</v>
      </c>
      <c r="U183" s="21" t="n">
        <f aca="false">P183-R183-S183-T183</f>
        <v>770.45952</v>
      </c>
      <c r="V183" s="19" t="n">
        <f aca="false">IFERROR(U183/P183,0)</f>
        <v>0.357334777898158</v>
      </c>
      <c r="W183" s="48" t="n">
        <f aca="false">B183+INDEX(Parametros!$C$13:$C$16,MATCH($F183,Parametros!$A$13:$A$16,0))</f>
        <v>45766</v>
      </c>
      <c r="X183" s="31" t="s">
        <v>67</v>
      </c>
      <c r="Y183" s="53" t="n">
        <f aca="false">IF(COUNTIF($A$2:$A183,A183)=1,1,0)</f>
        <v>0</v>
      </c>
    </row>
    <row r="184" customFormat="false" ht="15" hidden="false" customHeight="false" outlineLevel="0" collapsed="false">
      <c r="A184" s="31" t="s">
        <v>343</v>
      </c>
      <c r="B184" s="36" t="n">
        <v>45721</v>
      </c>
      <c r="C184" s="49" t="n">
        <f aca="false">DATE(YEAR(B184),MONTH(B184),1)</f>
        <v>45717</v>
      </c>
      <c r="D184" s="31" t="s">
        <v>191</v>
      </c>
      <c r="E184" s="31" t="s">
        <v>41</v>
      </c>
      <c r="F184" s="31" t="s">
        <v>47</v>
      </c>
      <c r="G184" s="31" t="s">
        <v>58</v>
      </c>
      <c r="H184" s="31" t="s">
        <v>169</v>
      </c>
      <c r="I184" s="32" t="str">
        <f aca="false">INDEX(Productos!$B$2:$B$13,MATCH($H184,Productos!$A$2:$A$13,0))</f>
        <v>Tornillo DIN 912 M10x60 Allen inox A2</v>
      </c>
      <c r="J184" s="32" t="str">
        <f aca="false">INDEX(Productos!$C$2:$C$13,MATCH($H184,Productos!$A$2:$A$13,0))</f>
        <v>Inoxidable</v>
      </c>
      <c r="K184" s="31" t="s">
        <v>246</v>
      </c>
      <c r="L184" s="46" t="n">
        <v>28</v>
      </c>
      <c r="M184" s="50" t="n">
        <f aca="false">INDEX(Productos!$F$2:$F$13,MATCH($H184,Productos!$A$2:$A$13,0))</f>
        <v>79</v>
      </c>
      <c r="N184" s="51" t="n">
        <v>0.086</v>
      </c>
      <c r="O184" s="52" t="n">
        <f aca="false">M184*(1-N184)</f>
        <v>72.206</v>
      </c>
      <c r="P184" s="21" t="n">
        <f aca="false">L184*O184</f>
        <v>2021.768</v>
      </c>
      <c r="Q184" s="50" t="n">
        <f aca="false">INDEX(Productos!$E$2:$E$13,MATCH($H184,Productos!$A$2:$A$13,0))*INDEX(Parametros!$B$26:$B$43,MATCH($C184,Parametros!$A$26:$A$43,0))</f>
        <v>43.26</v>
      </c>
      <c r="R184" s="21" t="n">
        <f aca="false">L184*Q184</f>
        <v>1211.28</v>
      </c>
      <c r="S184" s="18" t="n">
        <f aca="false">L184*INDEX(Parametros!$B$20:$B$22,MATCH($E184,Parametros!$A$20:$A$22,0))</f>
        <v>23.8</v>
      </c>
      <c r="T184" s="18" t="n">
        <f aca="false">P184*INDEX(Parametros!$B$13:$B$16,MATCH($F184,Parametros!$A$13:$A$16,0))</f>
        <v>70.76188</v>
      </c>
      <c r="U184" s="21" t="n">
        <f aca="false">P184-R184-S184-T184</f>
        <v>715.92612</v>
      </c>
      <c r="V184" s="19" t="n">
        <f aca="false">IFERROR(U184/P184,0)</f>
        <v>0.354108938315376</v>
      </c>
      <c r="W184" s="48" t="n">
        <f aca="false">B184+INDEX(Parametros!$C$13:$C$16,MATCH($F184,Parametros!$A$13:$A$16,0))</f>
        <v>45766</v>
      </c>
      <c r="X184" s="31" t="s">
        <v>67</v>
      </c>
      <c r="Y184" s="53" t="n">
        <f aca="false">IF(COUNTIF($A$2:$A184,A184)=1,1,0)</f>
        <v>0</v>
      </c>
    </row>
    <row r="185" customFormat="false" ht="15" hidden="false" customHeight="false" outlineLevel="0" collapsed="false">
      <c r="A185" s="31" t="s">
        <v>343</v>
      </c>
      <c r="B185" s="36" t="n">
        <v>45721</v>
      </c>
      <c r="C185" s="49" t="n">
        <f aca="false">DATE(YEAR(B185),MONTH(B185),1)</f>
        <v>45717</v>
      </c>
      <c r="D185" s="31" t="s">
        <v>191</v>
      </c>
      <c r="E185" s="31" t="s">
        <v>41</v>
      </c>
      <c r="F185" s="31" t="s">
        <v>47</v>
      </c>
      <c r="G185" s="31" t="s">
        <v>58</v>
      </c>
      <c r="H185" s="31" t="s">
        <v>179</v>
      </c>
      <c r="I185" s="32" t="str">
        <f aca="false">INDEX(Productos!$B$2:$B$13,MATCH($H185,Productos!$A$2:$A$13,0))</f>
        <v>Autotaladrante DIN 7504 4,8x38 zincado</v>
      </c>
      <c r="J185" s="32" t="str">
        <f aca="false">INDEX(Productos!$C$2:$C$13,MATCH($H185,Productos!$A$2:$A$13,0))</f>
        <v>Autotaladrante</v>
      </c>
      <c r="K185" s="31" t="s">
        <v>246</v>
      </c>
      <c r="L185" s="46" t="n">
        <v>172</v>
      </c>
      <c r="M185" s="50" t="n">
        <f aca="false">INDEX(Productos!$F$2:$F$13,MATCH($H185,Productos!$A$2:$A$13,0))</f>
        <v>29.5</v>
      </c>
      <c r="N185" s="51" t="n">
        <v>0.08</v>
      </c>
      <c r="O185" s="52" t="n">
        <f aca="false">M185*(1-N185)</f>
        <v>27.14</v>
      </c>
      <c r="P185" s="21" t="n">
        <f aca="false">L185*O185</f>
        <v>4668.08</v>
      </c>
      <c r="Q185" s="50" t="n">
        <f aca="false">INDEX(Productos!$E$2:$E$13,MATCH($H185,Productos!$A$2:$A$13,0))*INDEX(Parametros!$B$26:$B$43,MATCH($C185,Parametros!$A$26:$A$43,0))</f>
        <v>15.656</v>
      </c>
      <c r="R185" s="21" t="n">
        <f aca="false">L185*Q185</f>
        <v>2692.832</v>
      </c>
      <c r="S185" s="18" t="n">
        <f aca="false">L185*INDEX(Parametros!$B$20:$B$22,MATCH($E185,Parametros!$A$20:$A$22,0))</f>
        <v>146.2</v>
      </c>
      <c r="T185" s="18" t="n">
        <f aca="false">P185*INDEX(Parametros!$B$13:$B$16,MATCH($F185,Parametros!$A$13:$A$16,0))</f>
        <v>163.3828</v>
      </c>
      <c r="U185" s="21" t="n">
        <f aca="false">P185-R185-S185-T185</f>
        <v>1665.6652</v>
      </c>
      <c r="V185" s="19" t="n">
        <f aca="false">IFERROR(U185/P185,0)</f>
        <v>0.356820191599116</v>
      </c>
      <c r="W185" s="48" t="n">
        <f aca="false">B185+INDEX(Parametros!$C$13:$C$16,MATCH($F185,Parametros!$A$13:$A$16,0))</f>
        <v>45766</v>
      </c>
      <c r="X185" s="31" t="s">
        <v>67</v>
      </c>
      <c r="Y185" s="53" t="n">
        <f aca="false">IF(COUNTIF($A$2:$A185,A185)=1,1,0)</f>
        <v>0</v>
      </c>
    </row>
    <row r="186" customFormat="false" ht="15" hidden="false" customHeight="false" outlineLevel="0" collapsed="false">
      <c r="A186" s="31" t="s">
        <v>344</v>
      </c>
      <c r="B186" s="36" t="n">
        <v>45721</v>
      </c>
      <c r="C186" s="49" t="n">
        <f aca="false">DATE(YEAR(B186),MONTH(B186),1)</f>
        <v>45717</v>
      </c>
      <c r="D186" s="31" t="s">
        <v>223</v>
      </c>
      <c r="E186" s="31" t="s">
        <v>43</v>
      </c>
      <c r="F186" s="31" t="s">
        <v>46</v>
      </c>
      <c r="G186" s="31" t="s">
        <v>59</v>
      </c>
      <c r="H186" s="31" t="s">
        <v>179</v>
      </c>
      <c r="I186" s="32" t="str">
        <f aca="false">INDEX(Productos!$B$2:$B$13,MATCH($H186,Productos!$A$2:$A$13,0))</f>
        <v>Autotaladrante DIN 7504 4,8x38 zincado</v>
      </c>
      <c r="J186" s="32" t="str">
        <f aca="false">INDEX(Productos!$C$2:$C$13,MATCH($H186,Productos!$A$2:$A$13,0))</f>
        <v>Autotaladrante</v>
      </c>
      <c r="K186" s="31" t="s">
        <v>246</v>
      </c>
      <c r="L186" s="46" t="n">
        <v>91</v>
      </c>
      <c r="M186" s="50" t="n">
        <f aca="false">INDEX(Productos!$F$2:$F$13,MATCH($H186,Productos!$A$2:$A$13,0))</f>
        <v>29.5</v>
      </c>
      <c r="N186" s="51" t="n">
        <v>0.114</v>
      </c>
      <c r="O186" s="52" t="n">
        <f aca="false">M186*(1-N186)</f>
        <v>26.137</v>
      </c>
      <c r="P186" s="21" t="n">
        <f aca="false">L186*O186</f>
        <v>2378.467</v>
      </c>
      <c r="Q186" s="50" t="n">
        <f aca="false">INDEX(Productos!$E$2:$E$13,MATCH($H186,Productos!$A$2:$A$13,0))*INDEX(Parametros!$B$26:$B$43,MATCH($C186,Parametros!$A$26:$A$43,0))</f>
        <v>15.656</v>
      </c>
      <c r="R186" s="21" t="n">
        <f aca="false">L186*Q186</f>
        <v>1424.696</v>
      </c>
      <c r="S186" s="18" t="n">
        <f aca="false">L186*INDEX(Parametros!$B$20:$B$22,MATCH($E186,Parametros!$A$20:$A$22,0))</f>
        <v>172.9</v>
      </c>
      <c r="T186" s="18" t="n">
        <f aca="false">P186*INDEX(Parametros!$B$13:$B$16,MATCH($F186,Parametros!$A$13:$A$16,0))</f>
        <v>95.13868</v>
      </c>
      <c r="U186" s="21" t="n">
        <f aca="false">P186-R186-S186-T186</f>
        <v>685.73232</v>
      </c>
      <c r="V186" s="19" t="n">
        <f aca="false">IFERROR(U186/P186,0)</f>
        <v>0.288308528140185</v>
      </c>
      <c r="W186" s="48" t="n">
        <f aca="false">B186+INDEX(Parametros!$C$13:$C$16,MATCH($F186,Parametros!$A$13:$A$16,0))</f>
        <v>45796</v>
      </c>
      <c r="X186" s="31" t="s">
        <v>67</v>
      </c>
      <c r="Y186" s="53" t="n">
        <f aca="false">IF(COUNTIF($A$2:$A186,A186)=1,1,0)</f>
        <v>1</v>
      </c>
    </row>
    <row r="187" customFormat="false" ht="15" hidden="false" customHeight="false" outlineLevel="0" collapsed="false">
      <c r="A187" s="31" t="s">
        <v>345</v>
      </c>
      <c r="B187" s="36" t="n">
        <v>45721</v>
      </c>
      <c r="C187" s="49" t="n">
        <f aca="false">DATE(YEAR(B187),MONTH(B187),1)</f>
        <v>45717</v>
      </c>
      <c r="D187" s="31" t="s">
        <v>221</v>
      </c>
      <c r="E187" s="31" t="s">
        <v>43</v>
      </c>
      <c r="F187" s="31" t="s">
        <v>45</v>
      </c>
      <c r="G187" s="31" t="s">
        <v>59</v>
      </c>
      <c r="H187" s="31" t="s">
        <v>171</v>
      </c>
      <c r="I187" s="32" t="str">
        <f aca="false">INDEX(Productos!$B$2:$B$13,MATCH($H187,Productos!$A$2:$A$13,0))</f>
        <v>Tornillo DIN 7991 M8x30 avellanado inox A2</v>
      </c>
      <c r="J187" s="32" t="str">
        <f aca="false">INDEX(Productos!$C$2:$C$13,MATCH($H187,Productos!$A$2:$A$13,0))</f>
        <v>Inoxidable</v>
      </c>
      <c r="K187" s="31" t="s">
        <v>246</v>
      </c>
      <c r="L187" s="46" t="n">
        <v>68</v>
      </c>
      <c r="M187" s="50" t="n">
        <f aca="false">INDEX(Productos!$F$2:$F$13,MATCH($H187,Productos!$A$2:$A$13,0))</f>
        <v>88</v>
      </c>
      <c r="N187" s="51" t="n">
        <v>0.136</v>
      </c>
      <c r="O187" s="52" t="n">
        <f aca="false">M187*(1-N187)</f>
        <v>76.032</v>
      </c>
      <c r="P187" s="21" t="n">
        <f aca="false">L187*O187</f>
        <v>5170.176</v>
      </c>
      <c r="Q187" s="50" t="n">
        <f aca="false">INDEX(Productos!$E$2:$E$13,MATCH($H187,Productos!$A$2:$A$13,0))*INDEX(Parametros!$B$26:$B$43,MATCH($C187,Parametros!$A$26:$A$43,0))</f>
        <v>47.895</v>
      </c>
      <c r="R187" s="21" t="n">
        <f aca="false">L187*Q187</f>
        <v>3256.86</v>
      </c>
      <c r="S187" s="18" t="n">
        <f aca="false">L187*INDEX(Parametros!$B$20:$B$22,MATCH($E187,Parametros!$A$20:$A$22,0))</f>
        <v>129.2</v>
      </c>
      <c r="T187" s="18" t="n">
        <f aca="false">P187*INDEX(Parametros!$B$13:$B$16,MATCH($F187,Parametros!$A$13:$A$16,0))</f>
        <v>155.10528</v>
      </c>
      <c r="U187" s="21" t="n">
        <f aca="false">P187-R187-S187-T187</f>
        <v>1629.01072</v>
      </c>
      <c r="V187" s="19" t="n">
        <f aca="false">IFERROR(U187/P187,0)</f>
        <v>0.315078388047138</v>
      </c>
      <c r="W187" s="48" t="n">
        <f aca="false">B187+INDEX(Parametros!$C$13:$C$16,MATCH($F187,Parametros!$A$13:$A$16,0))</f>
        <v>45781</v>
      </c>
      <c r="X187" s="31" t="s">
        <v>67</v>
      </c>
      <c r="Y187" s="53" t="n">
        <f aca="false">IF(COUNTIF($A$2:$A187,A187)=1,1,0)</f>
        <v>1</v>
      </c>
    </row>
    <row r="188" customFormat="false" ht="15" hidden="false" customHeight="false" outlineLevel="0" collapsed="false">
      <c r="A188" s="31" t="s">
        <v>346</v>
      </c>
      <c r="B188" s="36" t="n">
        <v>45722</v>
      </c>
      <c r="C188" s="49" t="n">
        <f aca="false">DATE(YEAR(B188),MONTH(B188),1)</f>
        <v>45717</v>
      </c>
      <c r="D188" s="31" t="s">
        <v>192</v>
      </c>
      <c r="E188" s="31" t="s">
        <v>41</v>
      </c>
      <c r="F188" s="31" t="s">
        <v>45</v>
      </c>
      <c r="G188" s="31" t="s">
        <v>58</v>
      </c>
      <c r="H188" s="31" t="s">
        <v>177</v>
      </c>
      <c r="I188" s="32" t="str">
        <f aca="false">INDEX(Productos!$B$2:$B$13,MATCH($H188,Productos!$A$2:$A$13,0))</f>
        <v>Tirafondo madera 6x100 cabeza plana Torx</v>
      </c>
      <c r="J188" s="32" t="str">
        <f aca="false">INDEX(Productos!$C$2:$C$13,MATCH($H188,Productos!$A$2:$A$13,0))</f>
        <v>Madera</v>
      </c>
      <c r="K188" s="31" t="s">
        <v>246</v>
      </c>
      <c r="L188" s="46" t="n">
        <v>157</v>
      </c>
      <c r="M188" s="50" t="n">
        <f aca="false">INDEX(Productos!$F$2:$F$13,MATCH($H188,Productos!$A$2:$A$13,0))</f>
        <v>34</v>
      </c>
      <c r="N188" s="51" t="n">
        <v>0.158</v>
      </c>
      <c r="O188" s="52" t="n">
        <f aca="false">M188*(1-N188)</f>
        <v>28.628</v>
      </c>
      <c r="P188" s="21" t="n">
        <f aca="false">L188*O188</f>
        <v>4494.596</v>
      </c>
      <c r="Q188" s="50" t="n">
        <f aca="false">INDEX(Productos!$E$2:$E$13,MATCH($H188,Productos!$A$2:$A$13,0))*INDEX(Parametros!$B$26:$B$43,MATCH($C188,Parametros!$A$26:$A$43,0))</f>
        <v>18.334</v>
      </c>
      <c r="R188" s="21" t="n">
        <f aca="false">L188*Q188</f>
        <v>2878.438</v>
      </c>
      <c r="S188" s="18" t="n">
        <f aca="false">L188*INDEX(Parametros!$B$20:$B$22,MATCH($E188,Parametros!$A$20:$A$22,0))</f>
        <v>133.45</v>
      </c>
      <c r="T188" s="18" t="n">
        <f aca="false">P188*INDEX(Parametros!$B$13:$B$16,MATCH($F188,Parametros!$A$13:$A$16,0))</f>
        <v>134.83788</v>
      </c>
      <c r="U188" s="21" t="n">
        <f aca="false">P188-R188-S188-T188</f>
        <v>1347.87012</v>
      </c>
      <c r="V188" s="19" t="n">
        <f aca="false">IFERROR(U188/P188,0)</f>
        <v>0.299886824088305</v>
      </c>
      <c r="W188" s="48" t="n">
        <f aca="false">B188+INDEX(Parametros!$C$13:$C$16,MATCH($F188,Parametros!$A$13:$A$16,0))</f>
        <v>45782</v>
      </c>
      <c r="X188" s="31" t="s">
        <v>67</v>
      </c>
      <c r="Y188" s="53" t="n">
        <f aca="false">IF(COUNTIF($A$2:$A188,A188)=1,1,0)</f>
        <v>1</v>
      </c>
    </row>
    <row r="189" customFormat="false" ht="15" hidden="false" customHeight="false" outlineLevel="0" collapsed="false">
      <c r="A189" s="31" t="s">
        <v>346</v>
      </c>
      <c r="B189" s="36" t="n">
        <v>45722</v>
      </c>
      <c r="C189" s="49" t="n">
        <f aca="false">DATE(YEAR(B189),MONTH(B189),1)</f>
        <v>45717</v>
      </c>
      <c r="D189" s="31" t="s">
        <v>192</v>
      </c>
      <c r="E189" s="31" t="s">
        <v>41</v>
      </c>
      <c r="F189" s="31" t="s">
        <v>45</v>
      </c>
      <c r="G189" s="31" t="s">
        <v>58</v>
      </c>
      <c r="H189" s="31" t="s">
        <v>169</v>
      </c>
      <c r="I189" s="32" t="str">
        <f aca="false">INDEX(Productos!$B$2:$B$13,MATCH($H189,Productos!$A$2:$A$13,0))</f>
        <v>Tornillo DIN 912 M10x60 Allen inox A2</v>
      </c>
      <c r="J189" s="32" t="str">
        <f aca="false">INDEX(Productos!$C$2:$C$13,MATCH($H189,Productos!$A$2:$A$13,0))</f>
        <v>Inoxidable</v>
      </c>
      <c r="K189" s="31" t="s">
        <v>246</v>
      </c>
      <c r="L189" s="46" t="n">
        <v>27</v>
      </c>
      <c r="M189" s="50" t="n">
        <f aca="false">INDEX(Productos!$F$2:$F$13,MATCH($H189,Productos!$A$2:$A$13,0))</f>
        <v>79</v>
      </c>
      <c r="N189" s="51" t="n">
        <v>0.15</v>
      </c>
      <c r="O189" s="52" t="n">
        <f aca="false">M189*(1-N189)</f>
        <v>67.15</v>
      </c>
      <c r="P189" s="21" t="n">
        <f aca="false">L189*O189</f>
        <v>1813.05</v>
      </c>
      <c r="Q189" s="50" t="n">
        <f aca="false">INDEX(Productos!$E$2:$E$13,MATCH($H189,Productos!$A$2:$A$13,0))*INDEX(Parametros!$B$26:$B$43,MATCH($C189,Parametros!$A$26:$A$43,0))</f>
        <v>43.26</v>
      </c>
      <c r="R189" s="21" t="n">
        <f aca="false">L189*Q189</f>
        <v>1168.02</v>
      </c>
      <c r="S189" s="18" t="n">
        <f aca="false">L189*INDEX(Parametros!$B$20:$B$22,MATCH($E189,Parametros!$A$20:$A$22,0))</f>
        <v>22.95</v>
      </c>
      <c r="T189" s="18" t="n">
        <f aca="false">P189*INDEX(Parametros!$B$13:$B$16,MATCH($F189,Parametros!$A$13:$A$16,0))</f>
        <v>54.3915</v>
      </c>
      <c r="U189" s="21" t="n">
        <f aca="false">P189-R189-S189-T189</f>
        <v>567.6885</v>
      </c>
      <c r="V189" s="19" t="n">
        <f aca="false">IFERROR(U189/P189,0)</f>
        <v>0.313112434847357</v>
      </c>
      <c r="W189" s="48" t="n">
        <f aca="false">B189+INDEX(Parametros!$C$13:$C$16,MATCH($F189,Parametros!$A$13:$A$16,0))</f>
        <v>45782</v>
      </c>
      <c r="X189" s="31" t="s">
        <v>67</v>
      </c>
      <c r="Y189" s="53" t="n">
        <f aca="false">IF(COUNTIF($A$2:$A189,A189)=1,1,0)</f>
        <v>0</v>
      </c>
    </row>
    <row r="190" customFormat="false" ht="15" hidden="false" customHeight="false" outlineLevel="0" collapsed="false">
      <c r="A190" s="31" t="s">
        <v>347</v>
      </c>
      <c r="B190" s="36" t="n">
        <v>45722</v>
      </c>
      <c r="C190" s="49" t="n">
        <f aca="false">DATE(YEAR(B190),MONTH(B190),1)</f>
        <v>45717</v>
      </c>
      <c r="D190" s="31" t="s">
        <v>191</v>
      </c>
      <c r="E190" s="31" t="s">
        <v>41</v>
      </c>
      <c r="F190" s="31" t="s">
        <v>47</v>
      </c>
      <c r="G190" s="31" t="s">
        <v>58</v>
      </c>
      <c r="H190" s="31" t="s">
        <v>177</v>
      </c>
      <c r="I190" s="32" t="str">
        <f aca="false">INDEX(Productos!$B$2:$B$13,MATCH($H190,Productos!$A$2:$A$13,0))</f>
        <v>Tirafondo madera 6x100 cabeza plana Torx</v>
      </c>
      <c r="J190" s="32" t="str">
        <f aca="false">INDEX(Productos!$C$2:$C$13,MATCH($H190,Productos!$A$2:$A$13,0))</f>
        <v>Madera</v>
      </c>
      <c r="K190" s="31" t="s">
        <v>246</v>
      </c>
      <c r="L190" s="46" t="n">
        <v>13</v>
      </c>
      <c r="M190" s="50" t="n">
        <f aca="false">INDEX(Productos!$F$2:$F$13,MATCH($H190,Productos!$A$2:$A$13,0))</f>
        <v>34</v>
      </c>
      <c r="N190" s="51" t="n">
        <v>0.034</v>
      </c>
      <c r="O190" s="52" t="n">
        <f aca="false">M190*(1-N190)</f>
        <v>32.844</v>
      </c>
      <c r="P190" s="21" t="n">
        <f aca="false">L190*O190</f>
        <v>426.972</v>
      </c>
      <c r="Q190" s="50" t="n">
        <f aca="false">INDEX(Productos!$E$2:$E$13,MATCH($H190,Productos!$A$2:$A$13,0))*INDEX(Parametros!$B$26:$B$43,MATCH($C190,Parametros!$A$26:$A$43,0))</f>
        <v>18.334</v>
      </c>
      <c r="R190" s="21" t="n">
        <f aca="false">L190*Q190</f>
        <v>238.342</v>
      </c>
      <c r="S190" s="18" t="n">
        <f aca="false">L190*INDEX(Parametros!$B$20:$B$22,MATCH($E190,Parametros!$A$20:$A$22,0))</f>
        <v>11.05</v>
      </c>
      <c r="T190" s="18" t="n">
        <f aca="false">P190*INDEX(Parametros!$B$13:$B$16,MATCH($F190,Parametros!$A$13:$A$16,0))</f>
        <v>14.94402</v>
      </c>
      <c r="U190" s="21" t="n">
        <f aca="false">P190-R190-S190-T190</f>
        <v>162.63598</v>
      </c>
      <c r="V190" s="19" t="n">
        <f aca="false">IFERROR(U190/P190,0)</f>
        <v>0.380905492631835</v>
      </c>
      <c r="W190" s="48" t="n">
        <f aca="false">B190+INDEX(Parametros!$C$13:$C$16,MATCH($F190,Parametros!$A$13:$A$16,0))</f>
        <v>45767</v>
      </c>
      <c r="X190" s="31" t="s">
        <v>69</v>
      </c>
      <c r="Y190" s="53" t="n">
        <f aca="false">IF(COUNTIF($A$2:$A190,A190)=1,1,0)</f>
        <v>1</v>
      </c>
    </row>
    <row r="191" customFormat="false" ht="15" hidden="false" customHeight="false" outlineLevel="0" collapsed="false">
      <c r="A191" s="31" t="s">
        <v>348</v>
      </c>
      <c r="B191" s="36" t="n">
        <v>45723</v>
      </c>
      <c r="C191" s="49" t="n">
        <f aca="false">DATE(YEAR(B191),MONTH(B191),1)</f>
        <v>45717</v>
      </c>
      <c r="D191" s="31" t="s">
        <v>191</v>
      </c>
      <c r="E191" s="31" t="s">
        <v>41</v>
      </c>
      <c r="F191" s="31" t="s">
        <v>47</v>
      </c>
      <c r="G191" s="31" t="s">
        <v>58</v>
      </c>
      <c r="H191" s="31" t="s">
        <v>175</v>
      </c>
      <c r="I191" s="32" t="str">
        <f aca="false">INDEX(Productos!$B$2:$B$13,MATCH($H191,Productos!$A$2:$A$13,0))</f>
        <v>Tirafondo madera 5x60 cabeza plana Torx</v>
      </c>
      <c r="J191" s="32" t="str">
        <f aca="false">INDEX(Productos!$C$2:$C$13,MATCH($H191,Productos!$A$2:$A$13,0))</f>
        <v>Madera</v>
      </c>
      <c r="K191" s="31" t="s">
        <v>246</v>
      </c>
      <c r="L191" s="46" t="n">
        <v>11</v>
      </c>
      <c r="M191" s="50" t="n">
        <f aca="false">INDEX(Productos!$F$2:$F$13,MATCH($H191,Productos!$A$2:$A$13,0))</f>
        <v>26</v>
      </c>
      <c r="N191" s="51" t="n">
        <v>0.099</v>
      </c>
      <c r="O191" s="52" t="n">
        <f aca="false">M191*(1-N191)</f>
        <v>23.426</v>
      </c>
      <c r="P191" s="21" t="n">
        <f aca="false">L191*O191</f>
        <v>257.686</v>
      </c>
      <c r="Q191" s="50" t="n">
        <f aca="false">INDEX(Productos!$E$2:$E$13,MATCH($H191,Productos!$A$2:$A$13,0))*INDEX(Parametros!$B$26:$B$43,MATCH($C191,Parametros!$A$26:$A$43,0))</f>
        <v>13.802</v>
      </c>
      <c r="R191" s="21" t="n">
        <f aca="false">L191*Q191</f>
        <v>151.822</v>
      </c>
      <c r="S191" s="18" t="n">
        <f aca="false">L191*INDEX(Parametros!$B$20:$B$22,MATCH($E191,Parametros!$A$20:$A$22,0))</f>
        <v>9.35</v>
      </c>
      <c r="T191" s="18" t="n">
        <f aca="false">P191*INDEX(Parametros!$B$13:$B$16,MATCH($F191,Parametros!$A$13:$A$16,0))</f>
        <v>9.01901</v>
      </c>
      <c r="U191" s="21" t="n">
        <f aca="false">P191-R191-S191-T191</f>
        <v>87.49499</v>
      </c>
      <c r="V191" s="19" t="n">
        <f aca="false">IFERROR(U191/P191,0)</f>
        <v>0.339541108170409</v>
      </c>
      <c r="W191" s="48" t="n">
        <f aca="false">B191+INDEX(Parametros!$C$13:$C$16,MATCH($F191,Parametros!$A$13:$A$16,0))</f>
        <v>45768</v>
      </c>
      <c r="X191" s="31" t="s">
        <v>67</v>
      </c>
      <c r="Y191" s="53" t="n">
        <f aca="false">IF(COUNTIF($A$2:$A191,A191)=1,1,0)</f>
        <v>1</v>
      </c>
    </row>
    <row r="192" customFormat="false" ht="15" hidden="false" customHeight="false" outlineLevel="0" collapsed="false">
      <c r="A192" s="31" t="s">
        <v>348</v>
      </c>
      <c r="B192" s="36" t="n">
        <v>45723</v>
      </c>
      <c r="C192" s="49" t="n">
        <f aca="false">DATE(YEAR(B192),MONTH(B192),1)</f>
        <v>45717</v>
      </c>
      <c r="D192" s="31" t="s">
        <v>191</v>
      </c>
      <c r="E192" s="31" t="s">
        <v>41</v>
      </c>
      <c r="F192" s="31" t="s">
        <v>47</v>
      </c>
      <c r="G192" s="31" t="s">
        <v>58</v>
      </c>
      <c r="H192" s="31" t="s">
        <v>171</v>
      </c>
      <c r="I192" s="32" t="str">
        <f aca="false">INDEX(Productos!$B$2:$B$13,MATCH($H192,Productos!$A$2:$A$13,0))</f>
        <v>Tornillo DIN 7991 M8x30 avellanado inox A2</v>
      </c>
      <c r="J192" s="32" t="str">
        <f aca="false">INDEX(Productos!$C$2:$C$13,MATCH($H192,Productos!$A$2:$A$13,0))</f>
        <v>Inoxidable</v>
      </c>
      <c r="K192" s="31" t="s">
        <v>246</v>
      </c>
      <c r="L192" s="46" t="n">
        <v>144</v>
      </c>
      <c r="M192" s="50" t="n">
        <f aca="false">INDEX(Productos!$F$2:$F$13,MATCH($H192,Productos!$A$2:$A$13,0))</f>
        <v>88</v>
      </c>
      <c r="N192" s="51" t="n">
        <v>0.079</v>
      </c>
      <c r="O192" s="52" t="n">
        <f aca="false">M192*(1-N192)</f>
        <v>81.048</v>
      </c>
      <c r="P192" s="21" t="n">
        <f aca="false">L192*O192</f>
        <v>11670.912</v>
      </c>
      <c r="Q192" s="50" t="n">
        <f aca="false">INDEX(Productos!$E$2:$E$13,MATCH($H192,Productos!$A$2:$A$13,0))*INDEX(Parametros!$B$26:$B$43,MATCH($C192,Parametros!$A$26:$A$43,0))</f>
        <v>47.895</v>
      </c>
      <c r="R192" s="21" t="n">
        <f aca="false">L192*Q192</f>
        <v>6896.88</v>
      </c>
      <c r="S192" s="18" t="n">
        <f aca="false">L192*INDEX(Parametros!$B$20:$B$22,MATCH($E192,Parametros!$A$20:$A$22,0))</f>
        <v>122.4</v>
      </c>
      <c r="T192" s="18" t="n">
        <f aca="false">P192*INDEX(Parametros!$B$13:$B$16,MATCH($F192,Parametros!$A$13:$A$16,0))</f>
        <v>408.48192</v>
      </c>
      <c r="U192" s="21" t="n">
        <f aca="false">P192-R192-S192-T192</f>
        <v>4243.15008</v>
      </c>
      <c r="V192" s="19" t="n">
        <f aca="false">IFERROR(U192/P192,0)</f>
        <v>0.363566281709604</v>
      </c>
      <c r="W192" s="48" t="n">
        <f aca="false">B192+INDEX(Parametros!$C$13:$C$16,MATCH($F192,Parametros!$A$13:$A$16,0))</f>
        <v>45768</v>
      </c>
      <c r="X192" s="31" t="s">
        <v>67</v>
      </c>
      <c r="Y192" s="53" t="n">
        <f aca="false">IF(COUNTIF($A$2:$A192,A192)=1,1,0)</f>
        <v>0</v>
      </c>
    </row>
    <row r="193" customFormat="false" ht="15" hidden="false" customHeight="false" outlineLevel="0" collapsed="false">
      <c r="A193" s="31" t="s">
        <v>348</v>
      </c>
      <c r="B193" s="36" t="n">
        <v>45723</v>
      </c>
      <c r="C193" s="49" t="n">
        <f aca="false">DATE(YEAR(B193),MONTH(B193),1)</f>
        <v>45717</v>
      </c>
      <c r="D193" s="31" t="s">
        <v>191</v>
      </c>
      <c r="E193" s="31" t="s">
        <v>41</v>
      </c>
      <c r="F193" s="31" t="s">
        <v>47</v>
      </c>
      <c r="G193" s="31" t="s">
        <v>58</v>
      </c>
      <c r="H193" s="31" t="s">
        <v>165</v>
      </c>
      <c r="I193" s="32" t="str">
        <f aca="false">INDEX(Productos!$B$2:$B$13,MATCH($H193,Productos!$A$2:$A$13,0))</f>
        <v>Tornillo DIN 933 M8x40 rosca completa zincado</v>
      </c>
      <c r="J193" s="32" t="str">
        <f aca="false">INDEX(Productos!$C$2:$C$13,MATCH($H193,Productos!$A$2:$A$13,0))</f>
        <v>Métrica</v>
      </c>
      <c r="K193" s="31" t="s">
        <v>246</v>
      </c>
      <c r="L193" s="46" t="n">
        <v>38</v>
      </c>
      <c r="M193" s="50" t="n">
        <f aca="false">INDEX(Productos!$F$2:$F$13,MATCH($H193,Productos!$A$2:$A$13,0))</f>
        <v>37.5</v>
      </c>
      <c r="N193" s="51" t="n">
        <v>0.067</v>
      </c>
      <c r="O193" s="52" t="n">
        <f aca="false">M193*(1-N193)</f>
        <v>34.9875</v>
      </c>
      <c r="P193" s="21" t="n">
        <f aca="false">L193*O193</f>
        <v>1329.525</v>
      </c>
      <c r="Q193" s="50" t="n">
        <f aca="false">INDEX(Productos!$E$2:$E$13,MATCH($H193,Productos!$A$2:$A$13,0))*INDEX(Parametros!$B$26:$B$43,MATCH($C193,Parametros!$A$26:$A$43,0))</f>
        <v>19.982</v>
      </c>
      <c r="R193" s="21" t="n">
        <f aca="false">L193*Q193</f>
        <v>759.316</v>
      </c>
      <c r="S193" s="18" t="n">
        <f aca="false">L193*INDEX(Parametros!$B$20:$B$22,MATCH($E193,Parametros!$A$20:$A$22,0))</f>
        <v>32.3</v>
      </c>
      <c r="T193" s="18" t="n">
        <f aca="false">P193*INDEX(Parametros!$B$13:$B$16,MATCH($F193,Parametros!$A$13:$A$16,0))</f>
        <v>46.533375</v>
      </c>
      <c r="U193" s="21" t="n">
        <f aca="false">P193-R193-S193-T193</f>
        <v>491.375625</v>
      </c>
      <c r="V193" s="19" t="n">
        <f aca="false">IFERROR(U193/P193,0)</f>
        <v>0.369587352625938</v>
      </c>
      <c r="W193" s="48" t="n">
        <f aca="false">B193+INDEX(Parametros!$C$13:$C$16,MATCH($F193,Parametros!$A$13:$A$16,0))</f>
        <v>45768</v>
      </c>
      <c r="X193" s="31" t="s">
        <v>67</v>
      </c>
      <c r="Y193" s="53" t="n">
        <f aca="false">IF(COUNTIF($A$2:$A193,A193)=1,1,0)</f>
        <v>0</v>
      </c>
    </row>
    <row r="194" customFormat="false" ht="15" hidden="false" customHeight="false" outlineLevel="0" collapsed="false">
      <c r="A194" s="31" t="s">
        <v>348</v>
      </c>
      <c r="B194" s="36" t="n">
        <v>45723</v>
      </c>
      <c r="C194" s="49" t="n">
        <f aca="false">DATE(YEAR(B194),MONTH(B194),1)</f>
        <v>45717</v>
      </c>
      <c r="D194" s="31" t="s">
        <v>191</v>
      </c>
      <c r="E194" s="31" t="s">
        <v>41</v>
      </c>
      <c r="F194" s="31" t="s">
        <v>47</v>
      </c>
      <c r="G194" s="31" t="s">
        <v>58</v>
      </c>
      <c r="H194" s="31" t="s">
        <v>181</v>
      </c>
      <c r="I194" s="32" t="str">
        <f aca="false">INDEX(Productos!$B$2:$B$13,MATCH($H194,Productos!$A$2:$A$13,0))</f>
        <v>Autotaladrante 5,5x55 punta broca</v>
      </c>
      <c r="J194" s="32" t="str">
        <f aca="false">INDEX(Productos!$C$2:$C$13,MATCH($H194,Productos!$A$2:$A$13,0))</f>
        <v>Autotaladrante</v>
      </c>
      <c r="K194" s="31" t="s">
        <v>246</v>
      </c>
      <c r="L194" s="46" t="n">
        <v>23</v>
      </c>
      <c r="M194" s="50" t="n">
        <f aca="false">INDEX(Productos!$F$2:$F$13,MATCH($H194,Productos!$A$2:$A$13,0))</f>
        <v>39</v>
      </c>
      <c r="N194" s="51" t="n">
        <v>0.091</v>
      </c>
      <c r="O194" s="52" t="n">
        <f aca="false">M194*(1-N194)</f>
        <v>35.451</v>
      </c>
      <c r="P194" s="21" t="n">
        <f aca="false">L194*O194</f>
        <v>815.373</v>
      </c>
      <c r="Q194" s="50" t="n">
        <f aca="false">INDEX(Productos!$E$2:$E$13,MATCH($H194,Productos!$A$2:$A$13,0))*INDEX(Parametros!$B$26:$B$43,MATCH($C194,Parametros!$A$26:$A$43,0))</f>
        <v>20.909</v>
      </c>
      <c r="R194" s="21" t="n">
        <f aca="false">L194*Q194</f>
        <v>480.907</v>
      </c>
      <c r="S194" s="18" t="n">
        <f aca="false">L194*INDEX(Parametros!$B$20:$B$22,MATCH($E194,Parametros!$A$20:$A$22,0))</f>
        <v>19.55</v>
      </c>
      <c r="T194" s="18" t="n">
        <f aca="false">P194*INDEX(Parametros!$B$13:$B$16,MATCH($F194,Parametros!$A$13:$A$16,0))</f>
        <v>28.538055</v>
      </c>
      <c r="U194" s="21" t="n">
        <f aca="false">P194-R194-S194-T194</f>
        <v>286.377945</v>
      </c>
      <c r="V194" s="19" t="n">
        <f aca="false">IFERROR(U194/P194,0)</f>
        <v>0.351223237708386</v>
      </c>
      <c r="W194" s="48" t="n">
        <f aca="false">B194+INDEX(Parametros!$C$13:$C$16,MATCH($F194,Parametros!$A$13:$A$16,0))</f>
        <v>45768</v>
      </c>
      <c r="X194" s="31" t="s">
        <v>67</v>
      </c>
      <c r="Y194" s="53" t="n">
        <f aca="false">IF(COUNTIF($A$2:$A194,A194)=1,1,0)</f>
        <v>0</v>
      </c>
    </row>
    <row r="195" customFormat="false" ht="15" hidden="false" customHeight="false" outlineLevel="0" collapsed="false">
      <c r="A195" s="31" t="s">
        <v>349</v>
      </c>
      <c r="B195" s="36" t="n">
        <v>45723</v>
      </c>
      <c r="C195" s="49" t="n">
        <f aca="false">DATE(YEAR(B195),MONTH(B195),1)</f>
        <v>45717</v>
      </c>
      <c r="D195" s="31" t="s">
        <v>200</v>
      </c>
      <c r="E195" s="31" t="s">
        <v>41</v>
      </c>
      <c r="F195" s="31" t="s">
        <v>45</v>
      </c>
      <c r="G195" s="31" t="s">
        <v>62</v>
      </c>
      <c r="H195" s="31" t="s">
        <v>171</v>
      </c>
      <c r="I195" s="32" t="str">
        <f aca="false">INDEX(Productos!$B$2:$B$13,MATCH($H195,Productos!$A$2:$A$13,0))</f>
        <v>Tornillo DIN 7991 M8x30 avellanado inox A2</v>
      </c>
      <c r="J195" s="32" t="str">
        <f aca="false">INDEX(Productos!$C$2:$C$13,MATCH($H195,Productos!$A$2:$A$13,0))</f>
        <v>Inoxidable</v>
      </c>
      <c r="K195" s="31" t="s">
        <v>246</v>
      </c>
      <c r="L195" s="46" t="n">
        <v>130</v>
      </c>
      <c r="M195" s="50" t="n">
        <f aca="false">INDEX(Productos!$F$2:$F$13,MATCH($H195,Productos!$A$2:$A$13,0))</f>
        <v>88</v>
      </c>
      <c r="N195" s="51" t="n">
        <v>0.124</v>
      </c>
      <c r="O195" s="52" t="n">
        <f aca="false">M195*(1-N195)</f>
        <v>77.088</v>
      </c>
      <c r="P195" s="21" t="n">
        <f aca="false">L195*O195</f>
        <v>10021.44</v>
      </c>
      <c r="Q195" s="50" t="n">
        <f aca="false">INDEX(Productos!$E$2:$E$13,MATCH($H195,Productos!$A$2:$A$13,0))*INDEX(Parametros!$B$26:$B$43,MATCH($C195,Parametros!$A$26:$A$43,0))</f>
        <v>47.895</v>
      </c>
      <c r="R195" s="21" t="n">
        <f aca="false">L195*Q195</f>
        <v>6226.35</v>
      </c>
      <c r="S195" s="18" t="n">
        <f aca="false">L195*INDEX(Parametros!$B$20:$B$22,MATCH($E195,Parametros!$A$20:$A$22,0))</f>
        <v>110.5</v>
      </c>
      <c r="T195" s="18" t="n">
        <f aca="false">P195*INDEX(Parametros!$B$13:$B$16,MATCH($F195,Parametros!$A$13:$A$16,0))</f>
        <v>300.6432</v>
      </c>
      <c r="U195" s="21" t="n">
        <f aca="false">P195-R195-S195-T195</f>
        <v>3383.9468</v>
      </c>
      <c r="V195" s="19" t="n">
        <f aca="false">IFERROR(U195/P195,0)</f>
        <v>0.337670713989207</v>
      </c>
      <c r="W195" s="48" t="n">
        <f aca="false">B195+INDEX(Parametros!$C$13:$C$16,MATCH($F195,Parametros!$A$13:$A$16,0))</f>
        <v>45783</v>
      </c>
      <c r="X195" s="31" t="s">
        <v>67</v>
      </c>
      <c r="Y195" s="53" t="n">
        <f aca="false">IF(COUNTIF($A$2:$A195,A195)=1,1,0)</f>
        <v>1</v>
      </c>
    </row>
    <row r="196" customFormat="false" ht="15" hidden="false" customHeight="false" outlineLevel="0" collapsed="false">
      <c r="A196" s="31" t="s">
        <v>350</v>
      </c>
      <c r="B196" s="36" t="n">
        <v>45723</v>
      </c>
      <c r="C196" s="49" t="n">
        <f aca="false">DATE(YEAR(B196),MONTH(B196),1)</f>
        <v>45717</v>
      </c>
      <c r="D196" s="31" t="s">
        <v>196</v>
      </c>
      <c r="E196" s="31" t="s">
        <v>41</v>
      </c>
      <c r="F196" s="31" t="s">
        <v>47</v>
      </c>
      <c r="G196" s="31" t="s">
        <v>58</v>
      </c>
      <c r="H196" s="31" t="s">
        <v>185</v>
      </c>
      <c r="I196" s="32" t="str">
        <f aca="false">INDEX(Productos!$B$2:$B$13,MATCH($H196,Productos!$A$2:$A$13,0))</f>
        <v>Varilla roscada M10 x 1 m zincada</v>
      </c>
      <c r="J196" s="32" t="str">
        <f aca="false">INDEX(Productos!$C$2:$C$13,MATCH($H196,Productos!$A$2:$A$13,0))</f>
        <v>Especial</v>
      </c>
      <c r="K196" s="31" t="s">
        <v>246</v>
      </c>
      <c r="L196" s="46" t="n">
        <v>26</v>
      </c>
      <c r="M196" s="50" t="n">
        <f aca="false">INDEX(Productos!$F$2:$F$13,MATCH($H196,Productos!$A$2:$A$13,0))</f>
        <v>54</v>
      </c>
      <c r="N196" s="51" t="n">
        <v>0.048</v>
      </c>
      <c r="O196" s="52" t="n">
        <f aca="false">M196*(1-N196)</f>
        <v>51.408</v>
      </c>
      <c r="P196" s="21" t="n">
        <f aca="false">L196*O196</f>
        <v>1336.608</v>
      </c>
      <c r="Q196" s="50" t="n">
        <f aca="false">INDEX(Productos!$E$2:$E$13,MATCH($H196,Productos!$A$2:$A$13,0))*INDEX(Parametros!$B$26:$B$43,MATCH($C196,Parametros!$A$26:$A$43,0))</f>
        <v>29.355</v>
      </c>
      <c r="R196" s="21" t="n">
        <f aca="false">L196*Q196</f>
        <v>763.23</v>
      </c>
      <c r="S196" s="18" t="n">
        <f aca="false">L196*INDEX(Parametros!$B$20:$B$22,MATCH($E196,Parametros!$A$20:$A$22,0))</f>
        <v>22.1</v>
      </c>
      <c r="T196" s="18" t="n">
        <f aca="false">P196*INDEX(Parametros!$B$13:$B$16,MATCH($F196,Parametros!$A$13:$A$16,0))</f>
        <v>46.78128</v>
      </c>
      <c r="U196" s="21" t="n">
        <f aca="false">P196-R196-S196-T196</f>
        <v>504.49672</v>
      </c>
      <c r="V196" s="19" t="n">
        <f aca="false">IFERROR(U196/P196,0)</f>
        <v>0.377445533769063</v>
      </c>
      <c r="W196" s="48" t="n">
        <f aca="false">B196+INDEX(Parametros!$C$13:$C$16,MATCH($F196,Parametros!$A$13:$A$16,0))</f>
        <v>45768</v>
      </c>
      <c r="X196" s="31" t="s">
        <v>69</v>
      </c>
      <c r="Y196" s="53" t="n">
        <f aca="false">IF(COUNTIF($A$2:$A196,A196)=1,1,0)</f>
        <v>1</v>
      </c>
    </row>
    <row r="197" customFormat="false" ht="15" hidden="false" customHeight="false" outlineLevel="0" collapsed="false">
      <c r="A197" s="31" t="s">
        <v>350</v>
      </c>
      <c r="B197" s="36" t="n">
        <v>45723</v>
      </c>
      <c r="C197" s="49" t="n">
        <f aca="false">DATE(YEAR(B197),MONTH(B197),1)</f>
        <v>45717</v>
      </c>
      <c r="D197" s="31" t="s">
        <v>196</v>
      </c>
      <c r="E197" s="31" t="s">
        <v>41</v>
      </c>
      <c r="F197" s="31" t="s">
        <v>47</v>
      </c>
      <c r="G197" s="31" t="s">
        <v>58</v>
      </c>
      <c r="H197" s="31" t="s">
        <v>163</v>
      </c>
      <c r="I197" s="32" t="str">
        <f aca="false">INDEX(Productos!$B$2:$B$13,MATCH($H197,Productos!$A$2:$A$13,0))</f>
        <v>Tornillo DIN 933 M6x30 rosca completa zincado</v>
      </c>
      <c r="J197" s="32" t="str">
        <f aca="false">INDEX(Productos!$C$2:$C$13,MATCH($H197,Productos!$A$2:$A$13,0))</f>
        <v>Métrica</v>
      </c>
      <c r="K197" s="31" t="s">
        <v>246</v>
      </c>
      <c r="L197" s="46" t="n">
        <v>48</v>
      </c>
      <c r="M197" s="50" t="n">
        <f aca="false">INDEX(Productos!$F$2:$F$13,MATCH($H197,Productos!$A$2:$A$13,0))</f>
        <v>32</v>
      </c>
      <c r="N197" s="51" t="n">
        <v>0.051</v>
      </c>
      <c r="O197" s="52" t="n">
        <f aca="false">M197*(1-N197)</f>
        <v>30.368</v>
      </c>
      <c r="P197" s="21" t="n">
        <f aca="false">L197*O197</f>
        <v>1457.664</v>
      </c>
      <c r="Q197" s="50" t="n">
        <f aca="false">INDEX(Productos!$E$2:$E$13,MATCH($H197,Productos!$A$2:$A$13,0))*INDEX(Parametros!$B$26:$B$43,MATCH($C197,Parametros!$A$26:$A$43,0))</f>
        <v>17.098</v>
      </c>
      <c r="R197" s="21" t="n">
        <f aca="false">L197*Q197</f>
        <v>820.704</v>
      </c>
      <c r="S197" s="18" t="n">
        <f aca="false">L197*INDEX(Parametros!$B$20:$B$22,MATCH($E197,Parametros!$A$20:$A$22,0))</f>
        <v>40.8</v>
      </c>
      <c r="T197" s="18" t="n">
        <f aca="false">P197*INDEX(Parametros!$B$13:$B$16,MATCH($F197,Parametros!$A$13:$A$16,0))</f>
        <v>51.01824</v>
      </c>
      <c r="U197" s="21" t="n">
        <f aca="false">P197-R197-S197-T197</f>
        <v>545.14176</v>
      </c>
      <c r="V197" s="19" t="n">
        <f aca="false">IFERROR(U197/P197,0)</f>
        <v>0.373983140147524</v>
      </c>
      <c r="W197" s="48" t="n">
        <f aca="false">B197+INDEX(Parametros!$C$13:$C$16,MATCH($F197,Parametros!$A$13:$A$16,0))</f>
        <v>45768</v>
      </c>
      <c r="X197" s="31" t="s">
        <v>69</v>
      </c>
      <c r="Y197" s="53" t="n">
        <f aca="false">IF(COUNTIF($A$2:$A197,A197)=1,1,0)</f>
        <v>0</v>
      </c>
    </row>
    <row r="198" customFormat="false" ht="15" hidden="false" customHeight="false" outlineLevel="0" collapsed="false">
      <c r="A198" s="31" t="s">
        <v>350</v>
      </c>
      <c r="B198" s="36" t="n">
        <v>45723</v>
      </c>
      <c r="C198" s="49" t="n">
        <f aca="false">DATE(YEAR(B198),MONTH(B198),1)</f>
        <v>45717</v>
      </c>
      <c r="D198" s="31" t="s">
        <v>196</v>
      </c>
      <c r="E198" s="31" t="s">
        <v>41</v>
      </c>
      <c r="F198" s="31" t="s">
        <v>47</v>
      </c>
      <c r="G198" s="31" t="s">
        <v>58</v>
      </c>
      <c r="H198" s="31" t="s">
        <v>171</v>
      </c>
      <c r="I198" s="32" t="str">
        <f aca="false">INDEX(Productos!$B$2:$B$13,MATCH($H198,Productos!$A$2:$A$13,0))</f>
        <v>Tornillo DIN 7991 M8x30 avellanado inox A2</v>
      </c>
      <c r="J198" s="32" t="str">
        <f aca="false">INDEX(Productos!$C$2:$C$13,MATCH($H198,Productos!$A$2:$A$13,0))</f>
        <v>Inoxidable</v>
      </c>
      <c r="K198" s="31" t="s">
        <v>246</v>
      </c>
      <c r="L198" s="46" t="n">
        <v>64</v>
      </c>
      <c r="M198" s="50" t="n">
        <f aca="false">INDEX(Productos!$F$2:$F$13,MATCH($H198,Productos!$A$2:$A$13,0))</f>
        <v>88</v>
      </c>
      <c r="N198" s="51" t="n">
        <v>0.037</v>
      </c>
      <c r="O198" s="52" t="n">
        <f aca="false">M198*(1-N198)</f>
        <v>84.744</v>
      </c>
      <c r="P198" s="21" t="n">
        <f aca="false">L198*O198</f>
        <v>5423.616</v>
      </c>
      <c r="Q198" s="50" t="n">
        <f aca="false">INDEX(Productos!$E$2:$E$13,MATCH($H198,Productos!$A$2:$A$13,0))*INDEX(Parametros!$B$26:$B$43,MATCH($C198,Parametros!$A$26:$A$43,0))</f>
        <v>47.895</v>
      </c>
      <c r="R198" s="21" t="n">
        <f aca="false">L198*Q198</f>
        <v>3065.28</v>
      </c>
      <c r="S198" s="18" t="n">
        <f aca="false">L198*INDEX(Parametros!$B$20:$B$22,MATCH($E198,Parametros!$A$20:$A$22,0))</f>
        <v>54.4</v>
      </c>
      <c r="T198" s="18" t="n">
        <f aca="false">P198*INDEX(Parametros!$B$13:$B$16,MATCH($F198,Parametros!$A$13:$A$16,0))</f>
        <v>189.82656</v>
      </c>
      <c r="U198" s="21" t="n">
        <f aca="false">P198-R198-S198-T198</f>
        <v>2114.10944</v>
      </c>
      <c r="V198" s="19" t="n">
        <f aca="false">IFERROR(U198/P198,0)</f>
        <v>0.389797035778344</v>
      </c>
      <c r="W198" s="48" t="n">
        <f aca="false">B198+INDEX(Parametros!$C$13:$C$16,MATCH($F198,Parametros!$A$13:$A$16,0))</f>
        <v>45768</v>
      </c>
      <c r="X198" s="31" t="s">
        <v>67</v>
      </c>
      <c r="Y198" s="53" t="n">
        <f aca="false">IF(COUNTIF($A$2:$A198,A198)=1,1,0)</f>
        <v>0</v>
      </c>
    </row>
    <row r="199" customFormat="false" ht="15" hidden="false" customHeight="false" outlineLevel="0" collapsed="false">
      <c r="A199" s="31" t="s">
        <v>350</v>
      </c>
      <c r="B199" s="36" t="n">
        <v>45723</v>
      </c>
      <c r="C199" s="49" t="n">
        <f aca="false">DATE(YEAR(B199),MONTH(B199),1)</f>
        <v>45717</v>
      </c>
      <c r="D199" s="31" t="s">
        <v>196</v>
      </c>
      <c r="E199" s="31" t="s">
        <v>41</v>
      </c>
      <c r="F199" s="31" t="s">
        <v>47</v>
      </c>
      <c r="G199" s="31" t="s">
        <v>58</v>
      </c>
      <c r="H199" s="31" t="s">
        <v>183</v>
      </c>
      <c r="I199" s="32" t="str">
        <f aca="false">INDEX(Productos!$B$2:$B$13,MATCH($H199,Productos!$A$2:$A$13,0))</f>
        <v>Tornillo estructural M16x90 clase 10.9</v>
      </c>
      <c r="J199" s="32" t="str">
        <f aca="false">INDEX(Productos!$C$2:$C$13,MATCH($H199,Productos!$A$2:$A$13,0))</f>
        <v>Especial</v>
      </c>
      <c r="K199" s="31" t="s">
        <v>246</v>
      </c>
      <c r="L199" s="46" t="n">
        <v>52</v>
      </c>
      <c r="M199" s="50" t="n">
        <f aca="false">INDEX(Productos!$F$2:$F$13,MATCH($H199,Productos!$A$2:$A$13,0))</f>
        <v>112</v>
      </c>
      <c r="N199" s="51" t="n">
        <v>0.059</v>
      </c>
      <c r="O199" s="52" t="n">
        <f aca="false">M199*(1-N199)</f>
        <v>105.392</v>
      </c>
      <c r="P199" s="21" t="n">
        <f aca="false">L199*O199</f>
        <v>5480.384</v>
      </c>
      <c r="Q199" s="50" t="n">
        <f aca="false">INDEX(Productos!$E$2:$E$13,MATCH($H199,Productos!$A$2:$A$13,0))*INDEX(Parametros!$B$26:$B$43,MATCH($C199,Parametros!$A$26:$A$43,0))</f>
        <v>61.8</v>
      </c>
      <c r="R199" s="21" t="n">
        <f aca="false">L199*Q199</f>
        <v>3213.6</v>
      </c>
      <c r="S199" s="18" t="n">
        <f aca="false">L199*INDEX(Parametros!$B$20:$B$22,MATCH($E199,Parametros!$A$20:$A$22,0))</f>
        <v>44.2</v>
      </c>
      <c r="T199" s="18" t="n">
        <f aca="false">P199*INDEX(Parametros!$B$13:$B$16,MATCH($F199,Parametros!$A$13:$A$16,0))</f>
        <v>191.81344</v>
      </c>
      <c r="U199" s="21" t="n">
        <f aca="false">P199-R199-S199-T199</f>
        <v>2030.77056</v>
      </c>
      <c r="V199" s="19" t="n">
        <f aca="false">IFERROR(U199/P199,0)</f>
        <v>0.370552603613178</v>
      </c>
      <c r="W199" s="48" t="n">
        <f aca="false">B199+INDEX(Parametros!$C$13:$C$16,MATCH($F199,Parametros!$A$13:$A$16,0))</f>
        <v>45768</v>
      </c>
      <c r="X199" s="31" t="s">
        <v>69</v>
      </c>
      <c r="Y199" s="53" t="n">
        <f aca="false">IF(COUNTIF($A$2:$A199,A199)=1,1,0)</f>
        <v>0</v>
      </c>
    </row>
    <row r="200" customFormat="false" ht="15" hidden="false" customHeight="false" outlineLevel="0" collapsed="false">
      <c r="A200" s="31" t="s">
        <v>351</v>
      </c>
      <c r="B200" s="36" t="n">
        <v>45726</v>
      </c>
      <c r="C200" s="49" t="n">
        <f aca="false">DATE(YEAR(B200),MONTH(B200),1)</f>
        <v>45717</v>
      </c>
      <c r="D200" s="31" t="s">
        <v>223</v>
      </c>
      <c r="E200" s="31" t="s">
        <v>43</v>
      </c>
      <c r="F200" s="31" t="s">
        <v>46</v>
      </c>
      <c r="G200" s="31" t="s">
        <v>59</v>
      </c>
      <c r="H200" s="31" t="s">
        <v>163</v>
      </c>
      <c r="I200" s="32" t="str">
        <f aca="false">INDEX(Productos!$B$2:$B$13,MATCH($H200,Productos!$A$2:$A$13,0))</f>
        <v>Tornillo DIN 933 M6x30 rosca completa zincado</v>
      </c>
      <c r="J200" s="32" t="str">
        <f aca="false">INDEX(Productos!$C$2:$C$13,MATCH($H200,Productos!$A$2:$A$13,0))</f>
        <v>Métrica</v>
      </c>
      <c r="K200" s="31" t="s">
        <v>246</v>
      </c>
      <c r="L200" s="46" t="n">
        <v>128</v>
      </c>
      <c r="M200" s="50" t="n">
        <f aca="false">INDEX(Productos!$F$2:$F$13,MATCH($H200,Productos!$A$2:$A$13,0))</f>
        <v>32</v>
      </c>
      <c r="N200" s="51" t="n">
        <v>0.149</v>
      </c>
      <c r="O200" s="52" t="n">
        <f aca="false">M200*(1-N200)</f>
        <v>27.232</v>
      </c>
      <c r="P200" s="21" t="n">
        <f aca="false">L200*O200</f>
        <v>3485.696</v>
      </c>
      <c r="Q200" s="50" t="n">
        <f aca="false">INDEX(Productos!$E$2:$E$13,MATCH($H200,Productos!$A$2:$A$13,0))*INDEX(Parametros!$B$26:$B$43,MATCH($C200,Parametros!$A$26:$A$43,0))</f>
        <v>17.098</v>
      </c>
      <c r="R200" s="21" t="n">
        <f aca="false">L200*Q200</f>
        <v>2188.544</v>
      </c>
      <c r="S200" s="18" t="n">
        <f aca="false">L200*INDEX(Parametros!$B$20:$B$22,MATCH($E200,Parametros!$A$20:$A$22,0))</f>
        <v>243.2</v>
      </c>
      <c r="T200" s="18" t="n">
        <f aca="false">P200*INDEX(Parametros!$B$13:$B$16,MATCH($F200,Parametros!$A$13:$A$16,0))</f>
        <v>139.42784</v>
      </c>
      <c r="U200" s="21" t="n">
        <f aca="false">P200-R200-S200-T200</f>
        <v>914.52416</v>
      </c>
      <c r="V200" s="19" t="n">
        <f aca="false">IFERROR(U200/P200,0)</f>
        <v>0.262364864864865</v>
      </c>
      <c r="W200" s="48" t="n">
        <f aca="false">B200+INDEX(Parametros!$C$13:$C$16,MATCH($F200,Parametros!$A$13:$A$16,0))</f>
        <v>45801</v>
      </c>
      <c r="X200" s="31" t="s">
        <v>67</v>
      </c>
      <c r="Y200" s="53" t="n">
        <f aca="false">IF(COUNTIF($A$2:$A200,A200)=1,1,0)</f>
        <v>1</v>
      </c>
    </row>
    <row r="201" customFormat="false" ht="15" hidden="false" customHeight="false" outlineLevel="0" collapsed="false">
      <c r="A201" s="31" t="s">
        <v>351</v>
      </c>
      <c r="B201" s="36" t="n">
        <v>45726</v>
      </c>
      <c r="C201" s="49" t="n">
        <f aca="false">DATE(YEAR(B201),MONTH(B201),1)</f>
        <v>45717</v>
      </c>
      <c r="D201" s="31" t="s">
        <v>223</v>
      </c>
      <c r="E201" s="31" t="s">
        <v>43</v>
      </c>
      <c r="F201" s="31" t="s">
        <v>46</v>
      </c>
      <c r="G201" s="31" t="s">
        <v>59</v>
      </c>
      <c r="H201" s="31" t="s">
        <v>177</v>
      </c>
      <c r="I201" s="32" t="str">
        <f aca="false">INDEX(Productos!$B$2:$B$13,MATCH($H201,Productos!$A$2:$A$13,0))</f>
        <v>Tirafondo madera 6x100 cabeza plana Torx</v>
      </c>
      <c r="J201" s="32" t="str">
        <f aca="false">INDEX(Productos!$C$2:$C$13,MATCH($H201,Productos!$A$2:$A$13,0))</f>
        <v>Madera</v>
      </c>
      <c r="K201" s="31" t="s">
        <v>246</v>
      </c>
      <c r="L201" s="46" t="n">
        <v>141</v>
      </c>
      <c r="M201" s="50" t="n">
        <f aca="false">INDEX(Productos!$F$2:$F$13,MATCH($H201,Productos!$A$2:$A$13,0))</f>
        <v>34</v>
      </c>
      <c r="N201" s="51" t="n">
        <v>0.142</v>
      </c>
      <c r="O201" s="52" t="n">
        <f aca="false">M201*(1-N201)</f>
        <v>29.172</v>
      </c>
      <c r="P201" s="21" t="n">
        <f aca="false">L201*O201</f>
        <v>4113.252</v>
      </c>
      <c r="Q201" s="50" t="n">
        <f aca="false">INDEX(Productos!$E$2:$E$13,MATCH($H201,Productos!$A$2:$A$13,0))*INDEX(Parametros!$B$26:$B$43,MATCH($C201,Parametros!$A$26:$A$43,0))</f>
        <v>18.334</v>
      </c>
      <c r="R201" s="21" t="n">
        <f aca="false">L201*Q201</f>
        <v>2585.094</v>
      </c>
      <c r="S201" s="18" t="n">
        <f aca="false">L201*INDEX(Parametros!$B$20:$B$22,MATCH($E201,Parametros!$A$20:$A$22,0))</f>
        <v>267.9</v>
      </c>
      <c r="T201" s="18" t="n">
        <f aca="false">P201*INDEX(Parametros!$B$13:$B$16,MATCH($F201,Parametros!$A$13:$A$16,0))</f>
        <v>164.53008</v>
      </c>
      <c r="U201" s="21" t="n">
        <f aca="false">P201-R201-S201-T201</f>
        <v>1095.72792</v>
      </c>
      <c r="V201" s="19" t="n">
        <f aca="false">IFERROR(U201/P201,0)</f>
        <v>0.26638968874263</v>
      </c>
      <c r="W201" s="48" t="n">
        <f aca="false">B201+INDEX(Parametros!$C$13:$C$16,MATCH($F201,Parametros!$A$13:$A$16,0))</f>
        <v>45801</v>
      </c>
      <c r="X201" s="31" t="s">
        <v>67</v>
      </c>
      <c r="Y201" s="53" t="n">
        <f aca="false">IF(COUNTIF($A$2:$A201,A201)=1,1,0)</f>
        <v>0</v>
      </c>
    </row>
    <row r="202" customFormat="false" ht="15" hidden="false" customHeight="false" outlineLevel="0" collapsed="false">
      <c r="A202" s="31" t="s">
        <v>352</v>
      </c>
      <c r="B202" s="36" t="n">
        <v>45726</v>
      </c>
      <c r="C202" s="49" t="n">
        <f aca="false">DATE(YEAR(B202),MONTH(B202),1)</f>
        <v>45717</v>
      </c>
      <c r="D202" s="31" t="s">
        <v>222</v>
      </c>
      <c r="E202" s="31" t="s">
        <v>43</v>
      </c>
      <c r="F202" s="31" t="s">
        <v>45</v>
      </c>
      <c r="G202" s="31" t="s">
        <v>59</v>
      </c>
      <c r="H202" s="31" t="s">
        <v>169</v>
      </c>
      <c r="I202" s="32" t="str">
        <f aca="false">INDEX(Productos!$B$2:$B$13,MATCH($H202,Productos!$A$2:$A$13,0))</f>
        <v>Tornillo DIN 912 M10x60 Allen inox A2</v>
      </c>
      <c r="J202" s="32" t="str">
        <f aca="false">INDEX(Productos!$C$2:$C$13,MATCH($H202,Productos!$A$2:$A$13,0))</f>
        <v>Inoxidable</v>
      </c>
      <c r="K202" s="31" t="s">
        <v>246</v>
      </c>
      <c r="L202" s="46" t="n">
        <v>99</v>
      </c>
      <c r="M202" s="50" t="n">
        <f aca="false">INDEX(Productos!$F$2:$F$13,MATCH($H202,Productos!$A$2:$A$13,0))</f>
        <v>79</v>
      </c>
      <c r="N202" s="51" t="n">
        <v>0.173</v>
      </c>
      <c r="O202" s="52" t="n">
        <f aca="false">M202*(1-N202)</f>
        <v>65.333</v>
      </c>
      <c r="P202" s="21" t="n">
        <f aca="false">L202*O202</f>
        <v>6467.967</v>
      </c>
      <c r="Q202" s="50" t="n">
        <f aca="false">INDEX(Productos!$E$2:$E$13,MATCH($H202,Productos!$A$2:$A$13,0))*INDEX(Parametros!$B$26:$B$43,MATCH($C202,Parametros!$A$26:$A$43,0))</f>
        <v>43.26</v>
      </c>
      <c r="R202" s="21" t="n">
        <f aca="false">L202*Q202</f>
        <v>4282.74</v>
      </c>
      <c r="S202" s="18" t="n">
        <f aca="false">L202*INDEX(Parametros!$B$20:$B$22,MATCH($E202,Parametros!$A$20:$A$22,0))</f>
        <v>188.1</v>
      </c>
      <c r="T202" s="18" t="n">
        <f aca="false">P202*INDEX(Parametros!$B$13:$B$16,MATCH($F202,Parametros!$A$13:$A$16,0))</f>
        <v>194.03901</v>
      </c>
      <c r="U202" s="21" t="n">
        <f aca="false">P202-R202-S202-T202</f>
        <v>1803.08799</v>
      </c>
      <c r="V202" s="19" t="n">
        <f aca="false">IFERROR(U202/P202,0)</f>
        <v>0.278771983530528</v>
      </c>
      <c r="W202" s="48" t="n">
        <f aca="false">B202+INDEX(Parametros!$C$13:$C$16,MATCH($F202,Parametros!$A$13:$A$16,0))</f>
        <v>45786</v>
      </c>
      <c r="X202" s="31" t="s">
        <v>67</v>
      </c>
      <c r="Y202" s="53" t="n">
        <f aca="false">IF(COUNTIF($A$2:$A202,A202)=1,1,0)</f>
        <v>1</v>
      </c>
    </row>
    <row r="203" customFormat="false" ht="15" hidden="false" customHeight="false" outlineLevel="0" collapsed="false">
      <c r="A203" s="31" t="s">
        <v>352</v>
      </c>
      <c r="B203" s="36" t="n">
        <v>45726</v>
      </c>
      <c r="C203" s="49" t="n">
        <f aca="false">DATE(YEAR(B203),MONTH(B203),1)</f>
        <v>45717</v>
      </c>
      <c r="D203" s="31" t="s">
        <v>222</v>
      </c>
      <c r="E203" s="31" t="s">
        <v>43</v>
      </c>
      <c r="F203" s="31" t="s">
        <v>45</v>
      </c>
      <c r="G203" s="31" t="s">
        <v>59</v>
      </c>
      <c r="H203" s="31" t="s">
        <v>179</v>
      </c>
      <c r="I203" s="32" t="str">
        <f aca="false">INDEX(Productos!$B$2:$B$13,MATCH($H203,Productos!$A$2:$A$13,0))</f>
        <v>Autotaladrante DIN 7504 4,8x38 zincado</v>
      </c>
      <c r="J203" s="32" t="str">
        <f aca="false">INDEX(Productos!$C$2:$C$13,MATCH($H203,Productos!$A$2:$A$13,0))</f>
        <v>Autotaladrante</v>
      </c>
      <c r="K203" s="31" t="s">
        <v>246</v>
      </c>
      <c r="L203" s="46" t="n">
        <v>59</v>
      </c>
      <c r="M203" s="50" t="n">
        <f aca="false">INDEX(Productos!$F$2:$F$13,MATCH($H203,Productos!$A$2:$A$13,0))</f>
        <v>29.5</v>
      </c>
      <c r="N203" s="51" t="n">
        <v>0.202</v>
      </c>
      <c r="O203" s="52" t="n">
        <f aca="false">M203*(1-N203)</f>
        <v>23.541</v>
      </c>
      <c r="P203" s="21" t="n">
        <f aca="false">L203*O203</f>
        <v>1388.919</v>
      </c>
      <c r="Q203" s="50" t="n">
        <f aca="false">INDEX(Productos!$E$2:$E$13,MATCH($H203,Productos!$A$2:$A$13,0))*INDEX(Parametros!$B$26:$B$43,MATCH($C203,Parametros!$A$26:$A$43,0))</f>
        <v>15.656</v>
      </c>
      <c r="R203" s="21" t="n">
        <f aca="false">L203*Q203</f>
        <v>923.704</v>
      </c>
      <c r="S203" s="18" t="n">
        <f aca="false">L203*INDEX(Parametros!$B$20:$B$22,MATCH($E203,Parametros!$A$20:$A$22,0))</f>
        <v>112.1</v>
      </c>
      <c r="T203" s="18" t="n">
        <f aca="false">P203*INDEX(Parametros!$B$13:$B$16,MATCH($F203,Parametros!$A$13:$A$16,0))</f>
        <v>41.66757</v>
      </c>
      <c r="U203" s="21" t="n">
        <f aca="false">P203-R203-S203-T203</f>
        <v>311.44743</v>
      </c>
      <c r="V203" s="19" t="n">
        <f aca="false">IFERROR(U203/P203,0)</f>
        <v>0.224237288135593</v>
      </c>
      <c r="W203" s="48" t="n">
        <f aca="false">B203+INDEX(Parametros!$C$13:$C$16,MATCH($F203,Parametros!$A$13:$A$16,0))</f>
        <v>45786</v>
      </c>
      <c r="X203" s="31" t="s">
        <v>67</v>
      </c>
      <c r="Y203" s="53" t="n">
        <f aca="false">IF(COUNTIF($A$2:$A203,A203)=1,1,0)</f>
        <v>0</v>
      </c>
    </row>
    <row r="204" customFormat="false" ht="15" hidden="false" customHeight="false" outlineLevel="0" collapsed="false">
      <c r="A204" s="31" t="s">
        <v>353</v>
      </c>
      <c r="B204" s="36" t="n">
        <v>45726</v>
      </c>
      <c r="C204" s="49" t="n">
        <f aca="false">DATE(YEAR(B204),MONTH(B204),1)</f>
        <v>45717</v>
      </c>
      <c r="D204" s="31" t="s">
        <v>200</v>
      </c>
      <c r="E204" s="31" t="s">
        <v>41</v>
      </c>
      <c r="F204" s="31" t="s">
        <v>45</v>
      </c>
      <c r="G204" s="31" t="s">
        <v>62</v>
      </c>
      <c r="H204" s="31" t="s">
        <v>175</v>
      </c>
      <c r="I204" s="32" t="str">
        <f aca="false">INDEX(Productos!$B$2:$B$13,MATCH($H204,Productos!$A$2:$A$13,0))</f>
        <v>Tirafondo madera 5x60 cabeza plana Torx</v>
      </c>
      <c r="J204" s="32" t="str">
        <f aca="false">INDEX(Productos!$C$2:$C$13,MATCH($H204,Productos!$A$2:$A$13,0))</f>
        <v>Madera</v>
      </c>
      <c r="K204" s="31" t="s">
        <v>246</v>
      </c>
      <c r="L204" s="46" t="n">
        <v>174</v>
      </c>
      <c r="M204" s="50" t="n">
        <f aca="false">INDEX(Productos!$F$2:$F$13,MATCH($H204,Productos!$A$2:$A$13,0))</f>
        <v>26</v>
      </c>
      <c r="N204" s="51" t="n">
        <v>0.189</v>
      </c>
      <c r="O204" s="52" t="n">
        <f aca="false">M204*(1-N204)</f>
        <v>21.086</v>
      </c>
      <c r="P204" s="21" t="n">
        <f aca="false">L204*O204</f>
        <v>3668.964</v>
      </c>
      <c r="Q204" s="50" t="n">
        <f aca="false">INDEX(Productos!$E$2:$E$13,MATCH($H204,Productos!$A$2:$A$13,0))*INDEX(Parametros!$B$26:$B$43,MATCH($C204,Parametros!$A$26:$A$43,0))</f>
        <v>13.802</v>
      </c>
      <c r="R204" s="21" t="n">
        <f aca="false">L204*Q204</f>
        <v>2401.548</v>
      </c>
      <c r="S204" s="18" t="n">
        <f aca="false">L204*INDEX(Parametros!$B$20:$B$22,MATCH($E204,Parametros!$A$20:$A$22,0))</f>
        <v>147.9</v>
      </c>
      <c r="T204" s="18" t="n">
        <f aca="false">P204*INDEX(Parametros!$B$13:$B$16,MATCH($F204,Parametros!$A$13:$A$16,0))</f>
        <v>110.06892</v>
      </c>
      <c r="U204" s="21" t="n">
        <f aca="false">P204-R204-S204-T204</f>
        <v>1009.44708</v>
      </c>
      <c r="V204" s="19" t="n">
        <f aca="false">IFERROR(U204/P204,0)</f>
        <v>0.275131366783648</v>
      </c>
      <c r="W204" s="48" t="n">
        <f aca="false">B204+INDEX(Parametros!$C$13:$C$16,MATCH($F204,Parametros!$A$13:$A$16,0))</f>
        <v>45786</v>
      </c>
      <c r="X204" s="31" t="s">
        <v>67</v>
      </c>
      <c r="Y204" s="53" t="n">
        <f aca="false">IF(COUNTIF($A$2:$A204,A204)=1,1,0)</f>
        <v>1</v>
      </c>
    </row>
    <row r="205" customFormat="false" ht="15" hidden="false" customHeight="false" outlineLevel="0" collapsed="false">
      <c r="A205" s="31" t="s">
        <v>353</v>
      </c>
      <c r="B205" s="36" t="n">
        <v>45726</v>
      </c>
      <c r="C205" s="49" t="n">
        <f aca="false">DATE(YEAR(B205),MONTH(B205),1)</f>
        <v>45717</v>
      </c>
      <c r="D205" s="31" t="s">
        <v>200</v>
      </c>
      <c r="E205" s="31" t="s">
        <v>41</v>
      </c>
      <c r="F205" s="31" t="s">
        <v>45</v>
      </c>
      <c r="G205" s="31" t="s">
        <v>62</v>
      </c>
      <c r="H205" s="31" t="s">
        <v>179</v>
      </c>
      <c r="I205" s="32" t="str">
        <f aca="false">INDEX(Productos!$B$2:$B$13,MATCH($H205,Productos!$A$2:$A$13,0))</f>
        <v>Autotaladrante DIN 7504 4,8x38 zincado</v>
      </c>
      <c r="J205" s="32" t="str">
        <f aca="false">INDEX(Productos!$C$2:$C$13,MATCH($H205,Productos!$A$2:$A$13,0))</f>
        <v>Autotaladrante</v>
      </c>
      <c r="K205" s="31" t="s">
        <v>246</v>
      </c>
      <c r="L205" s="46" t="n">
        <v>111</v>
      </c>
      <c r="M205" s="50" t="n">
        <f aca="false">INDEX(Productos!$F$2:$F$13,MATCH($H205,Productos!$A$2:$A$13,0))</f>
        <v>29.5</v>
      </c>
      <c r="N205" s="51" t="n">
        <v>0.132</v>
      </c>
      <c r="O205" s="52" t="n">
        <f aca="false">M205*(1-N205)</f>
        <v>25.606</v>
      </c>
      <c r="P205" s="21" t="n">
        <f aca="false">L205*O205</f>
        <v>2842.266</v>
      </c>
      <c r="Q205" s="50" t="n">
        <f aca="false">INDEX(Productos!$E$2:$E$13,MATCH($H205,Productos!$A$2:$A$13,0))*INDEX(Parametros!$B$26:$B$43,MATCH($C205,Parametros!$A$26:$A$43,0))</f>
        <v>15.656</v>
      </c>
      <c r="R205" s="21" t="n">
        <f aca="false">L205*Q205</f>
        <v>1737.816</v>
      </c>
      <c r="S205" s="18" t="n">
        <f aca="false">L205*INDEX(Parametros!$B$20:$B$22,MATCH($E205,Parametros!$A$20:$A$22,0))</f>
        <v>94.35</v>
      </c>
      <c r="T205" s="18" t="n">
        <f aca="false">P205*INDEX(Parametros!$B$13:$B$16,MATCH($F205,Parametros!$A$13:$A$16,0))</f>
        <v>85.26798</v>
      </c>
      <c r="U205" s="21" t="n">
        <f aca="false">P205-R205-S205-T205</f>
        <v>924.83202</v>
      </c>
      <c r="V205" s="19" t="n">
        <f aca="false">IFERROR(U205/P205,0)</f>
        <v>0.325385456533625</v>
      </c>
      <c r="W205" s="48" t="n">
        <f aca="false">B205+INDEX(Parametros!$C$13:$C$16,MATCH($F205,Parametros!$A$13:$A$16,0))</f>
        <v>45786</v>
      </c>
      <c r="X205" s="31" t="s">
        <v>67</v>
      </c>
      <c r="Y205" s="53" t="n">
        <f aca="false">IF(COUNTIF($A$2:$A205,A205)=1,1,0)</f>
        <v>0</v>
      </c>
    </row>
    <row r="206" customFormat="false" ht="15" hidden="false" customHeight="false" outlineLevel="0" collapsed="false">
      <c r="A206" s="31" t="s">
        <v>353</v>
      </c>
      <c r="B206" s="36" t="n">
        <v>45726</v>
      </c>
      <c r="C206" s="49" t="n">
        <f aca="false">DATE(YEAR(B206),MONTH(B206),1)</f>
        <v>45717</v>
      </c>
      <c r="D206" s="31" t="s">
        <v>200</v>
      </c>
      <c r="E206" s="31" t="s">
        <v>41</v>
      </c>
      <c r="F206" s="31" t="s">
        <v>45</v>
      </c>
      <c r="G206" s="31" t="s">
        <v>62</v>
      </c>
      <c r="H206" s="31" t="s">
        <v>177</v>
      </c>
      <c r="I206" s="32" t="str">
        <f aca="false">INDEX(Productos!$B$2:$B$13,MATCH($H206,Productos!$A$2:$A$13,0))</f>
        <v>Tirafondo madera 6x100 cabeza plana Torx</v>
      </c>
      <c r="J206" s="32" t="str">
        <f aca="false">INDEX(Productos!$C$2:$C$13,MATCH($H206,Productos!$A$2:$A$13,0))</f>
        <v>Madera</v>
      </c>
      <c r="K206" s="31" t="s">
        <v>246</v>
      </c>
      <c r="L206" s="46" t="n">
        <v>259</v>
      </c>
      <c r="M206" s="50" t="n">
        <f aca="false">INDEX(Productos!$F$2:$F$13,MATCH($H206,Productos!$A$2:$A$13,0))</f>
        <v>34</v>
      </c>
      <c r="N206" s="51" t="n">
        <v>0.212</v>
      </c>
      <c r="O206" s="52" t="n">
        <f aca="false">M206*(1-N206)</f>
        <v>26.792</v>
      </c>
      <c r="P206" s="21" t="n">
        <f aca="false">L206*O206</f>
        <v>6939.128</v>
      </c>
      <c r="Q206" s="50" t="n">
        <f aca="false">INDEX(Productos!$E$2:$E$13,MATCH($H206,Productos!$A$2:$A$13,0))*INDEX(Parametros!$B$26:$B$43,MATCH($C206,Parametros!$A$26:$A$43,0))</f>
        <v>18.334</v>
      </c>
      <c r="R206" s="21" t="n">
        <f aca="false">L206*Q206</f>
        <v>4748.506</v>
      </c>
      <c r="S206" s="18" t="n">
        <f aca="false">L206*INDEX(Parametros!$B$20:$B$22,MATCH($E206,Parametros!$A$20:$A$22,0))</f>
        <v>220.15</v>
      </c>
      <c r="T206" s="18" t="n">
        <f aca="false">P206*INDEX(Parametros!$B$13:$B$16,MATCH($F206,Parametros!$A$13:$A$16,0))</f>
        <v>208.17384</v>
      </c>
      <c r="U206" s="21" t="n">
        <f aca="false">P206-R206-S206-T206</f>
        <v>1762.29816</v>
      </c>
      <c r="V206" s="19" t="n">
        <f aca="false">IFERROR(U206/P206,0)</f>
        <v>0.253965362794864</v>
      </c>
      <c r="W206" s="48" t="n">
        <f aca="false">B206+INDEX(Parametros!$C$13:$C$16,MATCH($F206,Parametros!$A$13:$A$16,0))</f>
        <v>45786</v>
      </c>
      <c r="X206" s="31" t="s">
        <v>67</v>
      </c>
      <c r="Y206" s="53" t="n">
        <f aca="false">IF(COUNTIF($A$2:$A206,A206)=1,1,0)</f>
        <v>0</v>
      </c>
    </row>
    <row r="207" customFormat="false" ht="15" hidden="false" customHeight="false" outlineLevel="0" collapsed="false">
      <c r="A207" s="31" t="s">
        <v>354</v>
      </c>
      <c r="B207" s="36" t="n">
        <v>45726</v>
      </c>
      <c r="C207" s="49" t="n">
        <f aca="false">DATE(YEAR(B207),MONTH(B207),1)</f>
        <v>45717</v>
      </c>
      <c r="D207" s="31" t="s">
        <v>193</v>
      </c>
      <c r="E207" s="31" t="s">
        <v>41</v>
      </c>
      <c r="F207" s="31" t="s">
        <v>45</v>
      </c>
      <c r="G207" s="31" t="s">
        <v>62</v>
      </c>
      <c r="H207" s="31" t="s">
        <v>167</v>
      </c>
      <c r="I207" s="32" t="str">
        <f aca="false">INDEX(Productos!$B$2:$B$13,MATCH($H207,Productos!$A$2:$A$13,0))</f>
        <v>Tornillo DIN 912 M6x25 Allen zincado</v>
      </c>
      <c r="J207" s="32" t="str">
        <f aca="false">INDEX(Productos!$C$2:$C$13,MATCH($H207,Productos!$A$2:$A$13,0))</f>
        <v>Métrica</v>
      </c>
      <c r="K207" s="31" t="s">
        <v>275</v>
      </c>
      <c r="L207" s="46" t="n">
        <v>-28</v>
      </c>
      <c r="M207" s="50" t="n">
        <f aca="false">INDEX(Productos!$F$2:$F$13,MATCH($H207,Productos!$A$2:$A$13,0))</f>
        <v>42</v>
      </c>
      <c r="N207" s="51" t="n">
        <v>0.159</v>
      </c>
      <c r="O207" s="52" t="n">
        <f aca="false">M207*(1-N207)</f>
        <v>35.322</v>
      </c>
      <c r="P207" s="21" t="n">
        <f aca="false">L207*O207</f>
        <v>-989.016</v>
      </c>
      <c r="Q207" s="50" t="n">
        <f aca="false">INDEX(Productos!$E$2:$E$13,MATCH($H207,Productos!$A$2:$A$13,0))*INDEX(Parametros!$B$26:$B$43,MATCH($C207,Parametros!$A$26:$A$43,0))</f>
        <v>22.454</v>
      </c>
      <c r="R207" s="21" t="n">
        <f aca="false">L207*Q207</f>
        <v>-628.712</v>
      </c>
      <c r="S207" s="18" t="n">
        <f aca="false">L207*INDEX(Parametros!$B$20:$B$22,MATCH($E207,Parametros!$A$20:$A$22,0))</f>
        <v>-23.8</v>
      </c>
      <c r="T207" s="18" t="n">
        <f aca="false">P207*INDEX(Parametros!$B$13:$B$16,MATCH($F207,Parametros!$A$13:$A$16,0))</f>
        <v>-29.67048</v>
      </c>
      <c r="U207" s="21" t="n">
        <f aca="false">P207-R207-S207-T207</f>
        <v>-306.83352</v>
      </c>
      <c r="V207" s="19" t="n">
        <f aca="false">IFERROR(U207/P207,0)</f>
        <v>0.310241209444539</v>
      </c>
      <c r="W207" s="48" t="n">
        <f aca="false">B207+INDEX(Parametros!$C$13:$C$16,MATCH($F207,Parametros!$A$13:$A$16,0))</f>
        <v>45786</v>
      </c>
      <c r="X207" s="31" t="s">
        <v>67</v>
      </c>
      <c r="Y207" s="53" t="n">
        <f aca="false">IF(COUNTIF($A$2:$A207,A207)=1,1,0)</f>
        <v>1</v>
      </c>
    </row>
    <row r="208" customFormat="false" ht="15" hidden="false" customHeight="false" outlineLevel="0" collapsed="false">
      <c r="A208" s="31" t="s">
        <v>354</v>
      </c>
      <c r="B208" s="36" t="n">
        <v>45726</v>
      </c>
      <c r="C208" s="49" t="n">
        <f aca="false">DATE(YEAR(B208),MONTH(B208),1)</f>
        <v>45717</v>
      </c>
      <c r="D208" s="31" t="s">
        <v>193</v>
      </c>
      <c r="E208" s="31" t="s">
        <v>41</v>
      </c>
      <c r="F208" s="31" t="s">
        <v>45</v>
      </c>
      <c r="G208" s="31" t="s">
        <v>62</v>
      </c>
      <c r="H208" s="31" t="s">
        <v>181</v>
      </c>
      <c r="I208" s="32" t="str">
        <f aca="false">INDEX(Productos!$B$2:$B$13,MATCH($H208,Productos!$A$2:$A$13,0))</f>
        <v>Autotaladrante 5,5x55 punta broca</v>
      </c>
      <c r="J208" s="32" t="str">
        <f aca="false">INDEX(Productos!$C$2:$C$13,MATCH($H208,Productos!$A$2:$A$13,0))</f>
        <v>Autotaladrante</v>
      </c>
      <c r="K208" s="31" t="s">
        <v>275</v>
      </c>
      <c r="L208" s="46" t="n">
        <v>-18</v>
      </c>
      <c r="M208" s="50" t="n">
        <f aca="false">INDEX(Productos!$F$2:$F$13,MATCH($H208,Productos!$A$2:$A$13,0))</f>
        <v>39</v>
      </c>
      <c r="N208" s="51" t="n">
        <v>0.197</v>
      </c>
      <c r="O208" s="52" t="n">
        <f aca="false">M208*(1-N208)</f>
        <v>31.317</v>
      </c>
      <c r="P208" s="21" t="n">
        <f aca="false">L208*O208</f>
        <v>-563.706</v>
      </c>
      <c r="Q208" s="50" t="n">
        <f aca="false">INDEX(Productos!$E$2:$E$13,MATCH($H208,Productos!$A$2:$A$13,0))*INDEX(Parametros!$B$26:$B$43,MATCH($C208,Parametros!$A$26:$A$43,0))</f>
        <v>20.909</v>
      </c>
      <c r="R208" s="21" t="n">
        <f aca="false">L208*Q208</f>
        <v>-376.362</v>
      </c>
      <c r="S208" s="18" t="n">
        <f aca="false">L208*INDEX(Parametros!$B$20:$B$22,MATCH($E208,Parametros!$A$20:$A$22,0))</f>
        <v>-15.3</v>
      </c>
      <c r="T208" s="18" t="n">
        <f aca="false">P208*INDEX(Parametros!$B$13:$B$16,MATCH($F208,Parametros!$A$13:$A$16,0))</f>
        <v>-16.91118</v>
      </c>
      <c r="U208" s="21" t="n">
        <f aca="false">P208-R208-S208-T208</f>
        <v>-155.13282</v>
      </c>
      <c r="V208" s="19" t="n">
        <f aca="false">IFERROR(U208/P208,0)</f>
        <v>0.275201647667401</v>
      </c>
      <c r="W208" s="48" t="n">
        <f aca="false">B208+INDEX(Parametros!$C$13:$C$16,MATCH($F208,Parametros!$A$13:$A$16,0))</f>
        <v>45786</v>
      </c>
      <c r="X208" s="31" t="s">
        <v>67</v>
      </c>
      <c r="Y208" s="53" t="n">
        <f aca="false">IF(COUNTIF($A$2:$A208,A208)=1,1,0)</f>
        <v>0</v>
      </c>
    </row>
    <row r="209" customFormat="false" ht="15" hidden="false" customHeight="false" outlineLevel="0" collapsed="false">
      <c r="A209" s="31" t="s">
        <v>354</v>
      </c>
      <c r="B209" s="36" t="n">
        <v>45726</v>
      </c>
      <c r="C209" s="49" t="n">
        <f aca="false">DATE(YEAR(B209),MONTH(B209),1)</f>
        <v>45717</v>
      </c>
      <c r="D209" s="31" t="s">
        <v>193</v>
      </c>
      <c r="E209" s="31" t="s">
        <v>41</v>
      </c>
      <c r="F209" s="31" t="s">
        <v>45</v>
      </c>
      <c r="G209" s="31" t="s">
        <v>62</v>
      </c>
      <c r="H209" s="31" t="s">
        <v>177</v>
      </c>
      <c r="I209" s="32" t="str">
        <f aca="false">INDEX(Productos!$B$2:$B$13,MATCH($H209,Productos!$A$2:$A$13,0))</f>
        <v>Tirafondo madera 6x100 cabeza plana Torx</v>
      </c>
      <c r="J209" s="32" t="str">
        <f aca="false">INDEX(Productos!$C$2:$C$13,MATCH($H209,Productos!$A$2:$A$13,0))</f>
        <v>Madera</v>
      </c>
      <c r="K209" s="31" t="s">
        <v>275</v>
      </c>
      <c r="L209" s="46" t="n">
        <v>-33</v>
      </c>
      <c r="M209" s="50" t="n">
        <f aca="false">INDEX(Productos!$F$2:$F$13,MATCH($H209,Productos!$A$2:$A$13,0))</f>
        <v>34</v>
      </c>
      <c r="N209" s="51" t="n">
        <v>0.136</v>
      </c>
      <c r="O209" s="52" t="n">
        <f aca="false">M209*(1-N209)</f>
        <v>29.376</v>
      </c>
      <c r="P209" s="21" t="n">
        <f aca="false">L209*O209</f>
        <v>-969.408</v>
      </c>
      <c r="Q209" s="50" t="n">
        <f aca="false">INDEX(Productos!$E$2:$E$13,MATCH($H209,Productos!$A$2:$A$13,0))*INDEX(Parametros!$B$26:$B$43,MATCH($C209,Parametros!$A$26:$A$43,0))</f>
        <v>18.334</v>
      </c>
      <c r="R209" s="21" t="n">
        <f aca="false">L209*Q209</f>
        <v>-605.022</v>
      </c>
      <c r="S209" s="18" t="n">
        <f aca="false">L209*INDEX(Parametros!$B$20:$B$22,MATCH($E209,Parametros!$A$20:$A$22,0))</f>
        <v>-28.05</v>
      </c>
      <c r="T209" s="18" t="n">
        <f aca="false">P209*INDEX(Parametros!$B$13:$B$16,MATCH($F209,Parametros!$A$13:$A$16,0))</f>
        <v>-29.08224</v>
      </c>
      <c r="U209" s="21" t="n">
        <f aca="false">P209-R209-S209-T209</f>
        <v>-307.25376</v>
      </c>
      <c r="V209" s="19" t="n">
        <f aca="false">IFERROR(U209/P209,0)</f>
        <v>0.316949891067538</v>
      </c>
      <c r="W209" s="48" t="n">
        <f aca="false">B209+INDEX(Parametros!$C$13:$C$16,MATCH($F209,Parametros!$A$13:$A$16,0))</f>
        <v>45786</v>
      </c>
      <c r="X209" s="31" t="s">
        <v>67</v>
      </c>
      <c r="Y209" s="53" t="n">
        <f aca="false">IF(COUNTIF($A$2:$A209,A209)=1,1,0)</f>
        <v>0</v>
      </c>
    </row>
    <row r="210" customFormat="false" ht="15" hidden="false" customHeight="false" outlineLevel="0" collapsed="false">
      <c r="A210" s="31" t="s">
        <v>355</v>
      </c>
      <c r="B210" s="36" t="n">
        <v>45726</v>
      </c>
      <c r="C210" s="49" t="n">
        <f aca="false">DATE(YEAR(B210),MONTH(B210),1)</f>
        <v>45717</v>
      </c>
      <c r="D210" s="31" t="s">
        <v>192</v>
      </c>
      <c r="E210" s="31" t="s">
        <v>41</v>
      </c>
      <c r="F210" s="31" t="s">
        <v>45</v>
      </c>
      <c r="G210" s="31" t="s">
        <v>58</v>
      </c>
      <c r="H210" s="31" t="s">
        <v>181</v>
      </c>
      <c r="I210" s="32" t="str">
        <f aca="false">INDEX(Productos!$B$2:$B$13,MATCH($H210,Productos!$A$2:$A$13,0))</f>
        <v>Autotaladrante 5,5x55 punta broca</v>
      </c>
      <c r="J210" s="32" t="str">
        <f aca="false">INDEX(Productos!$C$2:$C$13,MATCH($H210,Productos!$A$2:$A$13,0))</f>
        <v>Autotaladrante</v>
      </c>
      <c r="K210" s="31" t="s">
        <v>246</v>
      </c>
      <c r="L210" s="46" t="n">
        <v>38</v>
      </c>
      <c r="M210" s="50" t="n">
        <f aca="false">INDEX(Productos!$F$2:$F$13,MATCH($H210,Productos!$A$2:$A$13,0))</f>
        <v>39</v>
      </c>
      <c r="N210" s="51" t="n">
        <v>0.21</v>
      </c>
      <c r="O210" s="52" t="n">
        <f aca="false">M210*(1-N210)</f>
        <v>30.81</v>
      </c>
      <c r="P210" s="21" t="n">
        <f aca="false">L210*O210</f>
        <v>1170.78</v>
      </c>
      <c r="Q210" s="50" t="n">
        <f aca="false">INDEX(Productos!$E$2:$E$13,MATCH($H210,Productos!$A$2:$A$13,0))*INDEX(Parametros!$B$26:$B$43,MATCH($C210,Parametros!$A$26:$A$43,0))</f>
        <v>20.909</v>
      </c>
      <c r="R210" s="21" t="n">
        <f aca="false">L210*Q210</f>
        <v>794.542</v>
      </c>
      <c r="S210" s="18" t="n">
        <f aca="false">L210*INDEX(Parametros!$B$20:$B$22,MATCH($E210,Parametros!$A$20:$A$22,0))</f>
        <v>32.3</v>
      </c>
      <c r="T210" s="18" t="n">
        <f aca="false">P210*INDEX(Parametros!$B$13:$B$16,MATCH($F210,Parametros!$A$13:$A$16,0))</f>
        <v>35.1234</v>
      </c>
      <c r="U210" s="21" t="n">
        <f aca="false">P210-R210-S210-T210</f>
        <v>308.8146</v>
      </c>
      <c r="V210" s="19" t="n">
        <f aca="false">IFERROR(U210/P210,0)</f>
        <v>0.263768257059396</v>
      </c>
      <c r="W210" s="48" t="n">
        <f aca="false">B210+INDEX(Parametros!$C$13:$C$16,MATCH($F210,Parametros!$A$13:$A$16,0))</f>
        <v>45786</v>
      </c>
      <c r="X210" s="31" t="s">
        <v>67</v>
      </c>
      <c r="Y210" s="53" t="n">
        <f aca="false">IF(COUNTIF($A$2:$A210,A210)=1,1,0)</f>
        <v>1</v>
      </c>
    </row>
    <row r="211" customFormat="false" ht="15" hidden="false" customHeight="false" outlineLevel="0" collapsed="false">
      <c r="A211" s="31" t="s">
        <v>356</v>
      </c>
      <c r="B211" s="36" t="n">
        <v>45726</v>
      </c>
      <c r="C211" s="49" t="n">
        <f aca="false">DATE(YEAR(B211),MONTH(B211),1)</f>
        <v>45717</v>
      </c>
      <c r="D211" s="31" t="s">
        <v>212</v>
      </c>
      <c r="E211" s="31" t="s">
        <v>42</v>
      </c>
      <c r="F211" s="31" t="s">
        <v>45</v>
      </c>
      <c r="G211" s="31" t="s">
        <v>61</v>
      </c>
      <c r="H211" s="31" t="s">
        <v>163</v>
      </c>
      <c r="I211" s="32" t="str">
        <f aca="false">INDEX(Productos!$B$2:$B$13,MATCH($H211,Productos!$A$2:$A$13,0))</f>
        <v>Tornillo DIN 933 M6x30 rosca completa zincado</v>
      </c>
      <c r="J211" s="32" t="str">
        <f aca="false">INDEX(Productos!$C$2:$C$13,MATCH($H211,Productos!$A$2:$A$13,0))</f>
        <v>Métrica</v>
      </c>
      <c r="K211" s="31" t="s">
        <v>246</v>
      </c>
      <c r="L211" s="46" t="n">
        <v>110</v>
      </c>
      <c r="M211" s="50" t="n">
        <f aca="false">INDEX(Productos!$F$2:$F$13,MATCH($H211,Productos!$A$2:$A$13,0))</f>
        <v>32</v>
      </c>
      <c r="N211" s="51" t="n">
        <v>0.202</v>
      </c>
      <c r="O211" s="52" t="n">
        <f aca="false">M211*(1-N211)</f>
        <v>25.536</v>
      </c>
      <c r="P211" s="21" t="n">
        <f aca="false">L211*O211</f>
        <v>2808.96</v>
      </c>
      <c r="Q211" s="50" t="n">
        <f aca="false">INDEX(Productos!$E$2:$E$13,MATCH($H211,Productos!$A$2:$A$13,0))*INDEX(Parametros!$B$26:$B$43,MATCH($C211,Parametros!$A$26:$A$43,0))</f>
        <v>17.098</v>
      </c>
      <c r="R211" s="21" t="n">
        <f aca="false">L211*Q211</f>
        <v>1880.78</v>
      </c>
      <c r="S211" s="18" t="n">
        <f aca="false">L211*INDEX(Parametros!$B$20:$B$22,MATCH($E211,Parametros!$A$20:$A$22,0))</f>
        <v>264</v>
      </c>
      <c r="T211" s="18" t="n">
        <f aca="false">P211*INDEX(Parametros!$B$13:$B$16,MATCH($F211,Parametros!$A$13:$A$16,0))</f>
        <v>84.2688</v>
      </c>
      <c r="U211" s="21" t="n">
        <f aca="false">P211-R211-S211-T211</f>
        <v>579.9112</v>
      </c>
      <c r="V211" s="19" t="n">
        <f aca="false">IFERROR(U211/P211,0)</f>
        <v>0.206450501253133</v>
      </c>
      <c r="W211" s="48" t="n">
        <f aca="false">B211+INDEX(Parametros!$C$13:$C$16,MATCH($F211,Parametros!$A$13:$A$16,0))</f>
        <v>45786</v>
      </c>
      <c r="X211" s="31" t="s">
        <v>67</v>
      </c>
      <c r="Y211" s="53" t="n">
        <f aca="false">IF(COUNTIF($A$2:$A211,A211)=1,1,0)</f>
        <v>1</v>
      </c>
    </row>
    <row r="212" customFormat="false" ht="15" hidden="false" customHeight="false" outlineLevel="0" collapsed="false">
      <c r="A212" s="31" t="s">
        <v>357</v>
      </c>
      <c r="B212" s="36" t="n">
        <v>45726</v>
      </c>
      <c r="C212" s="49" t="n">
        <f aca="false">DATE(YEAR(B212),MONTH(B212),1)</f>
        <v>45717</v>
      </c>
      <c r="D212" s="31" t="s">
        <v>215</v>
      </c>
      <c r="E212" s="31" t="s">
        <v>42</v>
      </c>
      <c r="F212" s="31" t="s">
        <v>46</v>
      </c>
      <c r="G212" s="31" t="s">
        <v>61</v>
      </c>
      <c r="H212" s="31" t="s">
        <v>185</v>
      </c>
      <c r="I212" s="32" t="str">
        <f aca="false">INDEX(Productos!$B$2:$B$13,MATCH($H212,Productos!$A$2:$A$13,0))</f>
        <v>Varilla roscada M10 x 1 m zincada</v>
      </c>
      <c r="J212" s="32" t="str">
        <f aca="false">INDEX(Productos!$C$2:$C$13,MATCH($H212,Productos!$A$2:$A$13,0))</f>
        <v>Especial</v>
      </c>
      <c r="K212" s="31" t="s">
        <v>246</v>
      </c>
      <c r="L212" s="46" t="n">
        <v>44</v>
      </c>
      <c r="M212" s="50" t="n">
        <f aca="false">INDEX(Productos!$F$2:$F$13,MATCH($H212,Productos!$A$2:$A$13,0))</f>
        <v>54</v>
      </c>
      <c r="N212" s="51" t="n">
        <v>0.148</v>
      </c>
      <c r="O212" s="52" t="n">
        <f aca="false">M212*(1-N212)</f>
        <v>46.008</v>
      </c>
      <c r="P212" s="21" t="n">
        <f aca="false">L212*O212</f>
        <v>2024.352</v>
      </c>
      <c r="Q212" s="50" t="n">
        <f aca="false">INDEX(Productos!$E$2:$E$13,MATCH($H212,Productos!$A$2:$A$13,0))*INDEX(Parametros!$B$26:$B$43,MATCH($C212,Parametros!$A$26:$A$43,0))</f>
        <v>29.355</v>
      </c>
      <c r="R212" s="21" t="n">
        <f aca="false">L212*Q212</f>
        <v>1291.62</v>
      </c>
      <c r="S212" s="18" t="n">
        <f aca="false">L212*INDEX(Parametros!$B$20:$B$22,MATCH($E212,Parametros!$A$20:$A$22,0))</f>
        <v>105.6</v>
      </c>
      <c r="T212" s="18" t="n">
        <f aca="false">P212*INDEX(Parametros!$B$13:$B$16,MATCH($F212,Parametros!$A$13:$A$16,0))</f>
        <v>80.97408</v>
      </c>
      <c r="U212" s="21" t="n">
        <f aca="false">P212-R212-S212-T212</f>
        <v>546.15792</v>
      </c>
      <c r="V212" s="19" t="n">
        <f aca="false">IFERROR(U212/P212,0)</f>
        <v>0.269793948878456</v>
      </c>
      <c r="W212" s="48" t="n">
        <f aca="false">B212+INDEX(Parametros!$C$13:$C$16,MATCH($F212,Parametros!$A$13:$A$16,0))</f>
        <v>45801</v>
      </c>
      <c r="X212" s="31" t="s">
        <v>67</v>
      </c>
      <c r="Y212" s="53" t="n">
        <f aca="false">IF(COUNTIF($A$2:$A212,A212)=1,1,0)</f>
        <v>1</v>
      </c>
    </row>
    <row r="213" customFormat="false" ht="15" hidden="false" customHeight="false" outlineLevel="0" collapsed="false">
      <c r="A213" s="31" t="s">
        <v>357</v>
      </c>
      <c r="B213" s="36" t="n">
        <v>45726</v>
      </c>
      <c r="C213" s="49" t="n">
        <f aca="false">DATE(YEAR(B213),MONTH(B213),1)</f>
        <v>45717</v>
      </c>
      <c r="D213" s="31" t="s">
        <v>215</v>
      </c>
      <c r="E213" s="31" t="s">
        <v>42</v>
      </c>
      <c r="F213" s="31" t="s">
        <v>46</v>
      </c>
      <c r="G213" s="31" t="s">
        <v>61</v>
      </c>
      <c r="H213" s="31" t="s">
        <v>167</v>
      </c>
      <c r="I213" s="32" t="str">
        <f aca="false">INDEX(Productos!$B$2:$B$13,MATCH($H213,Productos!$A$2:$A$13,0))</f>
        <v>Tornillo DIN 912 M6x25 Allen zincado</v>
      </c>
      <c r="J213" s="32" t="str">
        <f aca="false">INDEX(Productos!$C$2:$C$13,MATCH($H213,Productos!$A$2:$A$13,0))</f>
        <v>Métrica</v>
      </c>
      <c r="K213" s="31" t="s">
        <v>246</v>
      </c>
      <c r="L213" s="46" t="n">
        <v>78</v>
      </c>
      <c r="M213" s="50" t="n">
        <f aca="false">INDEX(Productos!$F$2:$F$13,MATCH($H213,Productos!$A$2:$A$13,0))</f>
        <v>42</v>
      </c>
      <c r="N213" s="51" t="n">
        <v>0.128</v>
      </c>
      <c r="O213" s="52" t="n">
        <f aca="false">M213*(1-N213)</f>
        <v>36.624</v>
      </c>
      <c r="P213" s="21" t="n">
        <f aca="false">L213*O213</f>
        <v>2856.672</v>
      </c>
      <c r="Q213" s="50" t="n">
        <f aca="false">INDEX(Productos!$E$2:$E$13,MATCH($H213,Productos!$A$2:$A$13,0))*INDEX(Parametros!$B$26:$B$43,MATCH($C213,Parametros!$A$26:$A$43,0))</f>
        <v>22.454</v>
      </c>
      <c r="R213" s="21" t="n">
        <f aca="false">L213*Q213</f>
        <v>1751.412</v>
      </c>
      <c r="S213" s="18" t="n">
        <f aca="false">L213*INDEX(Parametros!$B$20:$B$22,MATCH($E213,Parametros!$A$20:$A$22,0))</f>
        <v>187.2</v>
      </c>
      <c r="T213" s="18" t="n">
        <f aca="false">P213*INDEX(Parametros!$B$13:$B$16,MATCH($F213,Parametros!$A$13:$A$16,0))</f>
        <v>114.26688</v>
      </c>
      <c r="U213" s="21" t="n">
        <f aca="false">P213-R213-S213-T213</f>
        <v>803.79312</v>
      </c>
      <c r="V213" s="19" t="n">
        <f aca="false">IFERROR(U213/P213,0)</f>
        <v>0.281373962429008</v>
      </c>
      <c r="W213" s="48" t="n">
        <f aca="false">B213+INDEX(Parametros!$C$13:$C$16,MATCH($F213,Parametros!$A$13:$A$16,0))</f>
        <v>45801</v>
      </c>
      <c r="X213" s="31" t="s">
        <v>67</v>
      </c>
      <c r="Y213" s="53" t="n">
        <f aca="false">IF(COUNTIF($A$2:$A213,A213)=1,1,0)</f>
        <v>0</v>
      </c>
    </row>
    <row r="214" customFormat="false" ht="15" hidden="false" customHeight="false" outlineLevel="0" collapsed="false">
      <c r="A214" s="31" t="s">
        <v>358</v>
      </c>
      <c r="B214" s="36" t="n">
        <v>45726</v>
      </c>
      <c r="C214" s="49" t="n">
        <f aca="false">DATE(YEAR(B214),MONTH(B214),1)</f>
        <v>45717</v>
      </c>
      <c r="D214" s="31" t="s">
        <v>194</v>
      </c>
      <c r="E214" s="31" t="s">
        <v>41</v>
      </c>
      <c r="F214" s="31" t="s">
        <v>46</v>
      </c>
      <c r="G214" s="31" t="s">
        <v>58</v>
      </c>
      <c r="H214" s="31" t="s">
        <v>175</v>
      </c>
      <c r="I214" s="32" t="str">
        <f aca="false">INDEX(Productos!$B$2:$B$13,MATCH($H214,Productos!$A$2:$A$13,0))</f>
        <v>Tirafondo madera 5x60 cabeza plana Torx</v>
      </c>
      <c r="J214" s="32" t="str">
        <f aca="false">INDEX(Productos!$C$2:$C$13,MATCH($H214,Productos!$A$2:$A$13,0))</f>
        <v>Madera</v>
      </c>
      <c r="K214" s="31" t="s">
        <v>246</v>
      </c>
      <c r="L214" s="46" t="n">
        <v>87</v>
      </c>
      <c r="M214" s="50" t="n">
        <f aca="false">INDEX(Productos!$F$2:$F$13,MATCH($H214,Productos!$A$2:$A$13,0))</f>
        <v>26</v>
      </c>
      <c r="N214" s="51" t="n">
        <v>0.144</v>
      </c>
      <c r="O214" s="52" t="n">
        <f aca="false">M214*(1-N214)</f>
        <v>22.256</v>
      </c>
      <c r="P214" s="21" t="n">
        <f aca="false">L214*O214</f>
        <v>1936.272</v>
      </c>
      <c r="Q214" s="50" t="n">
        <f aca="false">INDEX(Productos!$E$2:$E$13,MATCH($H214,Productos!$A$2:$A$13,0))*INDEX(Parametros!$B$26:$B$43,MATCH($C214,Parametros!$A$26:$A$43,0))</f>
        <v>13.802</v>
      </c>
      <c r="R214" s="21" t="n">
        <f aca="false">L214*Q214</f>
        <v>1200.774</v>
      </c>
      <c r="S214" s="18" t="n">
        <f aca="false">L214*INDEX(Parametros!$B$20:$B$22,MATCH($E214,Parametros!$A$20:$A$22,0))</f>
        <v>73.95</v>
      </c>
      <c r="T214" s="18" t="n">
        <f aca="false">P214*INDEX(Parametros!$B$13:$B$16,MATCH($F214,Parametros!$A$13:$A$16,0))</f>
        <v>77.45088</v>
      </c>
      <c r="U214" s="21" t="n">
        <f aca="false">P214-R214-S214-T214</f>
        <v>584.09712</v>
      </c>
      <c r="V214" s="19" t="n">
        <f aca="false">IFERROR(U214/P214,0)</f>
        <v>0.301660675772825</v>
      </c>
      <c r="W214" s="48" t="n">
        <f aca="false">B214+INDEX(Parametros!$C$13:$C$16,MATCH($F214,Parametros!$A$13:$A$16,0))</f>
        <v>45801</v>
      </c>
      <c r="X214" s="31" t="s">
        <v>67</v>
      </c>
      <c r="Y214" s="53" t="n">
        <f aca="false">IF(COUNTIF($A$2:$A214,A214)=1,1,0)</f>
        <v>1</v>
      </c>
    </row>
    <row r="215" customFormat="false" ht="15" hidden="false" customHeight="false" outlineLevel="0" collapsed="false">
      <c r="A215" s="31" t="s">
        <v>358</v>
      </c>
      <c r="B215" s="36" t="n">
        <v>45726</v>
      </c>
      <c r="C215" s="49" t="n">
        <f aca="false">DATE(YEAR(B215),MONTH(B215),1)</f>
        <v>45717</v>
      </c>
      <c r="D215" s="31" t="s">
        <v>194</v>
      </c>
      <c r="E215" s="31" t="s">
        <v>41</v>
      </c>
      <c r="F215" s="31" t="s">
        <v>46</v>
      </c>
      <c r="G215" s="31" t="s">
        <v>58</v>
      </c>
      <c r="H215" s="31" t="s">
        <v>163</v>
      </c>
      <c r="I215" s="32" t="str">
        <f aca="false">INDEX(Productos!$B$2:$B$13,MATCH($H215,Productos!$A$2:$A$13,0))</f>
        <v>Tornillo DIN 933 M6x30 rosca completa zincado</v>
      </c>
      <c r="J215" s="32" t="str">
        <f aca="false">INDEX(Productos!$C$2:$C$13,MATCH($H215,Productos!$A$2:$A$13,0))</f>
        <v>Métrica</v>
      </c>
      <c r="K215" s="31" t="s">
        <v>246</v>
      </c>
      <c r="L215" s="46" t="n">
        <v>42</v>
      </c>
      <c r="M215" s="50" t="n">
        <f aca="false">INDEX(Productos!$F$2:$F$13,MATCH($H215,Productos!$A$2:$A$13,0))</f>
        <v>32</v>
      </c>
      <c r="N215" s="51" t="n">
        <v>0.114</v>
      </c>
      <c r="O215" s="52" t="n">
        <f aca="false">M215*(1-N215)</f>
        <v>28.352</v>
      </c>
      <c r="P215" s="21" t="n">
        <f aca="false">L215*O215</f>
        <v>1190.784</v>
      </c>
      <c r="Q215" s="50" t="n">
        <f aca="false">INDEX(Productos!$E$2:$E$13,MATCH($H215,Productos!$A$2:$A$13,0))*INDEX(Parametros!$B$26:$B$43,MATCH($C215,Parametros!$A$26:$A$43,0))</f>
        <v>17.098</v>
      </c>
      <c r="R215" s="21" t="n">
        <f aca="false">L215*Q215</f>
        <v>718.116</v>
      </c>
      <c r="S215" s="18" t="n">
        <f aca="false">L215*INDEX(Parametros!$B$20:$B$22,MATCH($E215,Parametros!$A$20:$A$22,0))</f>
        <v>35.7</v>
      </c>
      <c r="T215" s="18" t="n">
        <f aca="false">P215*INDEX(Parametros!$B$13:$B$16,MATCH($F215,Parametros!$A$13:$A$16,0))</f>
        <v>47.63136</v>
      </c>
      <c r="U215" s="21" t="n">
        <f aca="false">P215-R215-S215-T215</f>
        <v>389.33664</v>
      </c>
      <c r="V215" s="19" t="n">
        <f aca="false">IFERROR(U215/P215,0)</f>
        <v>0.326958239277652</v>
      </c>
      <c r="W215" s="48" t="n">
        <f aca="false">B215+INDEX(Parametros!$C$13:$C$16,MATCH($F215,Parametros!$A$13:$A$16,0))</f>
        <v>45801</v>
      </c>
      <c r="X215" s="31" t="s">
        <v>67</v>
      </c>
      <c r="Y215" s="53" t="n">
        <f aca="false">IF(COUNTIF($A$2:$A215,A215)=1,1,0)</f>
        <v>0</v>
      </c>
    </row>
    <row r="216" customFormat="false" ht="15" hidden="false" customHeight="false" outlineLevel="0" collapsed="false">
      <c r="A216" s="31" t="s">
        <v>358</v>
      </c>
      <c r="B216" s="36" t="n">
        <v>45726</v>
      </c>
      <c r="C216" s="49" t="n">
        <f aca="false">DATE(YEAR(B216),MONTH(B216),1)</f>
        <v>45717</v>
      </c>
      <c r="D216" s="31" t="s">
        <v>194</v>
      </c>
      <c r="E216" s="31" t="s">
        <v>41</v>
      </c>
      <c r="F216" s="31" t="s">
        <v>46</v>
      </c>
      <c r="G216" s="31" t="s">
        <v>58</v>
      </c>
      <c r="H216" s="31" t="s">
        <v>173</v>
      </c>
      <c r="I216" s="32" t="str">
        <f aca="false">INDEX(Productos!$B$2:$B$13,MATCH($H216,Productos!$A$2:$A$13,0))</f>
        <v>Tornillo DIN 933 M12x70 clase 8.8</v>
      </c>
      <c r="J216" s="32" t="str">
        <f aca="false">INDEX(Productos!$C$2:$C$13,MATCH($H216,Productos!$A$2:$A$13,0))</f>
        <v>Métrica</v>
      </c>
      <c r="K216" s="31" t="s">
        <v>246</v>
      </c>
      <c r="L216" s="46" t="n">
        <v>102</v>
      </c>
      <c r="M216" s="50" t="n">
        <f aca="false">INDEX(Productos!$F$2:$F$13,MATCH($H216,Productos!$A$2:$A$13,0))</f>
        <v>64</v>
      </c>
      <c r="N216" s="51" t="n">
        <v>0.152</v>
      </c>
      <c r="O216" s="52" t="n">
        <f aca="false">M216*(1-N216)</f>
        <v>54.272</v>
      </c>
      <c r="P216" s="21" t="n">
        <f aca="false">L216*O216</f>
        <v>5535.744</v>
      </c>
      <c r="Q216" s="50" t="n">
        <f aca="false">INDEX(Productos!$E$2:$E$13,MATCH($H216,Productos!$A$2:$A$13,0))*INDEX(Parametros!$B$26:$B$43,MATCH($C216,Parametros!$A$26:$A$43,0))</f>
        <v>34.505</v>
      </c>
      <c r="R216" s="21" t="n">
        <f aca="false">L216*Q216</f>
        <v>3519.51</v>
      </c>
      <c r="S216" s="18" t="n">
        <f aca="false">L216*INDEX(Parametros!$B$20:$B$22,MATCH($E216,Parametros!$A$20:$A$22,0))</f>
        <v>86.7</v>
      </c>
      <c r="T216" s="18" t="n">
        <f aca="false">P216*INDEX(Parametros!$B$13:$B$16,MATCH($F216,Parametros!$A$13:$A$16,0))</f>
        <v>221.42976</v>
      </c>
      <c r="U216" s="21" t="n">
        <f aca="false">P216-R216-S216-T216</f>
        <v>1708.10424</v>
      </c>
      <c r="V216" s="19" t="n">
        <f aca="false">IFERROR(U216/P216,0)</f>
        <v>0.308559109669811</v>
      </c>
      <c r="W216" s="48" t="n">
        <f aca="false">B216+INDEX(Parametros!$C$13:$C$16,MATCH($F216,Parametros!$A$13:$A$16,0))</f>
        <v>45801</v>
      </c>
      <c r="X216" s="31" t="s">
        <v>67</v>
      </c>
      <c r="Y216" s="53" t="n">
        <f aca="false">IF(COUNTIF($A$2:$A216,A216)=1,1,0)</f>
        <v>0</v>
      </c>
    </row>
    <row r="217" customFormat="false" ht="15" hidden="false" customHeight="false" outlineLevel="0" collapsed="false">
      <c r="A217" s="31" t="s">
        <v>358</v>
      </c>
      <c r="B217" s="36" t="n">
        <v>45726</v>
      </c>
      <c r="C217" s="49" t="n">
        <f aca="false">DATE(YEAR(B217),MONTH(B217),1)</f>
        <v>45717</v>
      </c>
      <c r="D217" s="31" t="s">
        <v>194</v>
      </c>
      <c r="E217" s="31" t="s">
        <v>41</v>
      </c>
      <c r="F217" s="31" t="s">
        <v>46</v>
      </c>
      <c r="G217" s="31" t="s">
        <v>58</v>
      </c>
      <c r="H217" s="31" t="s">
        <v>179</v>
      </c>
      <c r="I217" s="32" t="str">
        <f aca="false">INDEX(Productos!$B$2:$B$13,MATCH($H217,Productos!$A$2:$A$13,0))</f>
        <v>Autotaladrante DIN 7504 4,8x38 zincado</v>
      </c>
      <c r="J217" s="32" t="str">
        <f aca="false">INDEX(Productos!$C$2:$C$13,MATCH($H217,Productos!$A$2:$A$13,0))</f>
        <v>Autotaladrante</v>
      </c>
      <c r="K217" s="31" t="s">
        <v>246</v>
      </c>
      <c r="L217" s="46" t="n">
        <v>189</v>
      </c>
      <c r="M217" s="50" t="n">
        <f aca="false">INDEX(Productos!$F$2:$F$13,MATCH($H217,Productos!$A$2:$A$13,0))</f>
        <v>29.5</v>
      </c>
      <c r="N217" s="51" t="n">
        <v>0.104</v>
      </c>
      <c r="O217" s="52" t="n">
        <f aca="false">M217*(1-N217)</f>
        <v>26.432</v>
      </c>
      <c r="P217" s="21" t="n">
        <f aca="false">L217*O217</f>
        <v>4995.648</v>
      </c>
      <c r="Q217" s="50" t="n">
        <f aca="false">INDEX(Productos!$E$2:$E$13,MATCH($H217,Productos!$A$2:$A$13,0))*INDEX(Parametros!$B$26:$B$43,MATCH($C217,Parametros!$A$26:$A$43,0))</f>
        <v>15.656</v>
      </c>
      <c r="R217" s="21" t="n">
        <f aca="false">L217*Q217</f>
        <v>2958.984</v>
      </c>
      <c r="S217" s="18" t="n">
        <f aca="false">L217*INDEX(Parametros!$B$20:$B$22,MATCH($E217,Parametros!$A$20:$A$22,0))</f>
        <v>160.65</v>
      </c>
      <c r="T217" s="18" t="n">
        <f aca="false">P217*INDEX(Parametros!$B$13:$B$16,MATCH($F217,Parametros!$A$13:$A$16,0))</f>
        <v>199.82592</v>
      </c>
      <c r="U217" s="21" t="n">
        <f aca="false">P217-R217-S217-T217</f>
        <v>1676.18808</v>
      </c>
      <c r="V217" s="19" t="n">
        <f aca="false">IFERROR(U217/P217,0)</f>
        <v>0.335529661016949</v>
      </c>
      <c r="W217" s="48" t="n">
        <f aca="false">B217+INDEX(Parametros!$C$13:$C$16,MATCH($F217,Parametros!$A$13:$A$16,0))</f>
        <v>45801</v>
      </c>
      <c r="X217" s="31" t="s">
        <v>69</v>
      </c>
      <c r="Y217" s="53" t="n">
        <f aca="false">IF(COUNTIF($A$2:$A217,A217)=1,1,0)</f>
        <v>0</v>
      </c>
    </row>
    <row r="218" customFormat="false" ht="15" hidden="false" customHeight="false" outlineLevel="0" collapsed="false">
      <c r="A218" s="31" t="s">
        <v>359</v>
      </c>
      <c r="B218" s="36" t="n">
        <v>45727</v>
      </c>
      <c r="C218" s="49" t="n">
        <f aca="false">DATE(YEAR(B218),MONTH(B218),1)</f>
        <v>45717</v>
      </c>
      <c r="D218" s="31" t="s">
        <v>192</v>
      </c>
      <c r="E218" s="31" t="s">
        <v>41</v>
      </c>
      <c r="F218" s="31" t="s">
        <v>45</v>
      </c>
      <c r="G218" s="31" t="s">
        <v>58</v>
      </c>
      <c r="H218" s="31" t="s">
        <v>167</v>
      </c>
      <c r="I218" s="32" t="str">
        <f aca="false">INDEX(Productos!$B$2:$B$13,MATCH($H218,Productos!$A$2:$A$13,0))</f>
        <v>Tornillo DIN 912 M6x25 Allen zincado</v>
      </c>
      <c r="J218" s="32" t="str">
        <f aca="false">INDEX(Productos!$C$2:$C$13,MATCH($H218,Productos!$A$2:$A$13,0))</f>
        <v>Métrica</v>
      </c>
      <c r="K218" s="31" t="s">
        <v>246</v>
      </c>
      <c r="L218" s="46" t="n">
        <v>127</v>
      </c>
      <c r="M218" s="50" t="n">
        <f aca="false">INDEX(Productos!$F$2:$F$13,MATCH($H218,Productos!$A$2:$A$13,0))</f>
        <v>42</v>
      </c>
      <c r="N218" s="51" t="n">
        <v>0.187</v>
      </c>
      <c r="O218" s="52" t="n">
        <f aca="false">M218*(1-N218)</f>
        <v>34.146</v>
      </c>
      <c r="P218" s="21" t="n">
        <f aca="false">L218*O218</f>
        <v>4336.542</v>
      </c>
      <c r="Q218" s="50" t="n">
        <f aca="false">INDEX(Productos!$E$2:$E$13,MATCH($H218,Productos!$A$2:$A$13,0))*INDEX(Parametros!$B$26:$B$43,MATCH($C218,Parametros!$A$26:$A$43,0))</f>
        <v>22.454</v>
      </c>
      <c r="R218" s="21" t="n">
        <f aca="false">L218*Q218</f>
        <v>2851.658</v>
      </c>
      <c r="S218" s="18" t="n">
        <f aca="false">L218*INDEX(Parametros!$B$20:$B$22,MATCH($E218,Parametros!$A$20:$A$22,0))</f>
        <v>107.95</v>
      </c>
      <c r="T218" s="18" t="n">
        <f aca="false">P218*INDEX(Parametros!$B$13:$B$16,MATCH($F218,Parametros!$A$13:$A$16,0))</f>
        <v>130.09626</v>
      </c>
      <c r="U218" s="21" t="n">
        <f aca="false">P218-R218-S218-T218</f>
        <v>1246.83774</v>
      </c>
      <c r="V218" s="19" t="n">
        <f aca="false">IFERROR(U218/P218,0)</f>
        <v>0.287518889474609</v>
      </c>
      <c r="W218" s="48" t="n">
        <f aca="false">B218+INDEX(Parametros!$C$13:$C$16,MATCH($F218,Parametros!$A$13:$A$16,0))</f>
        <v>45787</v>
      </c>
      <c r="X218" s="31" t="s">
        <v>67</v>
      </c>
      <c r="Y218" s="53" t="n">
        <f aca="false">IF(COUNTIF($A$2:$A218,A218)=1,1,0)</f>
        <v>1</v>
      </c>
    </row>
    <row r="219" customFormat="false" ht="15" hidden="false" customHeight="false" outlineLevel="0" collapsed="false">
      <c r="A219" s="31" t="s">
        <v>360</v>
      </c>
      <c r="B219" s="36" t="n">
        <v>45729</v>
      </c>
      <c r="C219" s="49" t="n">
        <f aca="false">DATE(YEAR(B219),MONTH(B219),1)</f>
        <v>45717</v>
      </c>
      <c r="D219" s="31" t="s">
        <v>223</v>
      </c>
      <c r="E219" s="31" t="s">
        <v>43</v>
      </c>
      <c r="F219" s="31" t="s">
        <v>46</v>
      </c>
      <c r="G219" s="31" t="s">
        <v>59</v>
      </c>
      <c r="H219" s="31" t="s">
        <v>183</v>
      </c>
      <c r="I219" s="32" t="str">
        <f aca="false">INDEX(Productos!$B$2:$B$13,MATCH($H219,Productos!$A$2:$A$13,0))</f>
        <v>Tornillo estructural M16x90 clase 10.9</v>
      </c>
      <c r="J219" s="32" t="str">
        <f aca="false">INDEX(Productos!$C$2:$C$13,MATCH($H219,Productos!$A$2:$A$13,0))</f>
        <v>Especial</v>
      </c>
      <c r="K219" s="31" t="s">
        <v>246</v>
      </c>
      <c r="L219" s="46" t="n">
        <v>80</v>
      </c>
      <c r="M219" s="50" t="n">
        <f aca="false">INDEX(Productos!$F$2:$F$13,MATCH($H219,Productos!$A$2:$A$13,0))</f>
        <v>112</v>
      </c>
      <c r="N219" s="51" t="n">
        <v>0.13</v>
      </c>
      <c r="O219" s="52" t="n">
        <f aca="false">M219*(1-N219)</f>
        <v>97.44</v>
      </c>
      <c r="P219" s="21" t="n">
        <f aca="false">L219*O219</f>
        <v>7795.2</v>
      </c>
      <c r="Q219" s="50" t="n">
        <f aca="false">INDEX(Productos!$E$2:$E$13,MATCH($H219,Productos!$A$2:$A$13,0))*INDEX(Parametros!$B$26:$B$43,MATCH($C219,Parametros!$A$26:$A$43,0))</f>
        <v>61.8</v>
      </c>
      <c r="R219" s="21" t="n">
        <f aca="false">L219*Q219</f>
        <v>4944</v>
      </c>
      <c r="S219" s="18" t="n">
        <f aca="false">L219*INDEX(Parametros!$B$20:$B$22,MATCH($E219,Parametros!$A$20:$A$22,0))</f>
        <v>152</v>
      </c>
      <c r="T219" s="18" t="n">
        <f aca="false">P219*INDEX(Parametros!$B$13:$B$16,MATCH($F219,Parametros!$A$13:$A$16,0))</f>
        <v>311.808</v>
      </c>
      <c r="U219" s="21" t="n">
        <f aca="false">P219-R219-S219-T219</f>
        <v>2387.392</v>
      </c>
      <c r="V219" s="19" t="n">
        <f aca="false">IFERROR(U219/P219,0)</f>
        <v>0.306264367816092</v>
      </c>
      <c r="W219" s="48" t="n">
        <f aca="false">B219+INDEX(Parametros!$C$13:$C$16,MATCH($F219,Parametros!$A$13:$A$16,0))</f>
        <v>45804</v>
      </c>
      <c r="X219" s="31" t="s">
        <v>67</v>
      </c>
      <c r="Y219" s="53" t="n">
        <f aca="false">IF(COUNTIF($A$2:$A219,A219)=1,1,0)</f>
        <v>1</v>
      </c>
    </row>
    <row r="220" customFormat="false" ht="15" hidden="false" customHeight="false" outlineLevel="0" collapsed="false">
      <c r="A220" s="31" t="s">
        <v>361</v>
      </c>
      <c r="B220" s="36" t="n">
        <v>45730</v>
      </c>
      <c r="C220" s="49" t="n">
        <f aca="false">DATE(YEAR(B220),MONTH(B220),1)</f>
        <v>45717</v>
      </c>
      <c r="D220" s="31" t="s">
        <v>211</v>
      </c>
      <c r="E220" s="31" t="s">
        <v>41</v>
      </c>
      <c r="F220" s="31" t="s">
        <v>48</v>
      </c>
      <c r="G220" s="31" t="s">
        <v>60</v>
      </c>
      <c r="H220" s="31" t="s">
        <v>163</v>
      </c>
      <c r="I220" s="32" t="str">
        <f aca="false">INDEX(Productos!$B$2:$B$13,MATCH($H220,Productos!$A$2:$A$13,0))</f>
        <v>Tornillo DIN 933 M6x30 rosca completa zincado</v>
      </c>
      <c r="J220" s="32" t="str">
        <f aca="false">INDEX(Productos!$C$2:$C$13,MATCH($H220,Productos!$A$2:$A$13,0))</f>
        <v>Métrica</v>
      </c>
      <c r="K220" s="31" t="s">
        <v>246</v>
      </c>
      <c r="L220" s="46" t="n">
        <v>12</v>
      </c>
      <c r="M220" s="50" t="n">
        <f aca="false">INDEX(Productos!$F$2:$F$13,MATCH($H220,Productos!$A$2:$A$13,0))</f>
        <v>32</v>
      </c>
      <c r="N220" s="51" t="n">
        <v>0.049</v>
      </c>
      <c r="O220" s="52" t="n">
        <f aca="false">M220*(1-N220)</f>
        <v>30.432</v>
      </c>
      <c r="P220" s="21" t="n">
        <f aca="false">L220*O220</f>
        <v>365.184</v>
      </c>
      <c r="Q220" s="50" t="n">
        <f aca="false">INDEX(Productos!$E$2:$E$13,MATCH($H220,Productos!$A$2:$A$13,0))*INDEX(Parametros!$B$26:$B$43,MATCH($C220,Parametros!$A$26:$A$43,0))</f>
        <v>17.098</v>
      </c>
      <c r="R220" s="21" t="n">
        <f aca="false">L220*Q220</f>
        <v>205.176</v>
      </c>
      <c r="S220" s="18" t="n">
        <f aca="false">L220*INDEX(Parametros!$B$20:$B$22,MATCH($E220,Parametros!$A$20:$A$22,0))</f>
        <v>10.2</v>
      </c>
      <c r="T220" s="18" t="n">
        <f aca="false">P220*INDEX(Parametros!$B$13:$B$16,MATCH($F220,Parametros!$A$13:$A$16,0))</f>
        <v>3.65184</v>
      </c>
      <c r="U220" s="21" t="n">
        <f aca="false">P220-R220-S220-T220</f>
        <v>146.15616</v>
      </c>
      <c r="V220" s="19" t="n">
        <f aca="false">IFERROR(U220/P220,0)</f>
        <v>0.400226077812829</v>
      </c>
      <c r="W220" s="48" t="n">
        <f aca="false">B220+INDEX(Parametros!$C$13:$C$16,MATCH($F220,Parametros!$A$13:$A$16,0))</f>
        <v>45730</v>
      </c>
      <c r="X220" s="31" t="s">
        <v>67</v>
      </c>
      <c r="Y220" s="53" t="n">
        <f aca="false">IF(COUNTIF($A$2:$A220,A220)=1,1,0)</f>
        <v>1</v>
      </c>
    </row>
    <row r="221" customFormat="false" ht="15" hidden="false" customHeight="false" outlineLevel="0" collapsed="false">
      <c r="A221" s="31" t="s">
        <v>361</v>
      </c>
      <c r="B221" s="36" t="n">
        <v>45730</v>
      </c>
      <c r="C221" s="49" t="n">
        <f aca="false">DATE(YEAR(B221),MONTH(B221),1)</f>
        <v>45717</v>
      </c>
      <c r="D221" s="31" t="s">
        <v>211</v>
      </c>
      <c r="E221" s="31" t="s">
        <v>41</v>
      </c>
      <c r="F221" s="31" t="s">
        <v>48</v>
      </c>
      <c r="G221" s="31" t="s">
        <v>60</v>
      </c>
      <c r="H221" s="31" t="s">
        <v>177</v>
      </c>
      <c r="I221" s="32" t="str">
        <f aca="false">INDEX(Productos!$B$2:$B$13,MATCH($H221,Productos!$A$2:$A$13,0))</f>
        <v>Tirafondo madera 6x100 cabeza plana Torx</v>
      </c>
      <c r="J221" s="32" t="str">
        <f aca="false">INDEX(Productos!$C$2:$C$13,MATCH($H221,Productos!$A$2:$A$13,0))</f>
        <v>Madera</v>
      </c>
      <c r="K221" s="31" t="s">
        <v>246</v>
      </c>
      <c r="L221" s="46" t="n">
        <v>7</v>
      </c>
      <c r="M221" s="50" t="n">
        <f aca="false">INDEX(Productos!$F$2:$F$13,MATCH($H221,Productos!$A$2:$A$13,0))</f>
        <v>34</v>
      </c>
      <c r="N221" s="51" t="n">
        <v>0.034</v>
      </c>
      <c r="O221" s="52" t="n">
        <f aca="false">M221*(1-N221)</f>
        <v>32.844</v>
      </c>
      <c r="P221" s="21" t="n">
        <f aca="false">L221*O221</f>
        <v>229.908</v>
      </c>
      <c r="Q221" s="50" t="n">
        <f aca="false">INDEX(Productos!$E$2:$E$13,MATCH($H221,Productos!$A$2:$A$13,0))*INDEX(Parametros!$B$26:$B$43,MATCH($C221,Parametros!$A$26:$A$43,0))</f>
        <v>18.334</v>
      </c>
      <c r="R221" s="21" t="n">
        <f aca="false">L221*Q221</f>
        <v>128.338</v>
      </c>
      <c r="S221" s="18" t="n">
        <f aca="false">L221*INDEX(Parametros!$B$20:$B$22,MATCH($E221,Parametros!$A$20:$A$22,0))</f>
        <v>5.95</v>
      </c>
      <c r="T221" s="18" t="n">
        <f aca="false">P221*INDEX(Parametros!$B$13:$B$16,MATCH($F221,Parametros!$A$13:$A$16,0))</f>
        <v>2.29908</v>
      </c>
      <c r="U221" s="21" t="n">
        <f aca="false">P221-R221-S221-T221</f>
        <v>93.32092</v>
      </c>
      <c r="V221" s="19" t="n">
        <f aca="false">IFERROR(U221/P221,0)</f>
        <v>0.405905492631835</v>
      </c>
      <c r="W221" s="48" t="n">
        <f aca="false">B221+INDEX(Parametros!$C$13:$C$16,MATCH($F221,Parametros!$A$13:$A$16,0))</f>
        <v>45730</v>
      </c>
      <c r="X221" s="31" t="s">
        <v>67</v>
      </c>
      <c r="Y221" s="53" t="n">
        <f aca="false">IF(COUNTIF($A$2:$A221,A221)=1,1,0)</f>
        <v>0</v>
      </c>
    </row>
    <row r="222" customFormat="false" ht="15" hidden="false" customHeight="false" outlineLevel="0" collapsed="false">
      <c r="A222" s="31" t="s">
        <v>361</v>
      </c>
      <c r="B222" s="36" t="n">
        <v>45730</v>
      </c>
      <c r="C222" s="49" t="n">
        <f aca="false">DATE(YEAR(B222),MONTH(B222),1)</f>
        <v>45717</v>
      </c>
      <c r="D222" s="31" t="s">
        <v>211</v>
      </c>
      <c r="E222" s="31" t="s">
        <v>41</v>
      </c>
      <c r="F222" s="31" t="s">
        <v>48</v>
      </c>
      <c r="G222" s="31" t="s">
        <v>60</v>
      </c>
      <c r="H222" s="31" t="s">
        <v>175</v>
      </c>
      <c r="I222" s="32" t="str">
        <f aca="false">INDEX(Productos!$B$2:$B$13,MATCH($H222,Productos!$A$2:$A$13,0))</f>
        <v>Tirafondo madera 5x60 cabeza plana Torx</v>
      </c>
      <c r="J222" s="32" t="str">
        <f aca="false">INDEX(Productos!$C$2:$C$13,MATCH($H222,Productos!$A$2:$A$13,0))</f>
        <v>Madera</v>
      </c>
      <c r="K222" s="31" t="s">
        <v>246</v>
      </c>
      <c r="L222" s="46" t="n">
        <v>7</v>
      </c>
      <c r="M222" s="50" t="n">
        <f aca="false">INDEX(Productos!$F$2:$F$13,MATCH($H222,Productos!$A$2:$A$13,0))</f>
        <v>26</v>
      </c>
      <c r="N222" s="51" t="n">
        <v>0.031</v>
      </c>
      <c r="O222" s="52" t="n">
        <f aca="false">M222*(1-N222)</f>
        <v>25.194</v>
      </c>
      <c r="P222" s="21" t="n">
        <f aca="false">L222*O222</f>
        <v>176.358</v>
      </c>
      <c r="Q222" s="50" t="n">
        <f aca="false">INDEX(Productos!$E$2:$E$13,MATCH($H222,Productos!$A$2:$A$13,0))*INDEX(Parametros!$B$26:$B$43,MATCH($C222,Parametros!$A$26:$A$43,0))</f>
        <v>13.802</v>
      </c>
      <c r="R222" s="21" t="n">
        <f aca="false">L222*Q222</f>
        <v>96.614</v>
      </c>
      <c r="S222" s="18" t="n">
        <f aca="false">L222*INDEX(Parametros!$B$20:$B$22,MATCH($E222,Parametros!$A$20:$A$22,0))</f>
        <v>5.95</v>
      </c>
      <c r="T222" s="18" t="n">
        <f aca="false">P222*INDEX(Parametros!$B$13:$B$16,MATCH($F222,Parametros!$A$13:$A$16,0))</f>
        <v>1.76358</v>
      </c>
      <c r="U222" s="21" t="n">
        <f aca="false">P222-R222-S222-T222</f>
        <v>72.03042</v>
      </c>
      <c r="V222" s="19" t="n">
        <f aca="false">IFERROR(U222/P222,0)</f>
        <v>0.408432960228626</v>
      </c>
      <c r="W222" s="48" t="n">
        <f aca="false">B222+INDEX(Parametros!$C$13:$C$16,MATCH($F222,Parametros!$A$13:$A$16,0))</f>
        <v>45730</v>
      </c>
      <c r="X222" s="31" t="s">
        <v>67</v>
      </c>
      <c r="Y222" s="53" t="n">
        <f aca="false">IF(COUNTIF($A$2:$A222,A222)=1,1,0)</f>
        <v>0</v>
      </c>
    </row>
    <row r="223" customFormat="false" ht="15" hidden="false" customHeight="false" outlineLevel="0" collapsed="false">
      <c r="A223" s="31" t="s">
        <v>362</v>
      </c>
      <c r="B223" s="36" t="n">
        <v>45733</v>
      </c>
      <c r="C223" s="49" t="n">
        <f aca="false">DATE(YEAR(B223),MONTH(B223),1)</f>
        <v>45717</v>
      </c>
      <c r="D223" s="31" t="s">
        <v>212</v>
      </c>
      <c r="E223" s="31" t="s">
        <v>42</v>
      </c>
      <c r="F223" s="31" t="s">
        <v>45</v>
      </c>
      <c r="G223" s="31" t="s">
        <v>61</v>
      </c>
      <c r="H223" s="31" t="s">
        <v>177</v>
      </c>
      <c r="I223" s="32" t="str">
        <f aca="false">INDEX(Productos!$B$2:$B$13,MATCH($H223,Productos!$A$2:$A$13,0))</f>
        <v>Tirafondo madera 6x100 cabeza plana Torx</v>
      </c>
      <c r="J223" s="32" t="str">
        <f aca="false">INDEX(Productos!$C$2:$C$13,MATCH($H223,Productos!$A$2:$A$13,0))</f>
        <v>Madera</v>
      </c>
      <c r="K223" s="31" t="s">
        <v>246</v>
      </c>
      <c r="L223" s="46" t="n">
        <v>96</v>
      </c>
      <c r="M223" s="50" t="n">
        <f aca="false">INDEX(Productos!$F$2:$F$13,MATCH($H223,Productos!$A$2:$A$13,0))</f>
        <v>34</v>
      </c>
      <c r="N223" s="51" t="n">
        <v>0.133</v>
      </c>
      <c r="O223" s="52" t="n">
        <f aca="false">M223*(1-N223)</f>
        <v>29.478</v>
      </c>
      <c r="P223" s="21" t="n">
        <f aca="false">L223*O223</f>
        <v>2829.888</v>
      </c>
      <c r="Q223" s="50" t="n">
        <f aca="false">INDEX(Productos!$E$2:$E$13,MATCH($H223,Productos!$A$2:$A$13,0))*INDEX(Parametros!$B$26:$B$43,MATCH($C223,Parametros!$A$26:$A$43,0))</f>
        <v>18.334</v>
      </c>
      <c r="R223" s="21" t="n">
        <f aca="false">L223*Q223</f>
        <v>1760.064</v>
      </c>
      <c r="S223" s="18" t="n">
        <f aca="false">L223*INDEX(Parametros!$B$20:$B$22,MATCH($E223,Parametros!$A$20:$A$22,0))</f>
        <v>230.4</v>
      </c>
      <c r="T223" s="18" t="n">
        <f aca="false">P223*INDEX(Parametros!$B$13:$B$16,MATCH($F223,Parametros!$A$13:$A$16,0))</f>
        <v>84.89664</v>
      </c>
      <c r="U223" s="21" t="n">
        <f aca="false">P223-R223-S223-T223</f>
        <v>754.52736</v>
      </c>
      <c r="V223" s="19" t="n">
        <f aca="false">IFERROR(U223/P223,0)</f>
        <v>0.266627993758057</v>
      </c>
      <c r="W223" s="48" t="n">
        <f aca="false">B223+INDEX(Parametros!$C$13:$C$16,MATCH($F223,Parametros!$A$13:$A$16,0))</f>
        <v>45793</v>
      </c>
      <c r="X223" s="31" t="s">
        <v>67</v>
      </c>
      <c r="Y223" s="53" t="n">
        <f aca="false">IF(COUNTIF($A$2:$A223,A223)=1,1,0)</f>
        <v>1</v>
      </c>
    </row>
    <row r="224" customFormat="false" ht="15" hidden="false" customHeight="false" outlineLevel="0" collapsed="false">
      <c r="A224" s="31" t="s">
        <v>362</v>
      </c>
      <c r="B224" s="36" t="n">
        <v>45733</v>
      </c>
      <c r="C224" s="49" t="n">
        <f aca="false">DATE(YEAR(B224),MONTH(B224),1)</f>
        <v>45717</v>
      </c>
      <c r="D224" s="31" t="s">
        <v>212</v>
      </c>
      <c r="E224" s="31" t="s">
        <v>42</v>
      </c>
      <c r="F224" s="31" t="s">
        <v>45</v>
      </c>
      <c r="G224" s="31" t="s">
        <v>61</v>
      </c>
      <c r="H224" s="31" t="s">
        <v>185</v>
      </c>
      <c r="I224" s="32" t="str">
        <f aca="false">INDEX(Productos!$B$2:$B$13,MATCH($H224,Productos!$A$2:$A$13,0))</f>
        <v>Varilla roscada M10 x 1 m zincada</v>
      </c>
      <c r="J224" s="32" t="str">
        <f aca="false">INDEX(Productos!$C$2:$C$13,MATCH($H224,Productos!$A$2:$A$13,0))</f>
        <v>Especial</v>
      </c>
      <c r="K224" s="31" t="s">
        <v>246</v>
      </c>
      <c r="L224" s="46" t="n">
        <v>32</v>
      </c>
      <c r="M224" s="50" t="n">
        <f aca="false">INDEX(Productos!$F$2:$F$13,MATCH($H224,Productos!$A$2:$A$13,0))</f>
        <v>54</v>
      </c>
      <c r="N224" s="51" t="n">
        <v>0.186</v>
      </c>
      <c r="O224" s="52" t="n">
        <f aca="false">M224*(1-N224)</f>
        <v>43.956</v>
      </c>
      <c r="P224" s="21" t="n">
        <f aca="false">L224*O224</f>
        <v>1406.592</v>
      </c>
      <c r="Q224" s="50" t="n">
        <f aca="false">INDEX(Productos!$E$2:$E$13,MATCH($H224,Productos!$A$2:$A$13,0))*INDEX(Parametros!$B$26:$B$43,MATCH($C224,Parametros!$A$26:$A$43,0))</f>
        <v>29.355</v>
      </c>
      <c r="R224" s="21" t="n">
        <f aca="false">L224*Q224</f>
        <v>939.36</v>
      </c>
      <c r="S224" s="18" t="n">
        <f aca="false">L224*INDEX(Parametros!$B$20:$B$22,MATCH($E224,Parametros!$A$20:$A$22,0))</f>
        <v>76.8</v>
      </c>
      <c r="T224" s="18" t="n">
        <f aca="false">P224*INDEX(Parametros!$B$13:$B$16,MATCH($F224,Parametros!$A$13:$A$16,0))</f>
        <v>42.19776</v>
      </c>
      <c r="U224" s="21" t="n">
        <f aca="false">P224-R224-S224-T224</f>
        <v>348.23424</v>
      </c>
      <c r="V224" s="19" t="n">
        <f aca="false">IFERROR(U224/P224,0)</f>
        <v>0.247573027573028</v>
      </c>
      <c r="W224" s="48" t="n">
        <f aca="false">B224+INDEX(Parametros!$C$13:$C$16,MATCH($F224,Parametros!$A$13:$A$16,0))</f>
        <v>45793</v>
      </c>
      <c r="X224" s="31" t="s">
        <v>67</v>
      </c>
      <c r="Y224" s="53" t="n">
        <f aca="false">IF(COUNTIF($A$2:$A224,A224)=1,1,0)</f>
        <v>0</v>
      </c>
    </row>
    <row r="225" customFormat="false" ht="15" hidden="false" customHeight="false" outlineLevel="0" collapsed="false">
      <c r="A225" s="31" t="s">
        <v>363</v>
      </c>
      <c r="B225" s="36" t="n">
        <v>45733</v>
      </c>
      <c r="C225" s="49" t="n">
        <f aca="false">DATE(YEAR(B225),MONTH(B225),1)</f>
        <v>45717</v>
      </c>
      <c r="D225" s="31" t="s">
        <v>219</v>
      </c>
      <c r="E225" s="31" t="s">
        <v>42</v>
      </c>
      <c r="F225" s="31" t="s">
        <v>45</v>
      </c>
      <c r="G225" s="31" t="s">
        <v>61</v>
      </c>
      <c r="H225" s="31" t="s">
        <v>165</v>
      </c>
      <c r="I225" s="32" t="str">
        <f aca="false">INDEX(Productos!$B$2:$B$13,MATCH($H225,Productos!$A$2:$A$13,0))</f>
        <v>Tornillo DIN 933 M8x40 rosca completa zincado</v>
      </c>
      <c r="J225" s="32" t="str">
        <f aca="false">INDEX(Productos!$C$2:$C$13,MATCH($H225,Productos!$A$2:$A$13,0))</f>
        <v>Métrica</v>
      </c>
      <c r="K225" s="31" t="s">
        <v>246</v>
      </c>
      <c r="L225" s="46" t="n">
        <v>146</v>
      </c>
      <c r="M225" s="50" t="n">
        <f aca="false">INDEX(Productos!$F$2:$F$13,MATCH($H225,Productos!$A$2:$A$13,0))</f>
        <v>37.5</v>
      </c>
      <c r="N225" s="51" t="n">
        <v>0.199</v>
      </c>
      <c r="O225" s="52" t="n">
        <f aca="false">M225*(1-N225)</f>
        <v>30.0375</v>
      </c>
      <c r="P225" s="21" t="n">
        <f aca="false">L225*O225</f>
        <v>4385.475</v>
      </c>
      <c r="Q225" s="50" t="n">
        <f aca="false">INDEX(Productos!$E$2:$E$13,MATCH($H225,Productos!$A$2:$A$13,0))*INDEX(Parametros!$B$26:$B$43,MATCH($C225,Parametros!$A$26:$A$43,0))</f>
        <v>19.982</v>
      </c>
      <c r="R225" s="21" t="n">
        <f aca="false">L225*Q225</f>
        <v>2917.372</v>
      </c>
      <c r="S225" s="18" t="n">
        <f aca="false">L225*INDEX(Parametros!$B$20:$B$22,MATCH($E225,Parametros!$A$20:$A$22,0))</f>
        <v>350.4</v>
      </c>
      <c r="T225" s="18" t="n">
        <f aca="false">P225*INDEX(Parametros!$B$13:$B$16,MATCH($F225,Parametros!$A$13:$A$16,0))</f>
        <v>131.56425</v>
      </c>
      <c r="U225" s="21" t="n">
        <f aca="false">P225-R225-S225-T225</f>
        <v>986.13875</v>
      </c>
      <c r="V225" s="19" t="n">
        <f aca="false">IFERROR(U225/P225,0)</f>
        <v>0.224864752392842</v>
      </c>
      <c r="W225" s="48" t="n">
        <f aca="false">B225+INDEX(Parametros!$C$13:$C$16,MATCH($F225,Parametros!$A$13:$A$16,0))</f>
        <v>45793</v>
      </c>
      <c r="X225" s="31" t="s">
        <v>67</v>
      </c>
      <c r="Y225" s="53" t="n">
        <f aca="false">IF(COUNTIF($A$2:$A225,A225)=1,1,0)</f>
        <v>1</v>
      </c>
    </row>
    <row r="226" customFormat="false" ht="15" hidden="false" customHeight="false" outlineLevel="0" collapsed="false">
      <c r="A226" s="31" t="s">
        <v>363</v>
      </c>
      <c r="B226" s="36" t="n">
        <v>45733</v>
      </c>
      <c r="C226" s="49" t="n">
        <f aca="false">DATE(YEAR(B226),MONTH(B226),1)</f>
        <v>45717</v>
      </c>
      <c r="D226" s="31" t="s">
        <v>219</v>
      </c>
      <c r="E226" s="31" t="s">
        <v>42</v>
      </c>
      <c r="F226" s="31" t="s">
        <v>45</v>
      </c>
      <c r="G226" s="31" t="s">
        <v>61</v>
      </c>
      <c r="H226" s="31" t="s">
        <v>177</v>
      </c>
      <c r="I226" s="32" t="str">
        <f aca="false">INDEX(Productos!$B$2:$B$13,MATCH($H226,Productos!$A$2:$A$13,0))</f>
        <v>Tirafondo madera 6x100 cabeza plana Torx</v>
      </c>
      <c r="J226" s="32" t="str">
        <f aca="false">INDEX(Productos!$C$2:$C$13,MATCH($H226,Productos!$A$2:$A$13,0))</f>
        <v>Madera</v>
      </c>
      <c r="K226" s="31" t="s">
        <v>246</v>
      </c>
      <c r="L226" s="46" t="n">
        <v>61</v>
      </c>
      <c r="M226" s="50" t="n">
        <f aca="false">INDEX(Productos!$F$2:$F$13,MATCH($H226,Productos!$A$2:$A$13,0))</f>
        <v>34</v>
      </c>
      <c r="N226" s="51" t="n">
        <v>0.198</v>
      </c>
      <c r="O226" s="52" t="n">
        <f aca="false">M226*(1-N226)</f>
        <v>27.268</v>
      </c>
      <c r="P226" s="21" t="n">
        <f aca="false">L226*O226</f>
        <v>1663.348</v>
      </c>
      <c r="Q226" s="50" t="n">
        <f aca="false">INDEX(Productos!$E$2:$E$13,MATCH($H226,Productos!$A$2:$A$13,0))*INDEX(Parametros!$B$26:$B$43,MATCH($C226,Parametros!$A$26:$A$43,0))</f>
        <v>18.334</v>
      </c>
      <c r="R226" s="21" t="n">
        <f aca="false">L226*Q226</f>
        <v>1118.374</v>
      </c>
      <c r="S226" s="18" t="n">
        <f aca="false">L226*INDEX(Parametros!$B$20:$B$22,MATCH($E226,Parametros!$A$20:$A$22,0))</f>
        <v>146.4</v>
      </c>
      <c r="T226" s="18" t="n">
        <f aca="false">P226*INDEX(Parametros!$B$13:$B$16,MATCH($F226,Parametros!$A$13:$A$16,0))</f>
        <v>49.90044</v>
      </c>
      <c r="U226" s="21" t="n">
        <f aca="false">P226-R226-S226-T226</f>
        <v>348.67356</v>
      </c>
      <c r="V226" s="19" t="n">
        <f aca="false">IFERROR(U226/P226,0)</f>
        <v>0.209621534399296</v>
      </c>
      <c r="W226" s="48" t="n">
        <f aca="false">B226+INDEX(Parametros!$C$13:$C$16,MATCH($F226,Parametros!$A$13:$A$16,0))</f>
        <v>45793</v>
      </c>
      <c r="X226" s="31" t="s">
        <v>67</v>
      </c>
      <c r="Y226" s="53" t="n">
        <f aca="false">IF(COUNTIF($A$2:$A226,A226)=1,1,0)</f>
        <v>0</v>
      </c>
    </row>
    <row r="227" customFormat="false" ht="15" hidden="false" customHeight="false" outlineLevel="0" collapsed="false">
      <c r="A227" s="31" t="s">
        <v>364</v>
      </c>
      <c r="B227" s="36" t="n">
        <v>45733</v>
      </c>
      <c r="C227" s="49" t="n">
        <f aca="false">DATE(YEAR(B227),MONTH(B227),1)</f>
        <v>45717</v>
      </c>
      <c r="D227" s="31" t="s">
        <v>218</v>
      </c>
      <c r="E227" s="31" t="s">
        <v>42</v>
      </c>
      <c r="F227" s="31" t="s">
        <v>45</v>
      </c>
      <c r="G227" s="31" t="s">
        <v>61</v>
      </c>
      <c r="H227" s="31" t="s">
        <v>177</v>
      </c>
      <c r="I227" s="32" t="str">
        <f aca="false">INDEX(Productos!$B$2:$B$13,MATCH($H227,Productos!$A$2:$A$13,0))</f>
        <v>Tirafondo madera 6x100 cabeza plana Torx</v>
      </c>
      <c r="J227" s="32" t="str">
        <f aca="false">INDEX(Productos!$C$2:$C$13,MATCH($H227,Productos!$A$2:$A$13,0))</f>
        <v>Madera</v>
      </c>
      <c r="K227" s="31" t="s">
        <v>275</v>
      </c>
      <c r="L227" s="46" t="n">
        <v>-8</v>
      </c>
      <c r="M227" s="50" t="n">
        <f aca="false">INDEX(Productos!$F$2:$F$13,MATCH($H227,Productos!$A$2:$A$13,0))</f>
        <v>34</v>
      </c>
      <c r="N227" s="51" t="n">
        <v>0.2</v>
      </c>
      <c r="O227" s="52" t="n">
        <f aca="false">M227*(1-N227)</f>
        <v>27.2</v>
      </c>
      <c r="P227" s="21" t="n">
        <f aca="false">L227*O227</f>
        <v>-217.6</v>
      </c>
      <c r="Q227" s="50" t="n">
        <f aca="false">INDEX(Productos!$E$2:$E$13,MATCH($H227,Productos!$A$2:$A$13,0))*INDEX(Parametros!$B$26:$B$43,MATCH($C227,Parametros!$A$26:$A$43,0))</f>
        <v>18.334</v>
      </c>
      <c r="R227" s="21" t="n">
        <f aca="false">L227*Q227</f>
        <v>-146.672</v>
      </c>
      <c r="S227" s="18" t="n">
        <f aca="false">L227*INDEX(Parametros!$B$20:$B$22,MATCH($E227,Parametros!$A$20:$A$22,0))</f>
        <v>-19.2</v>
      </c>
      <c r="T227" s="18" t="n">
        <f aca="false">P227*INDEX(Parametros!$B$13:$B$16,MATCH($F227,Parametros!$A$13:$A$16,0))</f>
        <v>-6.528</v>
      </c>
      <c r="U227" s="21" t="n">
        <f aca="false">P227-R227-S227-T227</f>
        <v>-45.2</v>
      </c>
      <c r="V227" s="19" t="n">
        <f aca="false">IFERROR(U227/P227,0)</f>
        <v>0.207720588235294</v>
      </c>
      <c r="W227" s="48" t="n">
        <f aca="false">B227+INDEX(Parametros!$C$13:$C$16,MATCH($F227,Parametros!$A$13:$A$16,0))</f>
        <v>45793</v>
      </c>
      <c r="X227" s="31" t="s">
        <v>67</v>
      </c>
      <c r="Y227" s="53" t="n">
        <f aca="false">IF(COUNTIF($A$2:$A227,A227)=1,1,0)</f>
        <v>1</v>
      </c>
    </row>
    <row r="228" customFormat="false" ht="15" hidden="false" customHeight="false" outlineLevel="0" collapsed="false">
      <c r="A228" s="31" t="s">
        <v>364</v>
      </c>
      <c r="B228" s="36" t="n">
        <v>45733</v>
      </c>
      <c r="C228" s="49" t="n">
        <f aca="false">DATE(YEAR(B228),MONTH(B228),1)</f>
        <v>45717</v>
      </c>
      <c r="D228" s="31" t="s">
        <v>218</v>
      </c>
      <c r="E228" s="31" t="s">
        <v>42</v>
      </c>
      <c r="F228" s="31" t="s">
        <v>45</v>
      </c>
      <c r="G228" s="31" t="s">
        <v>61</v>
      </c>
      <c r="H228" s="31" t="s">
        <v>171</v>
      </c>
      <c r="I228" s="32" t="str">
        <f aca="false">INDEX(Productos!$B$2:$B$13,MATCH($H228,Productos!$A$2:$A$13,0))</f>
        <v>Tornillo DIN 7991 M8x30 avellanado inox A2</v>
      </c>
      <c r="J228" s="32" t="str">
        <f aca="false">INDEX(Productos!$C$2:$C$13,MATCH($H228,Productos!$A$2:$A$13,0))</f>
        <v>Inoxidable</v>
      </c>
      <c r="K228" s="31" t="s">
        <v>275</v>
      </c>
      <c r="L228" s="46" t="n">
        <v>-48</v>
      </c>
      <c r="M228" s="50" t="n">
        <f aca="false">INDEX(Productos!$F$2:$F$13,MATCH($H228,Productos!$A$2:$A$13,0))</f>
        <v>88</v>
      </c>
      <c r="N228" s="51" t="n">
        <v>0.139</v>
      </c>
      <c r="O228" s="52" t="n">
        <f aca="false">M228*(1-N228)</f>
        <v>75.768</v>
      </c>
      <c r="P228" s="21" t="n">
        <f aca="false">L228*O228</f>
        <v>-3636.864</v>
      </c>
      <c r="Q228" s="50" t="n">
        <f aca="false">INDEX(Productos!$E$2:$E$13,MATCH($H228,Productos!$A$2:$A$13,0))*INDEX(Parametros!$B$26:$B$43,MATCH($C228,Parametros!$A$26:$A$43,0))</f>
        <v>47.895</v>
      </c>
      <c r="R228" s="21" t="n">
        <f aca="false">L228*Q228</f>
        <v>-2298.96</v>
      </c>
      <c r="S228" s="18" t="n">
        <f aca="false">L228*INDEX(Parametros!$B$20:$B$22,MATCH($E228,Parametros!$A$20:$A$22,0))</f>
        <v>-115.2</v>
      </c>
      <c r="T228" s="18" t="n">
        <f aca="false">P228*INDEX(Parametros!$B$13:$B$16,MATCH($F228,Parametros!$A$13:$A$16,0))</f>
        <v>-109.10592</v>
      </c>
      <c r="U228" s="21" t="n">
        <f aca="false">P228-R228-S228-T228</f>
        <v>-1113.59808</v>
      </c>
      <c r="V228" s="19" t="n">
        <f aca="false">IFERROR(U228/P228,0)</f>
        <v>0.30619733924612</v>
      </c>
      <c r="W228" s="48" t="n">
        <f aca="false">B228+INDEX(Parametros!$C$13:$C$16,MATCH($F228,Parametros!$A$13:$A$16,0))</f>
        <v>45793</v>
      </c>
      <c r="X228" s="31" t="s">
        <v>67</v>
      </c>
      <c r="Y228" s="53" t="n">
        <f aca="false">IF(COUNTIF($A$2:$A228,A228)=1,1,0)</f>
        <v>0</v>
      </c>
    </row>
    <row r="229" customFormat="false" ht="15" hidden="false" customHeight="false" outlineLevel="0" collapsed="false">
      <c r="A229" s="31" t="s">
        <v>365</v>
      </c>
      <c r="B229" s="36" t="n">
        <v>45733</v>
      </c>
      <c r="C229" s="49" t="n">
        <f aca="false">DATE(YEAR(B229),MONTH(B229),1)</f>
        <v>45717</v>
      </c>
      <c r="D229" s="31" t="s">
        <v>208</v>
      </c>
      <c r="E229" s="31" t="s">
        <v>41</v>
      </c>
      <c r="F229" s="31" t="s">
        <v>46</v>
      </c>
      <c r="G229" s="31" t="s">
        <v>58</v>
      </c>
      <c r="H229" s="31" t="s">
        <v>163</v>
      </c>
      <c r="I229" s="32" t="str">
        <f aca="false">INDEX(Productos!$B$2:$B$13,MATCH($H229,Productos!$A$2:$A$13,0))</f>
        <v>Tornillo DIN 933 M6x30 rosca completa zincado</v>
      </c>
      <c r="J229" s="32" t="str">
        <f aca="false">INDEX(Productos!$C$2:$C$13,MATCH($H229,Productos!$A$2:$A$13,0))</f>
        <v>Métrica</v>
      </c>
      <c r="K229" s="31" t="s">
        <v>246</v>
      </c>
      <c r="L229" s="46" t="n">
        <v>254</v>
      </c>
      <c r="M229" s="50" t="n">
        <f aca="false">INDEX(Productos!$F$2:$F$13,MATCH($H229,Productos!$A$2:$A$13,0))</f>
        <v>32</v>
      </c>
      <c r="N229" s="51" t="n">
        <v>0.156</v>
      </c>
      <c r="O229" s="52" t="n">
        <f aca="false">M229*(1-N229)</f>
        <v>27.008</v>
      </c>
      <c r="P229" s="21" t="n">
        <f aca="false">L229*O229</f>
        <v>6860.032</v>
      </c>
      <c r="Q229" s="50" t="n">
        <f aca="false">INDEX(Productos!$E$2:$E$13,MATCH($H229,Productos!$A$2:$A$13,0))*INDEX(Parametros!$B$26:$B$43,MATCH($C229,Parametros!$A$26:$A$43,0))</f>
        <v>17.098</v>
      </c>
      <c r="R229" s="21" t="n">
        <f aca="false">L229*Q229</f>
        <v>4342.892</v>
      </c>
      <c r="S229" s="18" t="n">
        <f aca="false">L229*INDEX(Parametros!$B$20:$B$22,MATCH($E229,Parametros!$A$20:$A$22,0))</f>
        <v>215.9</v>
      </c>
      <c r="T229" s="18" t="n">
        <f aca="false">P229*INDEX(Parametros!$B$13:$B$16,MATCH($F229,Parametros!$A$13:$A$16,0))</f>
        <v>274.40128</v>
      </c>
      <c r="U229" s="21" t="n">
        <f aca="false">P229-R229-S229-T229</f>
        <v>2026.83872</v>
      </c>
      <c r="V229" s="19" t="n">
        <f aca="false">IFERROR(U229/P229,0)</f>
        <v>0.295456161137441</v>
      </c>
      <c r="W229" s="48" t="n">
        <f aca="false">B229+INDEX(Parametros!$C$13:$C$16,MATCH($F229,Parametros!$A$13:$A$16,0))</f>
        <v>45808</v>
      </c>
      <c r="X229" s="31" t="s">
        <v>67</v>
      </c>
      <c r="Y229" s="53" t="n">
        <f aca="false">IF(COUNTIF($A$2:$A229,A229)=1,1,0)</f>
        <v>1</v>
      </c>
    </row>
    <row r="230" customFormat="false" ht="15" hidden="false" customHeight="false" outlineLevel="0" collapsed="false">
      <c r="A230" s="31" t="s">
        <v>366</v>
      </c>
      <c r="B230" s="36" t="n">
        <v>45733</v>
      </c>
      <c r="C230" s="49" t="n">
        <f aca="false">DATE(YEAR(B230),MONTH(B230),1)</f>
        <v>45717</v>
      </c>
      <c r="D230" s="31" t="s">
        <v>197</v>
      </c>
      <c r="E230" s="31" t="s">
        <v>41</v>
      </c>
      <c r="F230" s="31" t="s">
        <v>46</v>
      </c>
      <c r="G230" s="31" t="s">
        <v>58</v>
      </c>
      <c r="H230" s="31" t="s">
        <v>185</v>
      </c>
      <c r="I230" s="32" t="str">
        <f aca="false">INDEX(Productos!$B$2:$B$13,MATCH($H230,Productos!$A$2:$A$13,0))</f>
        <v>Varilla roscada M10 x 1 m zincada</v>
      </c>
      <c r="J230" s="32" t="str">
        <f aca="false">INDEX(Productos!$C$2:$C$13,MATCH($H230,Productos!$A$2:$A$13,0))</f>
        <v>Especial</v>
      </c>
      <c r="K230" s="31" t="s">
        <v>246</v>
      </c>
      <c r="L230" s="46" t="n">
        <v>159</v>
      </c>
      <c r="M230" s="50" t="n">
        <f aca="false">INDEX(Productos!$F$2:$F$13,MATCH($H230,Productos!$A$2:$A$13,0))</f>
        <v>54</v>
      </c>
      <c r="N230" s="51" t="n">
        <v>0.089</v>
      </c>
      <c r="O230" s="52" t="n">
        <f aca="false">M230*(1-N230)</f>
        <v>49.194</v>
      </c>
      <c r="P230" s="21" t="n">
        <f aca="false">L230*O230</f>
        <v>7821.846</v>
      </c>
      <c r="Q230" s="50" t="n">
        <f aca="false">INDEX(Productos!$E$2:$E$13,MATCH($H230,Productos!$A$2:$A$13,0))*INDEX(Parametros!$B$26:$B$43,MATCH($C230,Parametros!$A$26:$A$43,0))</f>
        <v>29.355</v>
      </c>
      <c r="R230" s="21" t="n">
        <f aca="false">L230*Q230</f>
        <v>4667.445</v>
      </c>
      <c r="S230" s="18" t="n">
        <f aca="false">L230*INDEX(Parametros!$B$20:$B$22,MATCH($E230,Parametros!$A$20:$A$22,0))</f>
        <v>135.15</v>
      </c>
      <c r="T230" s="18" t="n">
        <f aca="false">P230*INDEX(Parametros!$B$13:$B$16,MATCH($F230,Parametros!$A$13:$A$16,0))</f>
        <v>312.87384</v>
      </c>
      <c r="U230" s="21" t="n">
        <f aca="false">P230-R230-S230-T230</f>
        <v>2706.37716</v>
      </c>
      <c r="V230" s="19" t="n">
        <f aca="false">IFERROR(U230/P230,0)</f>
        <v>0.34600235801114</v>
      </c>
      <c r="W230" s="48" t="n">
        <f aca="false">B230+INDEX(Parametros!$C$13:$C$16,MATCH($F230,Parametros!$A$13:$A$16,0))</f>
        <v>45808</v>
      </c>
      <c r="X230" s="31" t="s">
        <v>67</v>
      </c>
      <c r="Y230" s="53" t="n">
        <f aca="false">IF(COUNTIF($A$2:$A230,A230)=1,1,0)</f>
        <v>1</v>
      </c>
    </row>
    <row r="231" customFormat="false" ht="15" hidden="false" customHeight="false" outlineLevel="0" collapsed="false">
      <c r="A231" s="31" t="s">
        <v>367</v>
      </c>
      <c r="B231" s="36" t="n">
        <v>45734</v>
      </c>
      <c r="C231" s="49" t="n">
        <f aca="false">DATE(YEAR(B231),MONTH(B231),1)</f>
        <v>45717</v>
      </c>
      <c r="D231" s="31" t="s">
        <v>209</v>
      </c>
      <c r="E231" s="31" t="s">
        <v>41</v>
      </c>
      <c r="F231" s="31" t="s">
        <v>45</v>
      </c>
      <c r="G231" s="31" t="s">
        <v>62</v>
      </c>
      <c r="H231" s="31" t="s">
        <v>175</v>
      </c>
      <c r="I231" s="32" t="str">
        <f aca="false">INDEX(Productos!$B$2:$B$13,MATCH($H231,Productos!$A$2:$A$13,0))</f>
        <v>Tirafondo madera 5x60 cabeza plana Torx</v>
      </c>
      <c r="J231" s="32" t="str">
        <f aca="false">INDEX(Productos!$C$2:$C$13,MATCH($H231,Productos!$A$2:$A$13,0))</f>
        <v>Madera</v>
      </c>
      <c r="K231" s="31" t="s">
        <v>246</v>
      </c>
      <c r="L231" s="46" t="n">
        <v>23</v>
      </c>
      <c r="M231" s="50" t="n">
        <f aca="false">INDEX(Productos!$F$2:$F$13,MATCH($H231,Productos!$A$2:$A$13,0))</f>
        <v>26</v>
      </c>
      <c r="N231" s="51" t="n">
        <v>0.157</v>
      </c>
      <c r="O231" s="52" t="n">
        <f aca="false">M231*(1-N231)</f>
        <v>21.918</v>
      </c>
      <c r="P231" s="21" t="n">
        <f aca="false">L231*O231</f>
        <v>504.114</v>
      </c>
      <c r="Q231" s="50" t="n">
        <f aca="false">INDEX(Productos!$E$2:$E$13,MATCH($H231,Productos!$A$2:$A$13,0))*INDEX(Parametros!$B$26:$B$43,MATCH($C231,Parametros!$A$26:$A$43,0))</f>
        <v>13.802</v>
      </c>
      <c r="R231" s="21" t="n">
        <f aca="false">L231*Q231</f>
        <v>317.446</v>
      </c>
      <c r="S231" s="18" t="n">
        <f aca="false">L231*INDEX(Parametros!$B$20:$B$22,MATCH($E231,Parametros!$A$20:$A$22,0))</f>
        <v>19.55</v>
      </c>
      <c r="T231" s="18" t="n">
        <f aca="false">P231*INDEX(Parametros!$B$13:$B$16,MATCH($F231,Parametros!$A$13:$A$16,0))</f>
        <v>15.12342</v>
      </c>
      <c r="U231" s="21" t="n">
        <f aca="false">P231-R231-S231-T231</f>
        <v>151.99458</v>
      </c>
      <c r="V231" s="19" t="n">
        <f aca="false">IFERROR(U231/P231,0)</f>
        <v>0.301508349301944</v>
      </c>
      <c r="W231" s="48" t="n">
        <f aca="false">B231+INDEX(Parametros!$C$13:$C$16,MATCH($F231,Parametros!$A$13:$A$16,0))</f>
        <v>45794</v>
      </c>
      <c r="X231" s="31" t="s">
        <v>67</v>
      </c>
      <c r="Y231" s="53" t="n">
        <f aca="false">IF(COUNTIF($A$2:$A231,A231)=1,1,0)</f>
        <v>1</v>
      </c>
    </row>
    <row r="232" customFormat="false" ht="15" hidden="false" customHeight="false" outlineLevel="0" collapsed="false">
      <c r="A232" s="31" t="s">
        <v>367</v>
      </c>
      <c r="B232" s="36" t="n">
        <v>45734</v>
      </c>
      <c r="C232" s="49" t="n">
        <f aca="false">DATE(YEAR(B232),MONTH(B232),1)</f>
        <v>45717</v>
      </c>
      <c r="D232" s="31" t="s">
        <v>209</v>
      </c>
      <c r="E232" s="31" t="s">
        <v>41</v>
      </c>
      <c r="F232" s="31" t="s">
        <v>45</v>
      </c>
      <c r="G232" s="31" t="s">
        <v>62</v>
      </c>
      <c r="H232" s="31" t="s">
        <v>163</v>
      </c>
      <c r="I232" s="32" t="str">
        <f aca="false">INDEX(Productos!$B$2:$B$13,MATCH($H232,Productos!$A$2:$A$13,0))</f>
        <v>Tornillo DIN 933 M6x30 rosca completa zincado</v>
      </c>
      <c r="J232" s="32" t="str">
        <f aca="false">INDEX(Productos!$C$2:$C$13,MATCH($H232,Productos!$A$2:$A$13,0))</f>
        <v>Métrica</v>
      </c>
      <c r="K232" s="31" t="s">
        <v>246</v>
      </c>
      <c r="L232" s="46" t="n">
        <v>134</v>
      </c>
      <c r="M232" s="50" t="n">
        <f aca="false">INDEX(Productos!$F$2:$F$13,MATCH($H232,Productos!$A$2:$A$13,0))</f>
        <v>32</v>
      </c>
      <c r="N232" s="51" t="n">
        <v>0.212</v>
      </c>
      <c r="O232" s="52" t="n">
        <f aca="false">M232*(1-N232)</f>
        <v>25.216</v>
      </c>
      <c r="P232" s="21" t="n">
        <f aca="false">L232*O232</f>
        <v>3378.944</v>
      </c>
      <c r="Q232" s="50" t="n">
        <f aca="false">INDEX(Productos!$E$2:$E$13,MATCH($H232,Productos!$A$2:$A$13,0))*INDEX(Parametros!$B$26:$B$43,MATCH($C232,Parametros!$A$26:$A$43,0))</f>
        <v>17.098</v>
      </c>
      <c r="R232" s="21" t="n">
        <f aca="false">L232*Q232</f>
        <v>2291.132</v>
      </c>
      <c r="S232" s="18" t="n">
        <f aca="false">L232*INDEX(Parametros!$B$20:$B$22,MATCH($E232,Parametros!$A$20:$A$22,0))</f>
        <v>113.9</v>
      </c>
      <c r="T232" s="18" t="n">
        <f aca="false">P232*INDEX(Parametros!$B$13:$B$16,MATCH($F232,Parametros!$A$13:$A$16,0))</f>
        <v>101.36832</v>
      </c>
      <c r="U232" s="21" t="n">
        <f aca="false">P232-R232-S232-T232</f>
        <v>872.543679999999</v>
      </c>
      <c r="V232" s="19" t="n">
        <f aca="false">IFERROR(U232/P232,0)</f>
        <v>0.258229695431472</v>
      </c>
      <c r="W232" s="48" t="n">
        <f aca="false">B232+INDEX(Parametros!$C$13:$C$16,MATCH($F232,Parametros!$A$13:$A$16,0))</f>
        <v>45794</v>
      </c>
      <c r="X232" s="31" t="s">
        <v>67</v>
      </c>
      <c r="Y232" s="53" t="n">
        <f aca="false">IF(COUNTIF($A$2:$A232,A232)=1,1,0)</f>
        <v>0</v>
      </c>
    </row>
    <row r="233" customFormat="false" ht="15" hidden="false" customHeight="false" outlineLevel="0" collapsed="false">
      <c r="A233" s="31" t="s">
        <v>368</v>
      </c>
      <c r="B233" s="36" t="n">
        <v>45734</v>
      </c>
      <c r="C233" s="49" t="n">
        <f aca="false">DATE(YEAR(B233),MONTH(B233),1)</f>
        <v>45717</v>
      </c>
      <c r="D233" s="31" t="s">
        <v>221</v>
      </c>
      <c r="E233" s="31" t="s">
        <v>43</v>
      </c>
      <c r="F233" s="31" t="s">
        <v>45</v>
      </c>
      <c r="G233" s="31" t="s">
        <v>59</v>
      </c>
      <c r="H233" s="31" t="s">
        <v>185</v>
      </c>
      <c r="I233" s="32" t="str">
        <f aca="false">INDEX(Productos!$B$2:$B$13,MATCH($H233,Productos!$A$2:$A$13,0))</f>
        <v>Varilla roscada M10 x 1 m zincada</v>
      </c>
      <c r="J233" s="32" t="str">
        <f aca="false">INDEX(Productos!$C$2:$C$13,MATCH($H233,Productos!$A$2:$A$13,0))</f>
        <v>Especial</v>
      </c>
      <c r="K233" s="31" t="s">
        <v>246</v>
      </c>
      <c r="L233" s="46" t="n">
        <v>276</v>
      </c>
      <c r="M233" s="50" t="n">
        <f aca="false">INDEX(Productos!$F$2:$F$13,MATCH($H233,Productos!$A$2:$A$13,0))</f>
        <v>54</v>
      </c>
      <c r="N233" s="51" t="n">
        <v>0.183</v>
      </c>
      <c r="O233" s="52" t="n">
        <f aca="false">M233*(1-N233)</f>
        <v>44.118</v>
      </c>
      <c r="P233" s="21" t="n">
        <f aca="false">L233*O233</f>
        <v>12176.568</v>
      </c>
      <c r="Q233" s="50" t="n">
        <f aca="false">INDEX(Productos!$E$2:$E$13,MATCH($H233,Productos!$A$2:$A$13,0))*INDEX(Parametros!$B$26:$B$43,MATCH($C233,Parametros!$A$26:$A$43,0))</f>
        <v>29.355</v>
      </c>
      <c r="R233" s="21" t="n">
        <f aca="false">L233*Q233</f>
        <v>8101.98</v>
      </c>
      <c r="S233" s="18" t="n">
        <f aca="false">L233*INDEX(Parametros!$B$20:$B$22,MATCH($E233,Parametros!$A$20:$A$22,0))</f>
        <v>524.4</v>
      </c>
      <c r="T233" s="18" t="n">
        <f aca="false">P233*INDEX(Parametros!$B$13:$B$16,MATCH($F233,Parametros!$A$13:$A$16,0))</f>
        <v>365.29704</v>
      </c>
      <c r="U233" s="21" t="n">
        <f aca="false">P233-R233-S233-T233</f>
        <v>3184.89096</v>
      </c>
      <c r="V233" s="19" t="n">
        <f aca="false">IFERROR(U233/P233,0)</f>
        <v>0.261559000861326</v>
      </c>
      <c r="W233" s="48" t="n">
        <f aca="false">B233+INDEX(Parametros!$C$13:$C$16,MATCH($F233,Parametros!$A$13:$A$16,0))</f>
        <v>45794</v>
      </c>
      <c r="X233" s="31" t="s">
        <v>67</v>
      </c>
      <c r="Y233" s="53" t="n">
        <f aca="false">IF(COUNTIF($A$2:$A233,A233)=1,1,0)</f>
        <v>1</v>
      </c>
    </row>
    <row r="234" customFormat="false" ht="15" hidden="false" customHeight="false" outlineLevel="0" collapsed="false">
      <c r="A234" s="31" t="s">
        <v>368</v>
      </c>
      <c r="B234" s="36" t="n">
        <v>45734</v>
      </c>
      <c r="C234" s="49" t="n">
        <f aca="false">DATE(YEAR(B234),MONTH(B234),1)</f>
        <v>45717</v>
      </c>
      <c r="D234" s="31" t="s">
        <v>221</v>
      </c>
      <c r="E234" s="31" t="s">
        <v>43</v>
      </c>
      <c r="F234" s="31" t="s">
        <v>45</v>
      </c>
      <c r="G234" s="31" t="s">
        <v>59</v>
      </c>
      <c r="H234" s="31" t="s">
        <v>183</v>
      </c>
      <c r="I234" s="32" t="str">
        <f aca="false">INDEX(Productos!$B$2:$B$13,MATCH($H234,Productos!$A$2:$A$13,0))</f>
        <v>Tornillo estructural M16x90 clase 10.9</v>
      </c>
      <c r="J234" s="32" t="str">
        <f aca="false">INDEX(Productos!$C$2:$C$13,MATCH($H234,Productos!$A$2:$A$13,0))</f>
        <v>Especial</v>
      </c>
      <c r="K234" s="31" t="s">
        <v>246</v>
      </c>
      <c r="L234" s="46" t="n">
        <v>73</v>
      </c>
      <c r="M234" s="50" t="n">
        <f aca="false">INDEX(Productos!$F$2:$F$13,MATCH($H234,Productos!$A$2:$A$13,0))</f>
        <v>112</v>
      </c>
      <c r="N234" s="51" t="n">
        <v>0.173</v>
      </c>
      <c r="O234" s="52" t="n">
        <f aca="false">M234*(1-N234)</f>
        <v>92.624</v>
      </c>
      <c r="P234" s="21" t="n">
        <f aca="false">L234*O234</f>
        <v>6761.552</v>
      </c>
      <c r="Q234" s="50" t="n">
        <f aca="false">INDEX(Productos!$E$2:$E$13,MATCH($H234,Productos!$A$2:$A$13,0))*INDEX(Parametros!$B$26:$B$43,MATCH($C234,Parametros!$A$26:$A$43,0))</f>
        <v>61.8</v>
      </c>
      <c r="R234" s="21" t="n">
        <f aca="false">L234*Q234</f>
        <v>4511.4</v>
      </c>
      <c r="S234" s="18" t="n">
        <f aca="false">L234*INDEX(Parametros!$B$20:$B$22,MATCH($E234,Parametros!$A$20:$A$22,0))</f>
        <v>138.7</v>
      </c>
      <c r="T234" s="18" t="n">
        <f aca="false">P234*INDEX(Parametros!$B$13:$B$16,MATCH($F234,Parametros!$A$13:$A$16,0))</f>
        <v>202.84656</v>
      </c>
      <c r="U234" s="21" t="n">
        <f aca="false">P234-R234-S234-T234</f>
        <v>1908.60544</v>
      </c>
      <c r="V234" s="19" t="n">
        <f aca="false">IFERROR(U234/P234,0)</f>
        <v>0.282273276904474</v>
      </c>
      <c r="W234" s="48" t="n">
        <f aca="false">B234+INDEX(Parametros!$C$13:$C$16,MATCH($F234,Parametros!$A$13:$A$16,0))</f>
        <v>45794</v>
      </c>
      <c r="X234" s="31" t="s">
        <v>67</v>
      </c>
      <c r="Y234" s="53" t="n">
        <f aca="false">IF(COUNTIF($A$2:$A234,A234)=1,1,0)</f>
        <v>0</v>
      </c>
    </row>
    <row r="235" customFormat="false" ht="15" hidden="false" customHeight="false" outlineLevel="0" collapsed="false">
      <c r="A235" s="31" t="s">
        <v>369</v>
      </c>
      <c r="B235" s="36" t="n">
        <v>45735</v>
      </c>
      <c r="C235" s="49" t="n">
        <f aca="false">DATE(YEAR(B235),MONTH(B235),1)</f>
        <v>45717</v>
      </c>
      <c r="D235" s="31" t="s">
        <v>208</v>
      </c>
      <c r="E235" s="31" t="s">
        <v>41</v>
      </c>
      <c r="F235" s="31" t="s">
        <v>46</v>
      </c>
      <c r="G235" s="31" t="s">
        <v>58</v>
      </c>
      <c r="H235" s="31" t="s">
        <v>179</v>
      </c>
      <c r="I235" s="32" t="str">
        <f aca="false">INDEX(Productos!$B$2:$B$13,MATCH($H235,Productos!$A$2:$A$13,0))</f>
        <v>Autotaladrante DIN 7504 4,8x38 zincado</v>
      </c>
      <c r="J235" s="32" t="str">
        <f aca="false">INDEX(Productos!$C$2:$C$13,MATCH($H235,Productos!$A$2:$A$13,0))</f>
        <v>Autotaladrante</v>
      </c>
      <c r="K235" s="31" t="s">
        <v>246</v>
      </c>
      <c r="L235" s="46" t="n">
        <v>253</v>
      </c>
      <c r="M235" s="50" t="n">
        <f aca="false">INDEX(Productos!$F$2:$F$13,MATCH($H235,Productos!$A$2:$A$13,0))</f>
        <v>29.5</v>
      </c>
      <c r="N235" s="51" t="n">
        <v>0.163</v>
      </c>
      <c r="O235" s="52" t="n">
        <f aca="false">M235*(1-N235)</f>
        <v>24.6915</v>
      </c>
      <c r="P235" s="21" t="n">
        <f aca="false">L235*O235</f>
        <v>6246.9495</v>
      </c>
      <c r="Q235" s="50" t="n">
        <f aca="false">INDEX(Productos!$E$2:$E$13,MATCH($H235,Productos!$A$2:$A$13,0))*INDEX(Parametros!$B$26:$B$43,MATCH($C235,Parametros!$A$26:$A$43,0))</f>
        <v>15.656</v>
      </c>
      <c r="R235" s="21" t="n">
        <f aca="false">L235*Q235</f>
        <v>3960.968</v>
      </c>
      <c r="S235" s="18" t="n">
        <f aca="false">L235*INDEX(Parametros!$B$20:$B$22,MATCH($E235,Parametros!$A$20:$A$22,0))</f>
        <v>215.05</v>
      </c>
      <c r="T235" s="18" t="n">
        <f aca="false">P235*INDEX(Parametros!$B$13:$B$16,MATCH($F235,Parametros!$A$13:$A$16,0))</f>
        <v>249.87798</v>
      </c>
      <c r="U235" s="21" t="n">
        <f aca="false">P235-R235-S235-T235</f>
        <v>1821.05352</v>
      </c>
      <c r="V235" s="19" t="n">
        <f aca="false">IFERROR(U235/P235,0)</f>
        <v>0.291510843812648</v>
      </c>
      <c r="W235" s="48" t="n">
        <f aca="false">B235+INDEX(Parametros!$C$13:$C$16,MATCH($F235,Parametros!$A$13:$A$16,0))</f>
        <v>45810</v>
      </c>
      <c r="X235" s="31" t="s">
        <v>67</v>
      </c>
      <c r="Y235" s="53" t="n">
        <f aca="false">IF(COUNTIF($A$2:$A235,A235)=1,1,0)</f>
        <v>1</v>
      </c>
    </row>
    <row r="236" customFormat="false" ht="15" hidden="false" customHeight="false" outlineLevel="0" collapsed="false">
      <c r="A236" s="31" t="s">
        <v>369</v>
      </c>
      <c r="B236" s="36" t="n">
        <v>45735</v>
      </c>
      <c r="C236" s="49" t="n">
        <f aca="false">DATE(YEAR(B236),MONTH(B236),1)</f>
        <v>45717</v>
      </c>
      <c r="D236" s="31" t="s">
        <v>208</v>
      </c>
      <c r="E236" s="31" t="s">
        <v>41</v>
      </c>
      <c r="F236" s="31" t="s">
        <v>46</v>
      </c>
      <c r="G236" s="31" t="s">
        <v>58</v>
      </c>
      <c r="H236" s="31" t="s">
        <v>181</v>
      </c>
      <c r="I236" s="32" t="str">
        <f aca="false">INDEX(Productos!$B$2:$B$13,MATCH($H236,Productos!$A$2:$A$13,0))</f>
        <v>Autotaladrante 5,5x55 punta broca</v>
      </c>
      <c r="J236" s="32" t="str">
        <f aca="false">INDEX(Productos!$C$2:$C$13,MATCH($H236,Productos!$A$2:$A$13,0))</f>
        <v>Autotaladrante</v>
      </c>
      <c r="K236" s="31" t="s">
        <v>246</v>
      </c>
      <c r="L236" s="46" t="n">
        <v>274</v>
      </c>
      <c r="M236" s="50" t="n">
        <f aca="false">INDEX(Productos!$F$2:$F$13,MATCH($H236,Productos!$A$2:$A$13,0))</f>
        <v>39</v>
      </c>
      <c r="N236" s="51" t="n">
        <v>0.145</v>
      </c>
      <c r="O236" s="52" t="n">
        <f aca="false">M236*(1-N236)</f>
        <v>33.345</v>
      </c>
      <c r="P236" s="21" t="n">
        <f aca="false">L236*O236</f>
        <v>9136.53</v>
      </c>
      <c r="Q236" s="50" t="n">
        <f aca="false">INDEX(Productos!$E$2:$E$13,MATCH($H236,Productos!$A$2:$A$13,0))*INDEX(Parametros!$B$26:$B$43,MATCH($C236,Parametros!$A$26:$A$43,0))</f>
        <v>20.909</v>
      </c>
      <c r="R236" s="21" t="n">
        <f aca="false">L236*Q236</f>
        <v>5729.066</v>
      </c>
      <c r="S236" s="18" t="n">
        <f aca="false">L236*INDEX(Parametros!$B$20:$B$22,MATCH($E236,Parametros!$A$20:$A$22,0))</f>
        <v>232.9</v>
      </c>
      <c r="T236" s="18" t="n">
        <f aca="false">P236*INDEX(Parametros!$B$13:$B$16,MATCH($F236,Parametros!$A$13:$A$16,0))</f>
        <v>365.4612</v>
      </c>
      <c r="U236" s="21" t="n">
        <f aca="false">P236-R236-S236-T236</f>
        <v>2809.1028</v>
      </c>
      <c r="V236" s="19" t="n">
        <f aca="false">IFERROR(U236/P236,0)</f>
        <v>0.307458389563653</v>
      </c>
      <c r="W236" s="48" t="n">
        <f aca="false">B236+INDEX(Parametros!$C$13:$C$16,MATCH($F236,Parametros!$A$13:$A$16,0))</f>
        <v>45810</v>
      </c>
      <c r="X236" s="31" t="s">
        <v>67</v>
      </c>
      <c r="Y236" s="53" t="n">
        <f aca="false">IF(COUNTIF($A$2:$A236,A236)=1,1,0)</f>
        <v>0</v>
      </c>
    </row>
    <row r="237" customFormat="false" ht="15" hidden="false" customHeight="false" outlineLevel="0" collapsed="false">
      <c r="A237" s="31" t="s">
        <v>370</v>
      </c>
      <c r="B237" s="36" t="n">
        <v>45736</v>
      </c>
      <c r="C237" s="49" t="n">
        <f aca="false">DATE(YEAR(B237),MONTH(B237),1)</f>
        <v>45717</v>
      </c>
      <c r="D237" s="31" t="s">
        <v>218</v>
      </c>
      <c r="E237" s="31" t="s">
        <v>42</v>
      </c>
      <c r="F237" s="31" t="s">
        <v>45</v>
      </c>
      <c r="G237" s="31" t="s">
        <v>61</v>
      </c>
      <c r="H237" s="31" t="s">
        <v>179</v>
      </c>
      <c r="I237" s="32" t="str">
        <f aca="false">INDEX(Productos!$B$2:$B$13,MATCH($H237,Productos!$A$2:$A$13,0))</f>
        <v>Autotaladrante DIN 7504 4,8x38 zincado</v>
      </c>
      <c r="J237" s="32" t="str">
        <f aca="false">INDEX(Productos!$C$2:$C$13,MATCH($H237,Productos!$A$2:$A$13,0))</f>
        <v>Autotaladrante</v>
      </c>
      <c r="K237" s="31" t="s">
        <v>246</v>
      </c>
      <c r="L237" s="46" t="n">
        <v>133</v>
      </c>
      <c r="M237" s="50" t="n">
        <f aca="false">INDEX(Productos!$F$2:$F$13,MATCH($H237,Productos!$A$2:$A$13,0))</f>
        <v>29.5</v>
      </c>
      <c r="N237" s="51" t="n">
        <v>0.144</v>
      </c>
      <c r="O237" s="52" t="n">
        <f aca="false">M237*(1-N237)</f>
        <v>25.252</v>
      </c>
      <c r="P237" s="21" t="n">
        <f aca="false">L237*O237</f>
        <v>3358.516</v>
      </c>
      <c r="Q237" s="50" t="n">
        <f aca="false">INDEX(Productos!$E$2:$E$13,MATCH($H237,Productos!$A$2:$A$13,0))*INDEX(Parametros!$B$26:$B$43,MATCH($C237,Parametros!$A$26:$A$43,0))</f>
        <v>15.656</v>
      </c>
      <c r="R237" s="21" t="n">
        <f aca="false">L237*Q237</f>
        <v>2082.248</v>
      </c>
      <c r="S237" s="18" t="n">
        <f aca="false">L237*INDEX(Parametros!$B$20:$B$22,MATCH($E237,Parametros!$A$20:$A$22,0))</f>
        <v>319.2</v>
      </c>
      <c r="T237" s="18" t="n">
        <f aca="false">P237*INDEX(Parametros!$B$13:$B$16,MATCH($F237,Parametros!$A$13:$A$16,0))</f>
        <v>100.75548</v>
      </c>
      <c r="U237" s="21" t="n">
        <f aca="false">P237-R237-S237-T237</f>
        <v>856.31252</v>
      </c>
      <c r="V237" s="19" t="n">
        <f aca="false">IFERROR(U237/P237,0)</f>
        <v>0.254967527324568</v>
      </c>
      <c r="W237" s="48" t="n">
        <f aca="false">B237+INDEX(Parametros!$C$13:$C$16,MATCH($F237,Parametros!$A$13:$A$16,0))</f>
        <v>45796</v>
      </c>
      <c r="X237" s="31" t="s">
        <v>67</v>
      </c>
      <c r="Y237" s="53" t="n">
        <f aca="false">IF(COUNTIF($A$2:$A237,A237)=1,1,0)</f>
        <v>1</v>
      </c>
    </row>
    <row r="238" customFormat="false" ht="15" hidden="false" customHeight="false" outlineLevel="0" collapsed="false">
      <c r="A238" s="31" t="s">
        <v>371</v>
      </c>
      <c r="B238" s="36" t="n">
        <v>45736</v>
      </c>
      <c r="C238" s="49" t="n">
        <f aca="false">DATE(YEAR(B238),MONTH(B238),1)</f>
        <v>45717</v>
      </c>
      <c r="D238" s="31" t="s">
        <v>218</v>
      </c>
      <c r="E238" s="31" t="s">
        <v>42</v>
      </c>
      <c r="F238" s="31" t="s">
        <v>45</v>
      </c>
      <c r="G238" s="31" t="s">
        <v>61</v>
      </c>
      <c r="H238" s="31" t="s">
        <v>171</v>
      </c>
      <c r="I238" s="32" t="str">
        <f aca="false">INDEX(Productos!$B$2:$B$13,MATCH($H238,Productos!$A$2:$A$13,0))</f>
        <v>Tornillo DIN 7991 M8x30 avellanado inox A2</v>
      </c>
      <c r="J238" s="32" t="str">
        <f aca="false">INDEX(Productos!$C$2:$C$13,MATCH($H238,Productos!$A$2:$A$13,0))</f>
        <v>Inoxidable</v>
      </c>
      <c r="K238" s="31" t="s">
        <v>246</v>
      </c>
      <c r="L238" s="46" t="n">
        <v>204</v>
      </c>
      <c r="M238" s="50" t="n">
        <f aca="false">INDEX(Productos!$F$2:$F$13,MATCH($H238,Productos!$A$2:$A$13,0))</f>
        <v>88</v>
      </c>
      <c r="N238" s="51" t="n">
        <v>0.128</v>
      </c>
      <c r="O238" s="52" t="n">
        <f aca="false">M238*(1-N238)</f>
        <v>76.736</v>
      </c>
      <c r="P238" s="21" t="n">
        <f aca="false">L238*O238</f>
        <v>15654.144</v>
      </c>
      <c r="Q238" s="50" t="n">
        <f aca="false">INDEX(Productos!$E$2:$E$13,MATCH($H238,Productos!$A$2:$A$13,0))*INDEX(Parametros!$B$26:$B$43,MATCH($C238,Parametros!$A$26:$A$43,0))</f>
        <v>47.895</v>
      </c>
      <c r="R238" s="21" t="n">
        <f aca="false">L238*Q238</f>
        <v>9770.58</v>
      </c>
      <c r="S238" s="18" t="n">
        <f aca="false">L238*INDEX(Parametros!$B$20:$B$22,MATCH($E238,Parametros!$A$20:$A$22,0))</f>
        <v>489.6</v>
      </c>
      <c r="T238" s="18" t="n">
        <f aca="false">P238*INDEX(Parametros!$B$13:$B$16,MATCH($F238,Parametros!$A$13:$A$16,0))</f>
        <v>469.62432</v>
      </c>
      <c r="U238" s="21" t="n">
        <f aca="false">P238-R238-S238-T238</f>
        <v>4924.33968</v>
      </c>
      <c r="V238" s="19" t="n">
        <f aca="false">IFERROR(U238/P238,0)</f>
        <v>0.314570996663887</v>
      </c>
      <c r="W238" s="48" t="n">
        <f aca="false">B238+INDEX(Parametros!$C$13:$C$16,MATCH($F238,Parametros!$A$13:$A$16,0))</f>
        <v>45796</v>
      </c>
      <c r="X238" s="31" t="s">
        <v>67</v>
      </c>
      <c r="Y238" s="53" t="n">
        <f aca="false">IF(COUNTIF($A$2:$A238,A238)=1,1,0)</f>
        <v>1</v>
      </c>
    </row>
    <row r="239" customFormat="false" ht="15" hidden="false" customHeight="false" outlineLevel="0" collapsed="false">
      <c r="A239" s="31" t="s">
        <v>371</v>
      </c>
      <c r="B239" s="36" t="n">
        <v>45736</v>
      </c>
      <c r="C239" s="49" t="n">
        <f aca="false">DATE(YEAR(B239),MONTH(B239),1)</f>
        <v>45717</v>
      </c>
      <c r="D239" s="31" t="s">
        <v>218</v>
      </c>
      <c r="E239" s="31" t="s">
        <v>42</v>
      </c>
      <c r="F239" s="31" t="s">
        <v>45</v>
      </c>
      <c r="G239" s="31" t="s">
        <v>61</v>
      </c>
      <c r="H239" s="31" t="s">
        <v>169</v>
      </c>
      <c r="I239" s="32" t="str">
        <f aca="false">INDEX(Productos!$B$2:$B$13,MATCH($H239,Productos!$A$2:$A$13,0))</f>
        <v>Tornillo DIN 912 M10x60 Allen inox A2</v>
      </c>
      <c r="J239" s="32" t="str">
        <f aca="false">INDEX(Productos!$C$2:$C$13,MATCH($H239,Productos!$A$2:$A$13,0))</f>
        <v>Inoxidable</v>
      </c>
      <c r="K239" s="31" t="s">
        <v>246</v>
      </c>
      <c r="L239" s="46" t="n">
        <v>148</v>
      </c>
      <c r="M239" s="50" t="n">
        <f aca="false">INDEX(Productos!$F$2:$F$13,MATCH($H239,Productos!$A$2:$A$13,0))</f>
        <v>79</v>
      </c>
      <c r="N239" s="51" t="n">
        <v>0.196</v>
      </c>
      <c r="O239" s="52" t="n">
        <f aca="false">M239*(1-N239)</f>
        <v>63.516</v>
      </c>
      <c r="P239" s="21" t="n">
        <f aca="false">L239*O239</f>
        <v>9400.368</v>
      </c>
      <c r="Q239" s="50" t="n">
        <f aca="false">INDEX(Productos!$E$2:$E$13,MATCH($H239,Productos!$A$2:$A$13,0))*INDEX(Parametros!$B$26:$B$43,MATCH($C239,Parametros!$A$26:$A$43,0))</f>
        <v>43.26</v>
      </c>
      <c r="R239" s="21" t="n">
        <f aca="false">L239*Q239</f>
        <v>6402.48</v>
      </c>
      <c r="S239" s="18" t="n">
        <f aca="false">L239*INDEX(Parametros!$B$20:$B$22,MATCH($E239,Parametros!$A$20:$A$22,0))</f>
        <v>355.2</v>
      </c>
      <c r="T239" s="18" t="n">
        <f aca="false">P239*INDEX(Parametros!$B$13:$B$16,MATCH($F239,Parametros!$A$13:$A$16,0))</f>
        <v>282.01104</v>
      </c>
      <c r="U239" s="21" t="n">
        <f aca="false">P239-R239-S239-T239</f>
        <v>2360.67696</v>
      </c>
      <c r="V239" s="19" t="n">
        <f aca="false">IFERROR(U239/P239,0)</f>
        <v>0.25112601549216</v>
      </c>
      <c r="W239" s="48" t="n">
        <f aca="false">B239+INDEX(Parametros!$C$13:$C$16,MATCH($F239,Parametros!$A$13:$A$16,0))</f>
        <v>45796</v>
      </c>
      <c r="X239" s="31" t="s">
        <v>67</v>
      </c>
      <c r="Y239" s="53" t="n">
        <f aca="false">IF(COUNTIF($A$2:$A239,A239)=1,1,0)</f>
        <v>0</v>
      </c>
    </row>
    <row r="240" customFormat="false" ht="15" hidden="false" customHeight="false" outlineLevel="0" collapsed="false">
      <c r="A240" s="31" t="s">
        <v>372</v>
      </c>
      <c r="B240" s="36" t="n">
        <v>45737</v>
      </c>
      <c r="C240" s="49" t="n">
        <f aca="false">DATE(YEAR(B240),MONTH(B240),1)</f>
        <v>45717</v>
      </c>
      <c r="D240" s="31" t="s">
        <v>200</v>
      </c>
      <c r="E240" s="31" t="s">
        <v>41</v>
      </c>
      <c r="F240" s="31" t="s">
        <v>45</v>
      </c>
      <c r="G240" s="31" t="s">
        <v>62</v>
      </c>
      <c r="H240" s="31" t="s">
        <v>173</v>
      </c>
      <c r="I240" s="32" t="str">
        <f aca="false">INDEX(Productos!$B$2:$B$13,MATCH($H240,Productos!$A$2:$A$13,0))</f>
        <v>Tornillo DIN 933 M12x70 clase 8.8</v>
      </c>
      <c r="J240" s="32" t="str">
        <f aca="false">INDEX(Productos!$C$2:$C$13,MATCH($H240,Productos!$A$2:$A$13,0))</f>
        <v>Métrica</v>
      </c>
      <c r="K240" s="31" t="s">
        <v>246</v>
      </c>
      <c r="L240" s="46" t="n">
        <v>45</v>
      </c>
      <c r="M240" s="50" t="n">
        <f aca="false">INDEX(Productos!$F$2:$F$13,MATCH($H240,Productos!$A$2:$A$13,0))</f>
        <v>64</v>
      </c>
      <c r="N240" s="51" t="n">
        <v>0.154</v>
      </c>
      <c r="O240" s="52" t="n">
        <f aca="false">M240*(1-N240)</f>
        <v>54.144</v>
      </c>
      <c r="P240" s="21" t="n">
        <f aca="false">L240*O240</f>
        <v>2436.48</v>
      </c>
      <c r="Q240" s="50" t="n">
        <f aca="false">INDEX(Productos!$E$2:$E$13,MATCH($H240,Productos!$A$2:$A$13,0))*INDEX(Parametros!$B$26:$B$43,MATCH($C240,Parametros!$A$26:$A$43,0))</f>
        <v>34.505</v>
      </c>
      <c r="R240" s="21" t="n">
        <f aca="false">L240*Q240</f>
        <v>1552.725</v>
      </c>
      <c r="S240" s="18" t="n">
        <f aca="false">L240*INDEX(Parametros!$B$20:$B$22,MATCH($E240,Parametros!$A$20:$A$22,0))</f>
        <v>38.25</v>
      </c>
      <c r="T240" s="18" t="n">
        <f aca="false">P240*INDEX(Parametros!$B$13:$B$16,MATCH($F240,Parametros!$A$13:$A$16,0))</f>
        <v>73.0944</v>
      </c>
      <c r="U240" s="21" t="n">
        <f aca="false">P240-R240-S240-T240</f>
        <v>772.4106</v>
      </c>
      <c r="V240" s="19" t="n">
        <f aca="false">IFERROR(U240/P240,0)</f>
        <v>0.317019060283688</v>
      </c>
      <c r="W240" s="48" t="n">
        <f aca="false">B240+INDEX(Parametros!$C$13:$C$16,MATCH($F240,Parametros!$A$13:$A$16,0))</f>
        <v>45797</v>
      </c>
      <c r="X240" s="31" t="s">
        <v>67</v>
      </c>
      <c r="Y240" s="53" t="n">
        <f aca="false">IF(COUNTIF($A$2:$A240,A240)=1,1,0)</f>
        <v>1</v>
      </c>
    </row>
    <row r="241" customFormat="false" ht="15" hidden="false" customHeight="false" outlineLevel="0" collapsed="false">
      <c r="A241" s="31" t="s">
        <v>372</v>
      </c>
      <c r="B241" s="36" t="n">
        <v>45737</v>
      </c>
      <c r="C241" s="49" t="n">
        <f aca="false">DATE(YEAR(B241),MONTH(B241),1)</f>
        <v>45717</v>
      </c>
      <c r="D241" s="31" t="s">
        <v>200</v>
      </c>
      <c r="E241" s="31" t="s">
        <v>41</v>
      </c>
      <c r="F241" s="31" t="s">
        <v>45</v>
      </c>
      <c r="G241" s="31" t="s">
        <v>62</v>
      </c>
      <c r="H241" s="31" t="s">
        <v>181</v>
      </c>
      <c r="I241" s="32" t="str">
        <f aca="false">INDEX(Productos!$B$2:$B$13,MATCH($H241,Productos!$A$2:$A$13,0))</f>
        <v>Autotaladrante 5,5x55 punta broca</v>
      </c>
      <c r="J241" s="32" t="str">
        <f aca="false">INDEX(Productos!$C$2:$C$13,MATCH($H241,Productos!$A$2:$A$13,0))</f>
        <v>Autotaladrante</v>
      </c>
      <c r="K241" s="31" t="s">
        <v>246</v>
      </c>
      <c r="L241" s="46" t="n">
        <v>314</v>
      </c>
      <c r="M241" s="50" t="n">
        <f aca="false">INDEX(Productos!$F$2:$F$13,MATCH($H241,Productos!$A$2:$A$13,0))</f>
        <v>39</v>
      </c>
      <c r="N241" s="51" t="n">
        <v>0.153</v>
      </c>
      <c r="O241" s="52" t="n">
        <f aca="false">M241*(1-N241)</f>
        <v>33.033</v>
      </c>
      <c r="P241" s="21" t="n">
        <f aca="false">L241*O241</f>
        <v>10372.362</v>
      </c>
      <c r="Q241" s="50" t="n">
        <f aca="false">INDEX(Productos!$E$2:$E$13,MATCH($H241,Productos!$A$2:$A$13,0))*INDEX(Parametros!$B$26:$B$43,MATCH($C241,Parametros!$A$26:$A$43,0))</f>
        <v>20.909</v>
      </c>
      <c r="R241" s="21" t="n">
        <f aca="false">L241*Q241</f>
        <v>6565.426</v>
      </c>
      <c r="S241" s="18" t="n">
        <f aca="false">L241*INDEX(Parametros!$B$20:$B$22,MATCH($E241,Parametros!$A$20:$A$22,0))</f>
        <v>266.9</v>
      </c>
      <c r="T241" s="18" t="n">
        <f aca="false">P241*INDEX(Parametros!$B$13:$B$16,MATCH($F241,Parametros!$A$13:$A$16,0))</f>
        <v>311.17086</v>
      </c>
      <c r="U241" s="21" t="n">
        <f aca="false">P241-R241-S241-T241</f>
        <v>3228.86514</v>
      </c>
      <c r="V241" s="19" t="n">
        <f aca="false">IFERROR(U241/P241,0)</f>
        <v>0.311295068567796</v>
      </c>
      <c r="W241" s="48" t="n">
        <f aca="false">B241+INDEX(Parametros!$C$13:$C$16,MATCH($F241,Parametros!$A$13:$A$16,0))</f>
        <v>45797</v>
      </c>
      <c r="X241" s="31" t="s">
        <v>67</v>
      </c>
      <c r="Y241" s="53" t="n">
        <f aca="false">IF(COUNTIF($A$2:$A241,A241)=1,1,0)</f>
        <v>0</v>
      </c>
    </row>
    <row r="242" customFormat="false" ht="15" hidden="false" customHeight="false" outlineLevel="0" collapsed="false">
      <c r="A242" s="31" t="s">
        <v>373</v>
      </c>
      <c r="B242" s="36" t="n">
        <v>45740</v>
      </c>
      <c r="C242" s="49" t="n">
        <f aca="false">DATE(YEAR(B242),MONTH(B242),1)</f>
        <v>45717</v>
      </c>
      <c r="D242" s="31" t="s">
        <v>220</v>
      </c>
      <c r="E242" s="31" t="s">
        <v>42</v>
      </c>
      <c r="F242" s="31" t="s">
        <v>46</v>
      </c>
      <c r="G242" s="31" t="s">
        <v>61</v>
      </c>
      <c r="H242" s="31" t="s">
        <v>165</v>
      </c>
      <c r="I242" s="32" t="str">
        <f aca="false">INDEX(Productos!$B$2:$B$13,MATCH($H242,Productos!$A$2:$A$13,0))</f>
        <v>Tornillo DIN 933 M8x40 rosca completa zincado</v>
      </c>
      <c r="J242" s="32" t="str">
        <f aca="false">INDEX(Productos!$C$2:$C$13,MATCH($H242,Productos!$A$2:$A$13,0))</f>
        <v>Métrica</v>
      </c>
      <c r="K242" s="31" t="s">
        <v>246</v>
      </c>
      <c r="L242" s="46" t="n">
        <v>234</v>
      </c>
      <c r="M242" s="50" t="n">
        <f aca="false">INDEX(Productos!$F$2:$F$13,MATCH($H242,Productos!$A$2:$A$13,0))</f>
        <v>37.5</v>
      </c>
      <c r="N242" s="51" t="n">
        <v>0.138</v>
      </c>
      <c r="O242" s="52" t="n">
        <f aca="false">M242*(1-N242)</f>
        <v>32.325</v>
      </c>
      <c r="P242" s="21" t="n">
        <f aca="false">L242*O242</f>
        <v>7564.05</v>
      </c>
      <c r="Q242" s="50" t="n">
        <f aca="false">INDEX(Productos!$E$2:$E$13,MATCH($H242,Productos!$A$2:$A$13,0))*INDEX(Parametros!$B$26:$B$43,MATCH($C242,Parametros!$A$26:$A$43,0))</f>
        <v>19.982</v>
      </c>
      <c r="R242" s="21" t="n">
        <f aca="false">L242*Q242</f>
        <v>4675.788</v>
      </c>
      <c r="S242" s="18" t="n">
        <f aca="false">L242*INDEX(Parametros!$B$20:$B$22,MATCH($E242,Parametros!$A$20:$A$22,0))</f>
        <v>561.6</v>
      </c>
      <c r="T242" s="18" t="n">
        <f aca="false">P242*INDEX(Parametros!$B$13:$B$16,MATCH($F242,Parametros!$A$13:$A$16,0))</f>
        <v>302.562</v>
      </c>
      <c r="U242" s="21" t="n">
        <f aca="false">P242-R242-S242-T242</f>
        <v>2024.1</v>
      </c>
      <c r="V242" s="19" t="n">
        <f aca="false">IFERROR(U242/P242,0)</f>
        <v>0.267594740912607</v>
      </c>
      <c r="W242" s="48" t="n">
        <f aca="false">B242+INDEX(Parametros!$C$13:$C$16,MATCH($F242,Parametros!$A$13:$A$16,0))</f>
        <v>45815</v>
      </c>
      <c r="X242" s="31" t="s">
        <v>67</v>
      </c>
      <c r="Y242" s="53" t="n">
        <f aca="false">IF(COUNTIF($A$2:$A242,A242)=1,1,0)</f>
        <v>1</v>
      </c>
    </row>
    <row r="243" customFormat="false" ht="15" hidden="false" customHeight="false" outlineLevel="0" collapsed="false">
      <c r="A243" s="31" t="s">
        <v>374</v>
      </c>
      <c r="B243" s="36" t="n">
        <v>45740</v>
      </c>
      <c r="C243" s="49" t="n">
        <f aca="false">DATE(YEAR(B243),MONTH(B243),1)</f>
        <v>45717</v>
      </c>
      <c r="D243" s="31" t="s">
        <v>215</v>
      </c>
      <c r="E243" s="31" t="s">
        <v>42</v>
      </c>
      <c r="F243" s="31" t="s">
        <v>46</v>
      </c>
      <c r="G243" s="31" t="s">
        <v>61</v>
      </c>
      <c r="H243" s="31" t="s">
        <v>185</v>
      </c>
      <c r="I243" s="32" t="str">
        <f aca="false">INDEX(Productos!$B$2:$B$13,MATCH($H243,Productos!$A$2:$A$13,0))</f>
        <v>Varilla roscada M10 x 1 m zincada</v>
      </c>
      <c r="J243" s="32" t="str">
        <f aca="false">INDEX(Productos!$C$2:$C$13,MATCH($H243,Productos!$A$2:$A$13,0))</f>
        <v>Especial</v>
      </c>
      <c r="K243" s="31" t="s">
        <v>246</v>
      </c>
      <c r="L243" s="46" t="n">
        <v>128</v>
      </c>
      <c r="M243" s="50" t="n">
        <f aca="false">INDEX(Productos!$F$2:$F$13,MATCH($H243,Productos!$A$2:$A$13,0))</f>
        <v>54</v>
      </c>
      <c r="N243" s="51" t="n">
        <v>0.167</v>
      </c>
      <c r="O243" s="52" t="n">
        <f aca="false">M243*(1-N243)</f>
        <v>44.982</v>
      </c>
      <c r="P243" s="21" t="n">
        <f aca="false">L243*O243</f>
        <v>5757.696</v>
      </c>
      <c r="Q243" s="50" t="n">
        <f aca="false">INDEX(Productos!$E$2:$E$13,MATCH($H243,Productos!$A$2:$A$13,0))*INDEX(Parametros!$B$26:$B$43,MATCH($C243,Parametros!$A$26:$A$43,0))</f>
        <v>29.355</v>
      </c>
      <c r="R243" s="21" t="n">
        <f aca="false">L243*Q243</f>
        <v>3757.44</v>
      </c>
      <c r="S243" s="18" t="n">
        <f aca="false">L243*INDEX(Parametros!$B$20:$B$22,MATCH($E243,Parametros!$A$20:$A$22,0))</f>
        <v>307.2</v>
      </c>
      <c r="T243" s="18" t="n">
        <f aca="false">P243*INDEX(Parametros!$B$13:$B$16,MATCH($F243,Parametros!$A$13:$A$16,0))</f>
        <v>230.30784</v>
      </c>
      <c r="U243" s="21" t="n">
        <f aca="false">P243-R243-S243-T243</f>
        <v>1462.74816</v>
      </c>
      <c r="V243" s="19" t="n">
        <f aca="false">IFERROR(U243/P243,0)</f>
        <v>0.254050953714819</v>
      </c>
      <c r="W243" s="48" t="n">
        <f aca="false">B243+INDEX(Parametros!$C$13:$C$16,MATCH($F243,Parametros!$A$13:$A$16,0))</f>
        <v>45815</v>
      </c>
      <c r="X243" s="31" t="s">
        <v>67</v>
      </c>
      <c r="Y243" s="53" t="n">
        <f aca="false">IF(COUNTIF($A$2:$A243,A243)=1,1,0)</f>
        <v>1</v>
      </c>
    </row>
    <row r="244" customFormat="false" ht="15" hidden="false" customHeight="false" outlineLevel="0" collapsed="false">
      <c r="A244" s="31" t="s">
        <v>375</v>
      </c>
      <c r="B244" s="36" t="n">
        <v>45740</v>
      </c>
      <c r="C244" s="49" t="n">
        <f aca="false">DATE(YEAR(B244),MONTH(B244),1)</f>
        <v>45717</v>
      </c>
      <c r="D244" s="31" t="s">
        <v>194</v>
      </c>
      <c r="E244" s="31" t="s">
        <v>41</v>
      </c>
      <c r="F244" s="31" t="s">
        <v>46</v>
      </c>
      <c r="G244" s="31" t="s">
        <v>58</v>
      </c>
      <c r="H244" s="31" t="s">
        <v>169</v>
      </c>
      <c r="I244" s="32" t="str">
        <f aca="false">INDEX(Productos!$B$2:$B$13,MATCH($H244,Productos!$A$2:$A$13,0))</f>
        <v>Tornillo DIN 912 M10x60 Allen inox A2</v>
      </c>
      <c r="J244" s="32" t="str">
        <f aca="false">INDEX(Productos!$C$2:$C$13,MATCH($H244,Productos!$A$2:$A$13,0))</f>
        <v>Inoxidable</v>
      </c>
      <c r="K244" s="31" t="s">
        <v>246</v>
      </c>
      <c r="L244" s="46" t="n">
        <v>27</v>
      </c>
      <c r="M244" s="50" t="n">
        <f aca="false">INDEX(Productos!$F$2:$F$13,MATCH($H244,Productos!$A$2:$A$13,0))</f>
        <v>79</v>
      </c>
      <c r="N244" s="51" t="n">
        <v>0.152</v>
      </c>
      <c r="O244" s="52" t="n">
        <f aca="false">M244*(1-N244)</f>
        <v>66.992</v>
      </c>
      <c r="P244" s="21" t="n">
        <f aca="false">L244*O244</f>
        <v>1808.784</v>
      </c>
      <c r="Q244" s="50" t="n">
        <f aca="false">INDEX(Productos!$E$2:$E$13,MATCH($H244,Productos!$A$2:$A$13,0))*INDEX(Parametros!$B$26:$B$43,MATCH($C244,Parametros!$A$26:$A$43,0))</f>
        <v>43.26</v>
      </c>
      <c r="R244" s="21" t="n">
        <f aca="false">L244*Q244</f>
        <v>1168.02</v>
      </c>
      <c r="S244" s="18" t="n">
        <f aca="false">L244*INDEX(Parametros!$B$20:$B$22,MATCH($E244,Parametros!$A$20:$A$22,0))</f>
        <v>22.95</v>
      </c>
      <c r="T244" s="18" t="n">
        <f aca="false">P244*INDEX(Parametros!$B$13:$B$16,MATCH($F244,Parametros!$A$13:$A$16,0))</f>
        <v>72.35136</v>
      </c>
      <c r="U244" s="21" t="n">
        <f aca="false">P244-R244-S244-T244</f>
        <v>545.46264</v>
      </c>
      <c r="V244" s="19" t="n">
        <f aca="false">IFERROR(U244/P244,0)</f>
        <v>0.301563171721997</v>
      </c>
      <c r="W244" s="48" t="n">
        <f aca="false">B244+INDEX(Parametros!$C$13:$C$16,MATCH($F244,Parametros!$A$13:$A$16,0))</f>
        <v>45815</v>
      </c>
      <c r="X244" s="31" t="s">
        <v>67</v>
      </c>
      <c r="Y244" s="53" t="n">
        <f aca="false">IF(COUNTIF($A$2:$A244,A244)=1,1,0)</f>
        <v>1</v>
      </c>
    </row>
    <row r="245" customFormat="false" ht="15" hidden="false" customHeight="false" outlineLevel="0" collapsed="false">
      <c r="A245" s="31" t="s">
        <v>375</v>
      </c>
      <c r="B245" s="36" t="n">
        <v>45740</v>
      </c>
      <c r="C245" s="49" t="n">
        <f aca="false">DATE(YEAR(B245),MONTH(B245),1)</f>
        <v>45717</v>
      </c>
      <c r="D245" s="31" t="s">
        <v>194</v>
      </c>
      <c r="E245" s="31" t="s">
        <v>41</v>
      </c>
      <c r="F245" s="31" t="s">
        <v>46</v>
      </c>
      <c r="G245" s="31" t="s">
        <v>58</v>
      </c>
      <c r="H245" s="31" t="s">
        <v>177</v>
      </c>
      <c r="I245" s="32" t="str">
        <f aca="false">INDEX(Productos!$B$2:$B$13,MATCH($H245,Productos!$A$2:$A$13,0))</f>
        <v>Tirafondo madera 6x100 cabeza plana Torx</v>
      </c>
      <c r="J245" s="32" t="str">
        <f aca="false">INDEX(Productos!$C$2:$C$13,MATCH($H245,Productos!$A$2:$A$13,0))</f>
        <v>Madera</v>
      </c>
      <c r="K245" s="31" t="s">
        <v>246</v>
      </c>
      <c r="L245" s="46" t="n">
        <v>133</v>
      </c>
      <c r="M245" s="50" t="n">
        <f aca="false">INDEX(Productos!$F$2:$F$13,MATCH($H245,Productos!$A$2:$A$13,0))</f>
        <v>34</v>
      </c>
      <c r="N245" s="51" t="n">
        <v>0.132</v>
      </c>
      <c r="O245" s="52" t="n">
        <f aca="false">M245*(1-N245)</f>
        <v>29.512</v>
      </c>
      <c r="P245" s="21" t="n">
        <f aca="false">L245*O245</f>
        <v>3925.096</v>
      </c>
      <c r="Q245" s="50" t="n">
        <f aca="false">INDEX(Productos!$E$2:$E$13,MATCH($H245,Productos!$A$2:$A$13,0))*INDEX(Parametros!$B$26:$B$43,MATCH($C245,Parametros!$A$26:$A$43,0))</f>
        <v>18.334</v>
      </c>
      <c r="R245" s="21" t="n">
        <f aca="false">L245*Q245</f>
        <v>2438.422</v>
      </c>
      <c r="S245" s="18" t="n">
        <f aca="false">L245*INDEX(Parametros!$B$20:$B$22,MATCH($E245,Parametros!$A$20:$A$22,0))</f>
        <v>113.05</v>
      </c>
      <c r="T245" s="18" t="n">
        <f aca="false">P245*INDEX(Parametros!$B$13:$B$16,MATCH($F245,Parametros!$A$13:$A$16,0))</f>
        <v>157.00384</v>
      </c>
      <c r="U245" s="21" t="n">
        <f aca="false">P245-R245-S245-T245</f>
        <v>1216.62016</v>
      </c>
      <c r="V245" s="19" t="n">
        <f aca="false">IFERROR(U245/P245,0)</f>
        <v>0.309959338574139</v>
      </c>
      <c r="W245" s="48" t="n">
        <f aca="false">B245+INDEX(Parametros!$C$13:$C$16,MATCH($F245,Parametros!$A$13:$A$16,0))</f>
        <v>45815</v>
      </c>
      <c r="X245" s="31" t="s">
        <v>67</v>
      </c>
      <c r="Y245" s="53" t="n">
        <f aca="false">IF(COUNTIF($A$2:$A245,A245)=1,1,0)</f>
        <v>0</v>
      </c>
    </row>
    <row r="246" customFormat="false" ht="15" hidden="false" customHeight="false" outlineLevel="0" collapsed="false">
      <c r="A246" s="31" t="s">
        <v>375</v>
      </c>
      <c r="B246" s="36" t="n">
        <v>45740</v>
      </c>
      <c r="C246" s="49" t="n">
        <f aca="false">DATE(YEAR(B246),MONTH(B246),1)</f>
        <v>45717</v>
      </c>
      <c r="D246" s="31" t="s">
        <v>194</v>
      </c>
      <c r="E246" s="31" t="s">
        <v>41</v>
      </c>
      <c r="F246" s="31" t="s">
        <v>46</v>
      </c>
      <c r="G246" s="31" t="s">
        <v>58</v>
      </c>
      <c r="H246" s="31" t="s">
        <v>165</v>
      </c>
      <c r="I246" s="32" t="str">
        <f aca="false">INDEX(Productos!$B$2:$B$13,MATCH($H246,Productos!$A$2:$A$13,0))</f>
        <v>Tornillo DIN 933 M8x40 rosca completa zincado</v>
      </c>
      <c r="J246" s="32" t="str">
        <f aca="false">INDEX(Productos!$C$2:$C$13,MATCH($H246,Productos!$A$2:$A$13,0))</f>
        <v>Métrica</v>
      </c>
      <c r="K246" s="31" t="s">
        <v>246</v>
      </c>
      <c r="L246" s="46" t="n">
        <v>84</v>
      </c>
      <c r="M246" s="50" t="n">
        <f aca="false">INDEX(Productos!$F$2:$F$13,MATCH($H246,Productos!$A$2:$A$13,0))</f>
        <v>37.5</v>
      </c>
      <c r="N246" s="51" t="n">
        <v>0.136</v>
      </c>
      <c r="O246" s="52" t="n">
        <f aca="false">M246*(1-N246)</f>
        <v>32.4</v>
      </c>
      <c r="P246" s="21" t="n">
        <f aca="false">L246*O246</f>
        <v>2721.6</v>
      </c>
      <c r="Q246" s="50" t="n">
        <f aca="false">INDEX(Productos!$E$2:$E$13,MATCH($H246,Productos!$A$2:$A$13,0))*INDEX(Parametros!$B$26:$B$43,MATCH($C246,Parametros!$A$26:$A$43,0))</f>
        <v>19.982</v>
      </c>
      <c r="R246" s="21" t="n">
        <f aca="false">L246*Q246</f>
        <v>1678.488</v>
      </c>
      <c r="S246" s="18" t="n">
        <f aca="false">L246*INDEX(Parametros!$B$20:$B$22,MATCH($E246,Parametros!$A$20:$A$22,0))</f>
        <v>71.4</v>
      </c>
      <c r="T246" s="18" t="n">
        <f aca="false">P246*INDEX(Parametros!$B$13:$B$16,MATCH($F246,Parametros!$A$13:$A$16,0))</f>
        <v>108.864</v>
      </c>
      <c r="U246" s="21" t="n">
        <f aca="false">P246-R246-S246-T246</f>
        <v>862.848</v>
      </c>
      <c r="V246" s="19" t="n">
        <f aca="false">IFERROR(U246/P246,0)</f>
        <v>0.317037037037037</v>
      </c>
      <c r="W246" s="48" t="n">
        <f aca="false">B246+INDEX(Parametros!$C$13:$C$16,MATCH($F246,Parametros!$A$13:$A$16,0))</f>
        <v>45815</v>
      </c>
      <c r="X246" s="31" t="s">
        <v>67</v>
      </c>
      <c r="Y246" s="53" t="n">
        <f aca="false">IF(COUNTIF($A$2:$A246,A246)=1,1,0)</f>
        <v>0</v>
      </c>
    </row>
    <row r="247" customFormat="false" ht="15" hidden="false" customHeight="false" outlineLevel="0" collapsed="false">
      <c r="A247" s="31" t="s">
        <v>376</v>
      </c>
      <c r="B247" s="36" t="n">
        <v>45740</v>
      </c>
      <c r="C247" s="49" t="n">
        <f aca="false">DATE(YEAR(B247),MONTH(B247),1)</f>
        <v>45717</v>
      </c>
      <c r="D247" s="31" t="s">
        <v>193</v>
      </c>
      <c r="E247" s="31" t="s">
        <v>41</v>
      </c>
      <c r="F247" s="31" t="s">
        <v>45</v>
      </c>
      <c r="G247" s="31" t="s">
        <v>62</v>
      </c>
      <c r="H247" s="31" t="s">
        <v>183</v>
      </c>
      <c r="I247" s="32" t="str">
        <f aca="false">INDEX(Productos!$B$2:$B$13,MATCH($H247,Productos!$A$2:$A$13,0))</f>
        <v>Tornillo estructural M16x90 clase 10.9</v>
      </c>
      <c r="J247" s="32" t="str">
        <f aca="false">INDEX(Productos!$C$2:$C$13,MATCH($H247,Productos!$A$2:$A$13,0))</f>
        <v>Especial</v>
      </c>
      <c r="K247" s="31" t="s">
        <v>246</v>
      </c>
      <c r="L247" s="46" t="n">
        <v>67</v>
      </c>
      <c r="M247" s="50" t="n">
        <f aca="false">INDEX(Productos!$F$2:$F$13,MATCH($H247,Productos!$A$2:$A$13,0))</f>
        <v>112</v>
      </c>
      <c r="N247" s="51" t="n">
        <v>0.176</v>
      </c>
      <c r="O247" s="52" t="n">
        <f aca="false">M247*(1-N247)</f>
        <v>92.288</v>
      </c>
      <c r="P247" s="21" t="n">
        <f aca="false">L247*O247</f>
        <v>6183.296</v>
      </c>
      <c r="Q247" s="50" t="n">
        <f aca="false">INDEX(Productos!$E$2:$E$13,MATCH($H247,Productos!$A$2:$A$13,0))*INDEX(Parametros!$B$26:$B$43,MATCH($C247,Parametros!$A$26:$A$43,0))</f>
        <v>61.8</v>
      </c>
      <c r="R247" s="21" t="n">
        <f aca="false">L247*Q247</f>
        <v>4140.6</v>
      </c>
      <c r="S247" s="18" t="n">
        <f aca="false">L247*INDEX(Parametros!$B$20:$B$22,MATCH($E247,Parametros!$A$20:$A$22,0))</f>
        <v>56.95</v>
      </c>
      <c r="T247" s="18" t="n">
        <f aca="false">P247*INDEX(Parametros!$B$13:$B$16,MATCH($F247,Parametros!$A$13:$A$16,0))</f>
        <v>185.49888</v>
      </c>
      <c r="U247" s="21" t="n">
        <f aca="false">P247-R247-S247-T247</f>
        <v>1800.24712</v>
      </c>
      <c r="V247" s="19" t="n">
        <f aca="false">IFERROR(U247/P247,0)</f>
        <v>0.291146844660194</v>
      </c>
      <c r="W247" s="48" t="n">
        <f aca="false">B247+INDEX(Parametros!$C$13:$C$16,MATCH($F247,Parametros!$A$13:$A$16,0))</f>
        <v>45800</v>
      </c>
      <c r="X247" s="31" t="s">
        <v>67</v>
      </c>
      <c r="Y247" s="53" t="n">
        <f aca="false">IF(COUNTIF($A$2:$A247,A247)=1,1,0)</f>
        <v>1</v>
      </c>
    </row>
    <row r="248" customFormat="false" ht="15" hidden="false" customHeight="false" outlineLevel="0" collapsed="false">
      <c r="A248" s="31" t="s">
        <v>376</v>
      </c>
      <c r="B248" s="36" t="n">
        <v>45740</v>
      </c>
      <c r="C248" s="49" t="n">
        <f aca="false">DATE(YEAR(B248),MONTH(B248),1)</f>
        <v>45717</v>
      </c>
      <c r="D248" s="31" t="s">
        <v>193</v>
      </c>
      <c r="E248" s="31" t="s">
        <v>41</v>
      </c>
      <c r="F248" s="31" t="s">
        <v>45</v>
      </c>
      <c r="G248" s="31" t="s">
        <v>62</v>
      </c>
      <c r="H248" s="31" t="s">
        <v>169</v>
      </c>
      <c r="I248" s="32" t="str">
        <f aca="false">INDEX(Productos!$B$2:$B$13,MATCH($H248,Productos!$A$2:$A$13,0))</f>
        <v>Tornillo DIN 912 M10x60 Allen inox A2</v>
      </c>
      <c r="J248" s="32" t="str">
        <f aca="false">INDEX(Productos!$C$2:$C$13,MATCH($H248,Productos!$A$2:$A$13,0))</f>
        <v>Inoxidable</v>
      </c>
      <c r="K248" s="31" t="s">
        <v>246</v>
      </c>
      <c r="L248" s="46" t="n">
        <v>183</v>
      </c>
      <c r="M248" s="50" t="n">
        <f aca="false">INDEX(Productos!$F$2:$F$13,MATCH($H248,Productos!$A$2:$A$13,0))</f>
        <v>79</v>
      </c>
      <c r="N248" s="51" t="n">
        <v>0.141</v>
      </c>
      <c r="O248" s="52" t="n">
        <f aca="false">M248*(1-N248)</f>
        <v>67.861</v>
      </c>
      <c r="P248" s="21" t="n">
        <f aca="false">L248*O248</f>
        <v>12418.563</v>
      </c>
      <c r="Q248" s="50" t="n">
        <f aca="false">INDEX(Productos!$E$2:$E$13,MATCH($H248,Productos!$A$2:$A$13,0))*INDEX(Parametros!$B$26:$B$43,MATCH($C248,Parametros!$A$26:$A$43,0))</f>
        <v>43.26</v>
      </c>
      <c r="R248" s="21" t="n">
        <f aca="false">L248*Q248</f>
        <v>7916.58</v>
      </c>
      <c r="S248" s="18" t="n">
        <f aca="false">L248*INDEX(Parametros!$B$20:$B$22,MATCH($E248,Parametros!$A$20:$A$22,0))</f>
        <v>155.55</v>
      </c>
      <c r="T248" s="18" t="n">
        <f aca="false">P248*INDEX(Parametros!$B$13:$B$16,MATCH($F248,Parametros!$A$13:$A$16,0))</f>
        <v>372.55689</v>
      </c>
      <c r="U248" s="21" t="n">
        <f aca="false">P248-R248-S248-T248</f>
        <v>3973.87611</v>
      </c>
      <c r="V248" s="19" t="n">
        <f aca="false">IFERROR(U248/P248,0)</f>
        <v>0.319994842398432</v>
      </c>
      <c r="W248" s="48" t="n">
        <f aca="false">B248+INDEX(Parametros!$C$13:$C$16,MATCH($F248,Parametros!$A$13:$A$16,0))</f>
        <v>45800</v>
      </c>
      <c r="X248" s="31" t="s">
        <v>67</v>
      </c>
      <c r="Y248" s="53" t="n">
        <f aca="false">IF(COUNTIF($A$2:$A248,A248)=1,1,0)</f>
        <v>0</v>
      </c>
    </row>
    <row r="249" customFormat="false" ht="15" hidden="false" customHeight="false" outlineLevel="0" collapsed="false">
      <c r="A249" s="31" t="s">
        <v>377</v>
      </c>
      <c r="B249" s="36" t="n">
        <v>45740</v>
      </c>
      <c r="C249" s="49" t="n">
        <f aca="false">DATE(YEAR(B249),MONTH(B249),1)</f>
        <v>45717</v>
      </c>
      <c r="D249" s="31" t="s">
        <v>212</v>
      </c>
      <c r="E249" s="31" t="s">
        <v>42</v>
      </c>
      <c r="F249" s="31" t="s">
        <v>45</v>
      </c>
      <c r="G249" s="31" t="s">
        <v>61</v>
      </c>
      <c r="H249" s="31" t="s">
        <v>177</v>
      </c>
      <c r="I249" s="32" t="str">
        <f aca="false">INDEX(Productos!$B$2:$B$13,MATCH($H249,Productos!$A$2:$A$13,0))</f>
        <v>Tirafondo madera 6x100 cabeza plana Torx</v>
      </c>
      <c r="J249" s="32" t="str">
        <f aca="false">INDEX(Productos!$C$2:$C$13,MATCH($H249,Productos!$A$2:$A$13,0))</f>
        <v>Madera</v>
      </c>
      <c r="K249" s="31" t="s">
        <v>246</v>
      </c>
      <c r="L249" s="46" t="n">
        <v>71</v>
      </c>
      <c r="M249" s="50" t="n">
        <f aca="false">INDEX(Productos!$F$2:$F$13,MATCH($H249,Productos!$A$2:$A$13,0))</f>
        <v>34</v>
      </c>
      <c r="N249" s="51" t="n">
        <v>0.15</v>
      </c>
      <c r="O249" s="52" t="n">
        <f aca="false">M249*(1-N249)</f>
        <v>28.9</v>
      </c>
      <c r="P249" s="21" t="n">
        <f aca="false">L249*O249</f>
        <v>2051.9</v>
      </c>
      <c r="Q249" s="50" t="n">
        <f aca="false">INDEX(Productos!$E$2:$E$13,MATCH($H249,Productos!$A$2:$A$13,0))*INDEX(Parametros!$B$26:$B$43,MATCH($C249,Parametros!$A$26:$A$43,0))</f>
        <v>18.334</v>
      </c>
      <c r="R249" s="21" t="n">
        <f aca="false">L249*Q249</f>
        <v>1301.714</v>
      </c>
      <c r="S249" s="18" t="n">
        <f aca="false">L249*INDEX(Parametros!$B$20:$B$22,MATCH($E249,Parametros!$A$20:$A$22,0))</f>
        <v>170.4</v>
      </c>
      <c r="T249" s="18" t="n">
        <f aca="false">P249*INDEX(Parametros!$B$13:$B$16,MATCH($F249,Parametros!$A$13:$A$16,0))</f>
        <v>61.557</v>
      </c>
      <c r="U249" s="21" t="n">
        <f aca="false">P249-R249-S249-T249</f>
        <v>518.229</v>
      </c>
      <c r="V249" s="19" t="n">
        <f aca="false">IFERROR(U249/P249,0)</f>
        <v>0.252560553633218</v>
      </c>
      <c r="W249" s="48" t="n">
        <f aca="false">B249+INDEX(Parametros!$C$13:$C$16,MATCH($F249,Parametros!$A$13:$A$16,0))</f>
        <v>45800</v>
      </c>
      <c r="X249" s="31" t="s">
        <v>67</v>
      </c>
      <c r="Y249" s="53" t="n">
        <f aca="false">IF(COUNTIF($A$2:$A249,A249)=1,1,0)</f>
        <v>1</v>
      </c>
    </row>
    <row r="250" customFormat="false" ht="15" hidden="false" customHeight="false" outlineLevel="0" collapsed="false">
      <c r="A250" s="31" t="s">
        <v>377</v>
      </c>
      <c r="B250" s="36" t="n">
        <v>45740</v>
      </c>
      <c r="C250" s="49" t="n">
        <f aca="false">DATE(YEAR(B250),MONTH(B250),1)</f>
        <v>45717</v>
      </c>
      <c r="D250" s="31" t="s">
        <v>212</v>
      </c>
      <c r="E250" s="31" t="s">
        <v>42</v>
      </c>
      <c r="F250" s="31" t="s">
        <v>45</v>
      </c>
      <c r="G250" s="31" t="s">
        <v>61</v>
      </c>
      <c r="H250" s="31" t="s">
        <v>183</v>
      </c>
      <c r="I250" s="32" t="str">
        <f aca="false">INDEX(Productos!$B$2:$B$13,MATCH($H250,Productos!$A$2:$A$13,0))</f>
        <v>Tornillo estructural M16x90 clase 10.9</v>
      </c>
      <c r="J250" s="32" t="str">
        <f aca="false">INDEX(Productos!$C$2:$C$13,MATCH($H250,Productos!$A$2:$A$13,0))</f>
        <v>Especial</v>
      </c>
      <c r="K250" s="31" t="s">
        <v>246</v>
      </c>
      <c r="L250" s="46" t="n">
        <v>136</v>
      </c>
      <c r="M250" s="50" t="n">
        <f aca="false">INDEX(Productos!$F$2:$F$13,MATCH($H250,Productos!$A$2:$A$13,0))</f>
        <v>112</v>
      </c>
      <c r="N250" s="51" t="n">
        <v>0.131</v>
      </c>
      <c r="O250" s="52" t="n">
        <f aca="false">M250*(1-N250)</f>
        <v>97.328</v>
      </c>
      <c r="P250" s="21" t="n">
        <f aca="false">L250*O250</f>
        <v>13236.608</v>
      </c>
      <c r="Q250" s="50" t="n">
        <f aca="false">INDEX(Productos!$E$2:$E$13,MATCH($H250,Productos!$A$2:$A$13,0))*INDEX(Parametros!$B$26:$B$43,MATCH($C250,Parametros!$A$26:$A$43,0))</f>
        <v>61.8</v>
      </c>
      <c r="R250" s="21" t="n">
        <f aca="false">L250*Q250</f>
        <v>8404.8</v>
      </c>
      <c r="S250" s="18" t="n">
        <f aca="false">L250*INDEX(Parametros!$B$20:$B$22,MATCH($E250,Parametros!$A$20:$A$22,0))</f>
        <v>326.4</v>
      </c>
      <c r="T250" s="18" t="n">
        <f aca="false">P250*INDEX(Parametros!$B$13:$B$16,MATCH($F250,Parametros!$A$13:$A$16,0))</f>
        <v>397.09824</v>
      </c>
      <c r="U250" s="21" t="n">
        <f aca="false">P250-R250-S250-T250</f>
        <v>4108.30976</v>
      </c>
      <c r="V250" s="19" t="n">
        <f aca="false">IFERROR(U250/P250,0)</f>
        <v>0.310374815058359</v>
      </c>
      <c r="W250" s="48" t="n">
        <f aca="false">B250+INDEX(Parametros!$C$13:$C$16,MATCH($F250,Parametros!$A$13:$A$16,0))</f>
        <v>45800</v>
      </c>
      <c r="X250" s="31" t="s">
        <v>67</v>
      </c>
      <c r="Y250" s="53" t="n">
        <f aca="false">IF(COUNTIF($A$2:$A250,A250)=1,1,0)</f>
        <v>0</v>
      </c>
    </row>
    <row r="251" customFormat="false" ht="15" hidden="false" customHeight="false" outlineLevel="0" collapsed="false">
      <c r="A251" s="31" t="s">
        <v>377</v>
      </c>
      <c r="B251" s="36" t="n">
        <v>45740</v>
      </c>
      <c r="C251" s="49" t="n">
        <f aca="false">DATE(YEAR(B251),MONTH(B251),1)</f>
        <v>45717</v>
      </c>
      <c r="D251" s="31" t="s">
        <v>212</v>
      </c>
      <c r="E251" s="31" t="s">
        <v>42</v>
      </c>
      <c r="F251" s="31" t="s">
        <v>45</v>
      </c>
      <c r="G251" s="31" t="s">
        <v>61</v>
      </c>
      <c r="H251" s="31" t="s">
        <v>167</v>
      </c>
      <c r="I251" s="32" t="str">
        <f aca="false">INDEX(Productos!$B$2:$B$13,MATCH($H251,Productos!$A$2:$A$13,0))</f>
        <v>Tornillo DIN 912 M6x25 Allen zincado</v>
      </c>
      <c r="J251" s="32" t="str">
        <f aca="false">INDEX(Productos!$C$2:$C$13,MATCH($H251,Productos!$A$2:$A$13,0))</f>
        <v>Métrica</v>
      </c>
      <c r="K251" s="31" t="s">
        <v>246</v>
      </c>
      <c r="L251" s="46" t="n">
        <v>138</v>
      </c>
      <c r="M251" s="50" t="n">
        <f aca="false">INDEX(Productos!$F$2:$F$13,MATCH($H251,Productos!$A$2:$A$13,0))</f>
        <v>42</v>
      </c>
      <c r="N251" s="51" t="n">
        <v>0.127</v>
      </c>
      <c r="O251" s="52" t="n">
        <f aca="false">M251*(1-N251)</f>
        <v>36.666</v>
      </c>
      <c r="P251" s="21" t="n">
        <f aca="false">L251*O251</f>
        <v>5059.908</v>
      </c>
      <c r="Q251" s="50" t="n">
        <f aca="false">INDEX(Productos!$E$2:$E$13,MATCH($H251,Productos!$A$2:$A$13,0))*INDEX(Parametros!$B$26:$B$43,MATCH($C251,Parametros!$A$26:$A$43,0))</f>
        <v>22.454</v>
      </c>
      <c r="R251" s="21" t="n">
        <f aca="false">L251*Q251</f>
        <v>3098.652</v>
      </c>
      <c r="S251" s="18" t="n">
        <f aca="false">L251*INDEX(Parametros!$B$20:$B$22,MATCH($E251,Parametros!$A$20:$A$22,0))</f>
        <v>331.2</v>
      </c>
      <c r="T251" s="18" t="n">
        <f aca="false">P251*INDEX(Parametros!$B$13:$B$16,MATCH($F251,Parametros!$A$13:$A$16,0))</f>
        <v>151.79724</v>
      </c>
      <c r="U251" s="21" t="n">
        <f aca="false">P251-R251-S251-T251</f>
        <v>1478.25876</v>
      </c>
      <c r="V251" s="19" t="n">
        <f aca="false">IFERROR(U251/P251,0)</f>
        <v>0.292151311842033</v>
      </c>
      <c r="W251" s="48" t="n">
        <f aca="false">B251+INDEX(Parametros!$C$13:$C$16,MATCH($F251,Parametros!$A$13:$A$16,0))</f>
        <v>45800</v>
      </c>
      <c r="X251" s="31" t="s">
        <v>69</v>
      </c>
      <c r="Y251" s="53" t="n">
        <f aca="false">IF(COUNTIF($A$2:$A251,A251)=1,1,0)</f>
        <v>0</v>
      </c>
    </row>
    <row r="252" customFormat="false" ht="15" hidden="false" customHeight="false" outlineLevel="0" collapsed="false">
      <c r="A252" s="31" t="s">
        <v>378</v>
      </c>
      <c r="B252" s="36" t="n">
        <v>45741</v>
      </c>
      <c r="C252" s="49" t="n">
        <f aca="false">DATE(YEAR(B252),MONTH(B252),1)</f>
        <v>45717</v>
      </c>
      <c r="D252" s="31" t="s">
        <v>194</v>
      </c>
      <c r="E252" s="31" t="s">
        <v>41</v>
      </c>
      <c r="F252" s="31" t="s">
        <v>46</v>
      </c>
      <c r="G252" s="31" t="s">
        <v>58</v>
      </c>
      <c r="H252" s="31" t="s">
        <v>179</v>
      </c>
      <c r="I252" s="32" t="str">
        <f aca="false">INDEX(Productos!$B$2:$B$13,MATCH($H252,Productos!$A$2:$A$13,0))</f>
        <v>Autotaladrante DIN 7504 4,8x38 zincado</v>
      </c>
      <c r="J252" s="32" t="str">
        <f aca="false">INDEX(Productos!$C$2:$C$13,MATCH($H252,Productos!$A$2:$A$13,0))</f>
        <v>Autotaladrante</v>
      </c>
      <c r="K252" s="31" t="s">
        <v>246</v>
      </c>
      <c r="L252" s="46" t="n">
        <v>246</v>
      </c>
      <c r="M252" s="50" t="n">
        <f aca="false">INDEX(Productos!$F$2:$F$13,MATCH($H252,Productos!$A$2:$A$13,0))</f>
        <v>29.5</v>
      </c>
      <c r="N252" s="51" t="n">
        <v>0.107</v>
      </c>
      <c r="O252" s="52" t="n">
        <f aca="false">M252*(1-N252)</f>
        <v>26.3435</v>
      </c>
      <c r="P252" s="21" t="n">
        <f aca="false">L252*O252</f>
        <v>6480.501</v>
      </c>
      <c r="Q252" s="50" t="n">
        <f aca="false">INDEX(Productos!$E$2:$E$13,MATCH($H252,Productos!$A$2:$A$13,0))*INDEX(Parametros!$B$26:$B$43,MATCH($C252,Parametros!$A$26:$A$43,0))</f>
        <v>15.656</v>
      </c>
      <c r="R252" s="21" t="n">
        <f aca="false">L252*Q252</f>
        <v>3851.376</v>
      </c>
      <c r="S252" s="18" t="n">
        <f aca="false">L252*INDEX(Parametros!$B$20:$B$22,MATCH($E252,Parametros!$A$20:$A$22,0))</f>
        <v>209.1</v>
      </c>
      <c r="T252" s="18" t="n">
        <f aca="false">P252*INDEX(Parametros!$B$13:$B$16,MATCH($F252,Parametros!$A$13:$A$16,0))</f>
        <v>259.22004</v>
      </c>
      <c r="U252" s="21" t="n">
        <f aca="false">P252-R252-S252-T252</f>
        <v>2160.80496</v>
      </c>
      <c r="V252" s="19" t="n">
        <f aca="false">IFERROR(U252/P252,0)</f>
        <v>0.333431776339514</v>
      </c>
      <c r="W252" s="48" t="n">
        <f aca="false">B252+INDEX(Parametros!$C$13:$C$16,MATCH($F252,Parametros!$A$13:$A$16,0))</f>
        <v>45816</v>
      </c>
      <c r="X252" s="31" t="s">
        <v>67</v>
      </c>
      <c r="Y252" s="53" t="n">
        <f aca="false">IF(COUNTIF($A$2:$A252,A252)=1,1,0)</f>
        <v>1</v>
      </c>
    </row>
    <row r="253" customFormat="false" ht="15" hidden="false" customHeight="false" outlineLevel="0" collapsed="false">
      <c r="A253" s="31" t="s">
        <v>379</v>
      </c>
      <c r="B253" s="36" t="n">
        <v>45741</v>
      </c>
      <c r="C253" s="49" t="n">
        <f aca="false">DATE(YEAR(B253),MONTH(B253),1)</f>
        <v>45717</v>
      </c>
      <c r="D253" s="31" t="s">
        <v>225</v>
      </c>
      <c r="E253" s="31" t="s">
        <v>43</v>
      </c>
      <c r="F253" s="31" t="s">
        <v>47</v>
      </c>
      <c r="G253" s="31" t="s">
        <v>59</v>
      </c>
      <c r="H253" s="31" t="s">
        <v>169</v>
      </c>
      <c r="I253" s="32" t="str">
        <f aca="false">INDEX(Productos!$B$2:$B$13,MATCH($H253,Productos!$A$2:$A$13,0))</f>
        <v>Tornillo DIN 912 M10x60 Allen inox A2</v>
      </c>
      <c r="J253" s="32" t="str">
        <f aca="false">INDEX(Productos!$C$2:$C$13,MATCH($H253,Productos!$A$2:$A$13,0))</f>
        <v>Inoxidable</v>
      </c>
      <c r="K253" s="31" t="s">
        <v>246</v>
      </c>
      <c r="L253" s="46" t="n">
        <v>80</v>
      </c>
      <c r="M253" s="50" t="n">
        <f aca="false">INDEX(Productos!$F$2:$F$13,MATCH($H253,Productos!$A$2:$A$13,0))</f>
        <v>79</v>
      </c>
      <c r="N253" s="51" t="n">
        <v>0.096</v>
      </c>
      <c r="O253" s="52" t="n">
        <f aca="false">M253*(1-N253)</f>
        <v>71.416</v>
      </c>
      <c r="P253" s="21" t="n">
        <f aca="false">L253*O253</f>
        <v>5713.28</v>
      </c>
      <c r="Q253" s="50" t="n">
        <f aca="false">INDEX(Productos!$E$2:$E$13,MATCH($H253,Productos!$A$2:$A$13,0))*INDEX(Parametros!$B$26:$B$43,MATCH($C253,Parametros!$A$26:$A$43,0))</f>
        <v>43.26</v>
      </c>
      <c r="R253" s="21" t="n">
        <f aca="false">L253*Q253</f>
        <v>3460.8</v>
      </c>
      <c r="S253" s="18" t="n">
        <f aca="false">L253*INDEX(Parametros!$B$20:$B$22,MATCH($E253,Parametros!$A$20:$A$22,0))</f>
        <v>152</v>
      </c>
      <c r="T253" s="18" t="n">
        <f aca="false">P253*INDEX(Parametros!$B$13:$B$16,MATCH($F253,Parametros!$A$13:$A$16,0))</f>
        <v>199.9648</v>
      </c>
      <c r="U253" s="21" t="n">
        <f aca="false">P253-R253-S253-T253</f>
        <v>1900.5152</v>
      </c>
      <c r="V253" s="19" t="n">
        <f aca="false">IFERROR(U253/P253,0)</f>
        <v>0.332648706172286</v>
      </c>
      <c r="W253" s="48" t="n">
        <f aca="false">B253+INDEX(Parametros!$C$13:$C$16,MATCH($F253,Parametros!$A$13:$A$16,0))</f>
        <v>45786</v>
      </c>
      <c r="X253" s="31" t="s">
        <v>67</v>
      </c>
      <c r="Y253" s="53" t="n">
        <f aca="false">IF(COUNTIF($A$2:$A253,A253)=1,1,0)</f>
        <v>1</v>
      </c>
    </row>
    <row r="254" customFormat="false" ht="15" hidden="false" customHeight="false" outlineLevel="0" collapsed="false">
      <c r="A254" s="31" t="s">
        <v>379</v>
      </c>
      <c r="B254" s="36" t="n">
        <v>45741</v>
      </c>
      <c r="C254" s="49" t="n">
        <f aca="false">DATE(YEAR(B254),MONTH(B254),1)</f>
        <v>45717</v>
      </c>
      <c r="D254" s="31" t="s">
        <v>225</v>
      </c>
      <c r="E254" s="31" t="s">
        <v>43</v>
      </c>
      <c r="F254" s="31" t="s">
        <v>47</v>
      </c>
      <c r="G254" s="31" t="s">
        <v>59</v>
      </c>
      <c r="H254" s="31" t="s">
        <v>183</v>
      </c>
      <c r="I254" s="32" t="str">
        <f aca="false">INDEX(Productos!$B$2:$B$13,MATCH($H254,Productos!$A$2:$A$13,0))</f>
        <v>Tornillo estructural M16x90 clase 10.9</v>
      </c>
      <c r="J254" s="32" t="str">
        <f aca="false">INDEX(Productos!$C$2:$C$13,MATCH($H254,Productos!$A$2:$A$13,0))</f>
        <v>Especial</v>
      </c>
      <c r="K254" s="31" t="s">
        <v>246</v>
      </c>
      <c r="L254" s="46" t="n">
        <v>32</v>
      </c>
      <c r="M254" s="50" t="n">
        <f aca="false">INDEX(Productos!$F$2:$F$13,MATCH($H254,Productos!$A$2:$A$13,0))</f>
        <v>112</v>
      </c>
      <c r="N254" s="51" t="n">
        <v>0.061</v>
      </c>
      <c r="O254" s="52" t="n">
        <f aca="false">M254*(1-N254)</f>
        <v>105.168</v>
      </c>
      <c r="P254" s="21" t="n">
        <f aca="false">L254*O254</f>
        <v>3365.376</v>
      </c>
      <c r="Q254" s="50" t="n">
        <f aca="false">INDEX(Productos!$E$2:$E$13,MATCH($H254,Productos!$A$2:$A$13,0))*INDEX(Parametros!$B$26:$B$43,MATCH($C254,Parametros!$A$26:$A$43,0))</f>
        <v>61.8</v>
      </c>
      <c r="R254" s="21" t="n">
        <f aca="false">L254*Q254</f>
        <v>1977.6</v>
      </c>
      <c r="S254" s="18" t="n">
        <f aca="false">L254*INDEX(Parametros!$B$20:$B$22,MATCH($E254,Parametros!$A$20:$A$22,0))</f>
        <v>60.8</v>
      </c>
      <c r="T254" s="18" t="n">
        <f aca="false">P254*INDEX(Parametros!$B$13:$B$16,MATCH($F254,Parametros!$A$13:$A$16,0))</f>
        <v>117.78816</v>
      </c>
      <c r="U254" s="21" t="n">
        <f aca="false">P254-R254-S254-T254</f>
        <v>1209.18784</v>
      </c>
      <c r="V254" s="19" t="n">
        <f aca="false">IFERROR(U254/P254,0)</f>
        <v>0.359302449414271</v>
      </c>
      <c r="W254" s="48" t="n">
        <f aca="false">B254+INDEX(Parametros!$C$13:$C$16,MATCH($F254,Parametros!$A$13:$A$16,0))</f>
        <v>45786</v>
      </c>
      <c r="X254" s="31" t="s">
        <v>67</v>
      </c>
      <c r="Y254" s="53" t="n">
        <f aca="false">IF(COUNTIF($A$2:$A254,A254)=1,1,0)</f>
        <v>0</v>
      </c>
    </row>
    <row r="255" customFormat="false" ht="15" hidden="false" customHeight="false" outlineLevel="0" collapsed="false">
      <c r="A255" s="31" t="s">
        <v>379</v>
      </c>
      <c r="B255" s="36" t="n">
        <v>45741</v>
      </c>
      <c r="C255" s="49" t="n">
        <f aca="false">DATE(YEAR(B255),MONTH(B255),1)</f>
        <v>45717</v>
      </c>
      <c r="D255" s="31" t="s">
        <v>225</v>
      </c>
      <c r="E255" s="31" t="s">
        <v>43</v>
      </c>
      <c r="F255" s="31" t="s">
        <v>47</v>
      </c>
      <c r="G255" s="31" t="s">
        <v>59</v>
      </c>
      <c r="H255" s="31" t="s">
        <v>181</v>
      </c>
      <c r="I255" s="32" t="str">
        <f aca="false">INDEX(Productos!$B$2:$B$13,MATCH($H255,Productos!$A$2:$A$13,0))</f>
        <v>Autotaladrante 5,5x55 punta broca</v>
      </c>
      <c r="J255" s="32" t="str">
        <f aca="false">INDEX(Productos!$C$2:$C$13,MATCH($H255,Productos!$A$2:$A$13,0))</f>
        <v>Autotaladrante</v>
      </c>
      <c r="K255" s="31" t="s">
        <v>246</v>
      </c>
      <c r="L255" s="46" t="n">
        <v>30</v>
      </c>
      <c r="M255" s="50" t="n">
        <f aca="false">INDEX(Productos!$F$2:$F$13,MATCH($H255,Productos!$A$2:$A$13,0))</f>
        <v>39</v>
      </c>
      <c r="N255" s="51" t="n">
        <v>0.054</v>
      </c>
      <c r="O255" s="52" t="n">
        <f aca="false">M255*(1-N255)</f>
        <v>36.894</v>
      </c>
      <c r="P255" s="21" t="n">
        <f aca="false">L255*O255</f>
        <v>1106.82</v>
      </c>
      <c r="Q255" s="50" t="n">
        <f aca="false">INDEX(Productos!$E$2:$E$13,MATCH($H255,Productos!$A$2:$A$13,0))*INDEX(Parametros!$B$26:$B$43,MATCH($C255,Parametros!$A$26:$A$43,0))</f>
        <v>20.909</v>
      </c>
      <c r="R255" s="21" t="n">
        <f aca="false">L255*Q255</f>
        <v>627.27</v>
      </c>
      <c r="S255" s="18" t="n">
        <f aca="false">L255*INDEX(Parametros!$B$20:$B$22,MATCH($E255,Parametros!$A$20:$A$22,0))</f>
        <v>57</v>
      </c>
      <c r="T255" s="18" t="n">
        <f aca="false">P255*INDEX(Parametros!$B$13:$B$16,MATCH($F255,Parametros!$A$13:$A$16,0))</f>
        <v>38.7387</v>
      </c>
      <c r="U255" s="21" t="n">
        <f aca="false">P255-R255-S255-T255</f>
        <v>383.8113</v>
      </c>
      <c r="V255" s="19" t="n">
        <f aca="false">IFERROR(U255/P255,0)</f>
        <v>0.3467693933973</v>
      </c>
      <c r="W255" s="48" t="n">
        <f aca="false">B255+INDEX(Parametros!$C$13:$C$16,MATCH($F255,Parametros!$A$13:$A$16,0))</f>
        <v>45786</v>
      </c>
      <c r="X255" s="31" t="s">
        <v>67</v>
      </c>
      <c r="Y255" s="53" t="n">
        <f aca="false">IF(COUNTIF($A$2:$A255,A255)=1,1,0)</f>
        <v>0</v>
      </c>
    </row>
    <row r="256" customFormat="false" ht="15" hidden="false" customHeight="false" outlineLevel="0" collapsed="false">
      <c r="A256" s="31" t="s">
        <v>380</v>
      </c>
      <c r="B256" s="36" t="n">
        <v>45742</v>
      </c>
      <c r="C256" s="49" t="n">
        <f aca="false">DATE(YEAR(B256),MONTH(B256),1)</f>
        <v>45717</v>
      </c>
      <c r="D256" s="31" t="s">
        <v>215</v>
      </c>
      <c r="E256" s="31" t="s">
        <v>42</v>
      </c>
      <c r="F256" s="31" t="s">
        <v>46</v>
      </c>
      <c r="G256" s="31" t="s">
        <v>61</v>
      </c>
      <c r="H256" s="31" t="s">
        <v>163</v>
      </c>
      <c r="I256" s="32" t="str">
        <f aca="false">INDEX(Productos!$B$2:$B$13,MATCH($H256,Productos!$A$2:$A$13,0))</f>
        <v>Tornillo DIN 933 M6x30 rosca completa zincado</v>
      </c>
      <c r="J256" s="32" t="str">
        <f aca="false">INDEX(Productos!$C$2:$C$13,MATCH($H256,Productos!$A$2:$A$13,0))</f>
        <v>Métrica</v>
      </c>
      <c r="K256" s="31" t="s">
        <v>246</v>
      </c>
      <c r="L256" s="46" t="n">
        <v>131</v>
      </c>
      <c r="M256" s="50" t="n">
        <f aca="false">INDEX(Productos!$F$2:$F$13,MATCH($H256,Productos!$A$2:$A$13,0))</f>
        <v>32</v>
      </c>
      <c r="N256" s="51" t="n">
        <v>0.096</v>
      </c>
      <c r="O256" s="52" t="n">
        <f aca="false">M256*(1-N256)</f>
        <v>28.928</v>
      </c>
      <c r="P256" s="21" t="n">
        <f aca="false">L256*O256</f>
        <v>3789.568</v>
      </c>
      <c r="Q256" s="50" t="n">
        <f aca="false">INDEX(Productos!$E$2:$E$13,MATCH($H256,Productos!$A$2:$A$13,0))*INDEX(Parametros!$B$26:$B$43,MATCH($C256,Parametros!$A$26:$A$43,0))</f>
        <v>17.098</v>
      </c>
      <c r="R256" s="21" t="n">
        <f aca="false">L256*Q256</f>
        <v>2239.838</v>
      </c>
      <c r="S256" s="18" t="n">
        <f aca="false">L256*INDEX(Parametros!$B$20:$B$22,MATCH($E256,Parametros!$A$20:$A$22,0))</f>
        <v>314.4</v>
      </c>
      <c r="T256" s="18" t="n">
        <f aca="false">P256*INDEX(Parametros!$B$13:$B$16,MATCH($F256,Parametros!$A$13:$A$16,0))</f>
        <v>151.58272</v>
      </c>
      <c r="U256" s="21" t="n">
        <f aca="false">P256-R256-S256-T256</f>
        <v>1083.74728</v>
      </c>
      <c r="V256" s="19" t="n">
        <f aca="false">IFERROR(U256/P256,0)</f>
        <v>0.285981747787611</v>
      </c>
      <c r="W256" s="48" t="n">
        <f aca="false">B256+INDEX(Parametros!$C$13:$C$16,MATCH($F256,Parametros!$A$13:$A$16,0))</f>
        <v>45817</v>
      </c>
      <c r="X256" s="31" t="s">
        <v>69</v>
      </c>
      <c r="Y256" s="53" t="n">
        <f aca="false">IF(COUNTIF($A$2:$A256,A256)=1,1,0)</f>
        <v>1</v>
      </c>
    </row>
    <row r="257" customFormat="false" ht="15" hidden="false" customHeight="false" outlineLevel="0" collapsed="false">
      <c r="A257" s="31" t="s">
        <v>380</v>
      </c>
      <c r="B257" s="36" t="n">
        <v>45742</v>
      </c>
      <c r="C257" s="49" t="n">
        <f aca="false">DATE(YEAR(B257),MONTH(B257),1)</f>
        <v>45717</v>
      </c>
      <c r="D257" s="31" t="s">
        <v>215</v>
      </c>
      <c r="E257" s="31" t="s">
        <v>42</v>
      </c>
      <c r="F257" s="31" t="s">
        <v>46</v>
      </c>
      <c r="G257" s="31" t="s">
        <v>61</v>
      </c>
      <c r="H257" s="31" t="s">
        <v>165</v>
      </c>
      <c r="I257" s="32" t="str">
        <f aca="false">INDEX(Productos!$B$2:$B$13,MATCH($H257,Productos!$A$2:$A$13,0))</f>
        <v>Tornillo DIN 933 M8x40 rosca completa zincado</v>
      </c>
      <c r="J257" s="32" t="str">
        <f aca="false">INDEX(Productos!$C$2:$C$13,MATCH($H257,Productos!$A$2:$A$13,0))</f>
        <v>Métrica</v>
      </c>
      <c r="K257" s="31" t="s">
        <v>246</v>
      </c>
      <c r="L257" s="46" t="n">
        <v>25</v>
      </c>
      <c r="M257" s="50" t="n">
        <f aca="false">INDEX(Productos!$F$2:$F$13,MATCH($H257,Productos!$A$2:$A$13,0))</f>
        <v>37.5</v>
      </c>
      <c r="N257" s="51" t="n">
        <v>0.15</v>
      </c>
      <c r="O257" s="52" t="n">
        <f aca="false">M257*(1-N257)</f>
        <v>31.875</v>
      </c>
      <c r="P257" s="21" t="n">
        <f aca="false">L257*O257</f>
        <v>796.875</v>
      </c>
      <c r="Q257" s="50" t="n">
        <f aca="false">INDEX(Productos!$E$2:$E$13,MATCH($H257,Productos!$A$2:$A$13,0))*INDEX(Parametros!$B$26:$B$43,MATCH($C257,Parametros!$A$26:$A$43,0))</f>
        <v>19.982</v>
      </c>
      <c r="R257" s="21" t="n">
        <f aca="false">L257*Q257</f>
        <v>499.55</v>
      </c>
      <c r="S257" s="18" t="n">
        <f aca="false">L257*INDEX(Parametros!$B$20:$B$22,MATCH($E257,Parametros!$A$20:$A$22,0))</f>
        <v>60</v>
      </c>
      <c r="T257" s="18" t="n">
        <f aca="false">P257*INDEX(Parametros!$B$13:$B$16,MATCH($F257,Parametros!$A$13:$A$16,0))</f>
        <v>31.875</v>
      </c>
      <c r="U257" s="21" t="n">
        <f aca="false">P257-R257-S257-T257</f>
        <v>205.45</v>
      </c>
      <c r="V257" s="19" t="n">
        <f aca="false">IFERROR(U257/P257,0)</f>
        <v>0.257819607843137</v>
      </c>
      <c r="W257" s="48" t="n">
        <f aca="false">B257+INDEX(Parametros!$C$13:$C$16,MATCH($F257,Parametros!$A$13:$A$16,0))</f>
        <v>45817</v>
      </c>
      <c r="X257" s="31" t="s">
        <v>67</v>
      </c>
      <c r="Y257" s="53" t="n">
        <f aca="false">IF(COUNTIF($A$2:$A257,A257)=1,1,0)</f>
        <v>0</v>
      </c>
    </row>
    <row r="258" customFormat="false" ht="15" hidden="false" customHeight="false" outlineLevel="0" collapsed="false">
      <c r="A258" s="31" t="s">
        <v>381</v>
      </c>
      <c r="B258" s="36" t="n">
        <v>45742</v>
      </c>
      <c r="C258" s="49" t="n">
        <f aca="false">DATE(YEAR(B258),MONTH(B258),1)</f>
        <v>45717</v>
      </c>
      <c r="D258" s="31" t="s">
        <v>215</v>
      </c>
      <c r="E258" s="31" t="s">
        <v>42</v>
      </c>
      <c r="F258" s="31" t="s">
        <v>46</v>
      </c>
      <c r="G258" s="31" t="s">
        <v>61</v>
      </c>
      <c r="H258" s="31" t="s">
        <v>169</v>
      </c>
      <c r="I258" s="32" t="str">
        <f aca="false">INDEX(Productos!$B$2:$B$13,MATCH($H258,Productos!$A$2:$A$13,0))</f>
        <v>Tornillo DIN 912 M10x60 Allen inox A2</v>
      </c>
      <c r="J258" s="32" t="str">
        <f aca="false">INDEX(Productos!$C$2:$C$13,MATCH($H258,Productos!$A$2:$A$13,0))</f>
        <v>Inoxidable</v>
      </c>
      <c r="K258" s="31" t="s">
        <v>246</v>
      </c>
      <c r="L258" s="46" t="n">
        <v>47</v>
      </c>
      <c r="M258" s="50" t="n">
        <f aca="false">INDEX(Productos!$F$2:$F$13,MATCH($H258,Productos!$A$2:$A$13,0))</f>
        <v>79</v>
      </c>
      <c r="N258" s="51" t="n">
        <v>0.143</v>
      </c>
      <c r="O258" s="52" t="n">
        <f aca="false">M258*(1-N258)</f>
        <v>67.703</v>
      </c>
      <c r="P258" s="21" t="n">
        <f aca="false">L258*O258</f>
        <v>3182.041</v>
      </c>
      <c r="Q258" s="50" t="n">
        <f aca="false">INDEX(Productos!$E$2:$E$13,MATCH($H258,Productos!$A$2:$A$13,0))*INDEX(Parametros!$B$26:$B$43,MATCH($C258,Parametros!$A$26:$A$43,0))</f>
        <v>43.26</v>
      </c>
      <c r="R258" s="21" t="n">
        <f aca="false">L258*Q258</f>
        <v>2033.22</v>
      </c>
      <c r="S258" s="18" t="n">
        <f aca="false">L258*INDEX(Parametros!$B$20:$B$22,MATCH($E258,Parametros!$A$20:$A$22,0))</f>
        <v>112.8</v>
      </c>
      <c r="T258" s="18" t="n">
        <f aca="false">P258*INDEX(Parametros!$B$13:$B$16,MATCH($F258,Parametros!$A$13:$A$16,0))</f>
        <v>127.28164</v>
      </c>
      <c r="U258" s="21" t="n">
        <f aca="false">P258-R258-S258-T258</f>
        <v>908.73936</v>
      </c>
      <c r="V258" s="19" t="n">
        <f aca="false">IFERROR(U258/P258,0)</f>
        <v>0.285583799831618</v>
      </c>
      <c r="W258" s="48" t="n">
        <f aca="false">B258+INDEX(Parametros!$C$13:$C$16,MATCH($F258,Parametros!$A$13:$A$16,0))</f>
        <v>45817</v>
      </c>
      <c r="X258" s="31" t="s">
        <v>67</v>
      </c>
      <c r="Y258" s="53" t="n">
        <f aca="false">IF(COUNTIF($A$2:$A258,A258)=1,1,0)</f>
        <v>1</v>
      </c>
    </row>
    <row r="259" customFormat="false" ht="15" hidden="false" customHeight="false" outlineLevel="0" collapsed="false">
      <c r="A259" s="31" t="s">
        <v>381</v>
      </c>
      <c r="B259" s="36" t="n">
        <v>45742</v>
      </c>
      <c r="C259" s="49" t="n">
        <f aca="false">DATE(YEAR(B259),MONTH(B259),1)</f>
        <v>45717</v>
      </c>
      <c r="D259" s="31" t="s">
        <v>215</v>
      </c>
      <c r="E259" s="31" t="s">
        <v>42</v>
      </c>
      <c r="F259" s="31" t="s">
        <v>46</v>
      </c>
      <c r="G259" s="31" t="s">
        <v>61</v>
      </c>
      <c r="H259" s="31" t="s">
        <v>171</v>
      </c>
      <c r="I259" s="32" t="str">
        <f aca="false">INDEX(Productos!$B$2:$B$13,MATCH($H259,Productos!$A$2:$A$13,0))</f>
        <v>Tornillo DIN 7991 M8x30 avellanado inox A2</v>
      </c>
      <c r="J259" s="32" t="str">
        <f aca="false">INDEX(Productos!$C$2:$C$13,MATCH($H259,Productos!$A$2:$A$13,0))</f>
        <v>Inoxidable</v>
      </c>
      <c r="K259" s="31" t="s">
        <v>246</v>
      </c>
      <c r="L259" s="46" t="n">
        <v>72</v>
      </c>
      <c r="M259" s="50" t="n">
        <f aca="false">INDEX(Productos!$F$2:$F$13,MATCH($H259,Productos!$A$2:$A$13,0))</f>
        <v>88</v>
      </c>
      <c r="N259" s="51" t="n">
        <v>0.102</v>
      </c>
      <c r="O259" s="52" t="n">
        <f aca="false">M259*(1-N259)</f>
        <v>79.024</v>
      </c>
      <c r="P259" s="21" t="n">
        <f aca="false">L259*O259</f>
        <v>5689.728</v>
      </c>
      <c r="Q259" s="50" t="n">
        <f aca="false">INDEX(Productos!$E$2:$E$13,MATCH($H259,Productos!$A$2:$A$13,0))*INDEX(Parametros!$B$26:$B$43,MATCH($C259,Parametros!$A$26:$A$43,0))</f>
        <v>47.895</v>
      </c>
      <c r="R259" s="21" t="n">
        <f aca="false">L259*Q259</f>
        <v>3448.44</v>
      </c>
      <c r="S259" s="18" t="n">
        <f aca="false">L259*INDEX(Parametros!$B$20:$B$22,MATCH($E259,Parametros!$A$20:$A$22,0))</f>
        <v>172.8</v>
      </c>
      <c r="T259" s="18" t="n">
        <f aca="false">P259*INDEX(Parametros!$B$13:$B$16,MATCH($F259,Parametros!$A$13:$A$16,0))</f>
        <v>227.58912</v>
      </c>
      <c r="U259" s="21" t="n">
        <f aca="false">P259-R259-S259-T259</f>
        <v>1840.89888</v>
      </c>
      <c r="V259" s="19" t="n">
        <f aca="false">IFERROR(U259/P259,0)</f>
        <v>0.323547782952015</v>
      </c>
      <c r="W259" s="48" t="n">
        <f aca="false">B259+INDEX(Parametros!$C$13:$C$16,MATCH($F259,Parametros!$A$13:$A$16,0))</f>
        <v>45817</v>
      </c>
      <c r="X259" s="31" t="s">
        <v>67</v>
      </c>
      <c r="Y259" s="53" t="n">
        <f aca="false">IF(COUNTIF($A$2:$A259,A259)=1,1,0)</f>
        <v>0</v>
      </c>
    </row>
    <row r="260" customFormat="false" ht="15" hidden="false" customHeight="false" outlineLevel="0" collapsed="false">
      <c r="A260" s="31" t="s">
        <v>381</v>
      </c>
      <c r="B260" s="36" t="n">
        <v>45742</v>
      </c>
      <c r="C260" s="49" t="n">
        <f aca="false">DATE(YEAR(B260),MONTH(B260),1)</f>
        <v>45717</v>
      </c>
      <c r="D260" s="31" t="s">
        <v>215</v>
      </c>
      <c r="E260" s="31" t="s">
        <v>42</v>
      </c>
      <c r="F260" s="31" t="s">
        <v>46</v>
      </c>
      <c r="G260" s="31" t="s">
        <v>61</v>
      </c>
      <c r="H260" s="31" t="s">
        <v>163</v>
      </c>
      <c r="I260" s="32" t="str">
        <f aca="false">INDEX(Productos!$B$2:$B$13,MATCH($H260,Productos!$A$2:$A$13,0))</f>
        <v>Tornillo DIN 933 M6x30 rosca completa zincado</v>
      </c>
      <c r="J260" s="32" t="str">
        <f aca="false">INDEX(Productos!$C$2:$C$13,MATCH($H260,Productos!$A$2:$A$13,0))</f>
        <v>Métrica</v>
      </c>
      <c r="K260" s="31" t="s">
        <v>246</v>
      </c>
      <c r="L260" s="46" t="n">
        <v>45</v>
      </c>
      <c r="M260" s="50" t="n">
        <f aca="false">INDEX(Productos!$F$2:$F$13,MATCH($H260,Productos!$A$2:$A$13,0))</f>
        <v>32</v>
      </c>
      <c r="N260" s="51" t="n">
        <v>0.161</v>
      </c>
      <c r="O260" s="52" t="n">
        <f aca="false">M260*(1-N260)</f>
        <v>26.848</v>
      </c>
      <c r="P260" s="21" t="n">
        <f aca="false">L260*O260</f>
        <v>1208.16</v>
      </c>
      <c r="Q260" s="50" t="n">
        <f aca="false">INDEX(Productos!$E$2:$E$13,MATCH($H260,Productos!$A$2:$A$13,0))*INDEX(Parametros!$B$26:$B$43,MATCH($C260,Parametros!$A$26:$A$43,0))</f>
        <v>17.098</v>
      </c>
      <c r="R260" s="21" t="n">
        <f aca="false">L260*Q260</f>
        <v>769.41</v>
      </c>
      <c r="S260" s="18" t="n">
        <f aca="false">L260*INDEX(Parametros!$B$20:$B$22,MATCH($E260,Parametros!$A$20:$A$22,0))</f>
        <v>108</v>
      </c>
      <c r="T260" s="18" t="n">
        <f aca="false">P260*INDEX(Parametros!$B$13:$B$16,MATCH($F260,Parametros!$A$13:$A$16,0))</f>
        <v>48.3264</v>
      </c>
      <c r="U260" s="21" t="n">
        <f aca="false">P260-R260-S260-T260</f>
        <v>282.4236</v>
      </c>
      <c r="V260" s="19" t="n">
        <f aca="false">IFERROR(U260/P260,0)</f>
        <v>0.233763408820024</v>
      </c>
      <c r="W260" s="48" t="n">
        <f aca="false">B260+INDEX(Parametros!$C$13:$C$16,MATCH($F260,Parametros!$A$13:$A$16,0))</f>
        <v>45817</v>
      </c>
      <c r="X260" s="31" t="s">
        <v>67</v>
      </c>
      <c r="Y260" s="53" t="n">
        <f aca="false">IF(COUNTIF($A$2:$A260,A260)=1,1,0)</f>
        <v>0</v>
      </c>
    </row>
    <row r="261" customFormat="false" ht="15" hidden="false" customHeight="false" outlineLevel="0" collapsed="false">
      <c r="A261" s="31" t="s">
        <v>382</v>
      </c>
      <c r="B261" s="36" t="n">
        <v>45743</v>
      </c>
      <c r="C261" s="49" t="n">
        <f aca="false">DATE(YEAR(B261),MONTH(B261),1)</f>
        <v>45717</v>
      </c>
      <c r="D261" s="31" t="s">
        <v>217</v>
      </c>
      <c r="E261" s="31" t="s">
        <v>42</v>
      </c>
      <c r="F261" s="31" t="s">
        <v>47</v>
      </c>
      <c r="G261" s="31" t="s">
        <v>61</v>
      </c>
      <c r="H261" s="31" t="s">
        <v>165</v>
      </c>
      <c r="I261" s="32" t="str">
        <f aca="false">INDEX(Productos!$B$2:$B$13,MATCH($H261,Productos!$A$2:$A$13,0))</f>
        <v>Tornillo DIN 933 M8x40 rosca completa zincado</v>
      </c>
      <c r="J261" s="32" t="str">
        <f aca="false">INDEX(Productos!$C$2:$C$13,MATCH($H261,Productos!$A$2:$A$13,0))</f>
        <v>Métrica</v>
      </c>
      <c r="K261" s="31" t="s">
        <v>246</v>
      </c>
      <c r="L261" s="46" t="n">
        <v>89</v>
      </c>
      <c r="M261" s="50" t="n">
        <f aca="false">INDEX(Productos!$F$2:$F$13,MATCH($H261,Productos!$A$2:$A$13,0))</f>
        <v>37.5</v>
      </c>
      <c r="N261" s="51" t="n">
        <v>0.062</v>
      </c>
      <c r="O261" s="52" t="n">
        <f aca="false">M261*(1-N261)</f>
        <v>35.175</v>
      </c>
      <c r="P261" s="21" t="n">
        <f aca="false">L261*O261</f>
        <v>3130.575</v>
      </c>
      <c r="Q261" s="50" t="n">
        <f aca="false">INDEX(Productos!$E$2:$E$13,MATCH($H261,Productos!$A$2:$A$13,0))*INDEX(Parametros!$B$26:$B$43,MATCH($C261,Parametros!$A$26:$A$43,0))</f>
        <v>19.982</v>
      </c>
      <c r="R261" s="21" t="n">
        <f aca="false">L261*Q261</f>
        <v>1778.398</v>
      </c>
      <c r="S261" s="18" t="n">
        <f aca="false">L261*INDEX(Parametros!$B$20:$B$22,MATCH($E261,Parametros!$A$20:$A$22,0))</f>
        <v>213.6</v>
      </c>
      <c r="T261" s="18" t="n">
        <f aca="false">P261*INDEX(Parametros!$B$13:$B$16,MATCH($F261,Parametros!$A$13:$A$16,0))</f>
        <v>109.570125</v>
      </c>
      <c r="U261" s="21" t="n">
        <f aca="false">P261-R261-S261-T261</f>
        <v>1029.006875</v>
      </c>
      <c r="V261" s="19" t="n">
        <f aca="false">IFERROR(U261/P261,0)</f>
        <v>0.328695806680881</v>
      </c>
      <c r="W261" s="48" t="n">
        <f aca="false">B261+INDEX(Parametros!$C$13:$C$16,MATCH($F261,Parametros!$A$13:$A$16,0))</f>
        <v>45788</v>
      </c>
      <c r="X261" s="31" t="s">
        <v>67</v>
      </c>
      <c r="Y261" s="53" t="n">
        <f aca="false">IF(COUNTIF($A$2:$A261,A261)=1,1,0)</f>
        <v>1</v>
      </c>
    </row>
    <row r="262" customFormat="false" ht="15" hidden="false" customHeight="false" outlineLevel="0" collapsed="false">
      <c r="A262" s="31" t="s">
        <v>383</v>
      </c>
      <c r="B262" s="36" t="n">
        <v>45743</v>
      </c>
      <c r="C262" s="49" t="n">
        <f aca="false">DATE(YEAR(B262),MONTH(B262),1)</f>
        <v>45717</v>
      </c>
      <c r="D262" s="31" t="s">
        <v>204</v>
      </c>
      <c r="E262" s="31" t="s">
        <v>41</v>
      </c>
      <c r="F262" s="31" t="s">
        <v>47</v>
      </c>
      <c r="G262" s="31" t="s">
        <v>62</v>
      </c>
      <c r="H262" s="31" t="s">
        <v>175</v>
      </c>
      <c r="I262" s="32" t="str">
        <f aca="false">INDEX(Productos!$B$2:$B$13,MATCH($H262,Productos!$A$2:$A$13,0))</f>
        <v>Tirafondo madera 5x60 cabeza plana Torx</v>
      </c>
      <c r="J262" s="32" t="str">
        <f aca="false">INDEX(Productos!$C$2:$C$13,MATCH($H262,Productos!$A$2:$A$13,0))</f>
        <v>Madera</v>
      </c>
      <c r="K262" s="31" t="s">
        <v>246</v>
      </c>
      <c r="L262" s="46" t="n">
        <v>16</v>
      </c>
      <c r="M262" s="50" t="n">
        <f aca="false">INDEX(Productos!$F$2:$F$13,MATCH($H262,Productos!$A$2:$A$13,0))</f>
        <v>26</v>
      </c>
      <c r="N262" s="51" t="n">
        <v>0.05</v>
      </c>
      <c r="O262" s="52" t="n">
        <f aca="false">M262*(1-N262)</f>
        <v>24.7</v>
      </c>
      <c r="P262" s="21" t="n">
        <f aca="false">L262*O262</f>
        <v>395.2</v>
      </c>
      <c r="Q262" s="50" t="n">
        <f aca="false">INDEX(Productos!$E$2:$E$13,MATCH($H262,Productos!$A$2:$A$13,0))*INDEX(Parametros!$B$26:$B$43,MATCH($C262,Parametros!$A$26:$A$43,0))</f>
        <v>13.802</v>
      </c>
      <c r="R262" s="21" t="n">
        <f aca="false">L262*Q262</f>
        <v>220.832</v>
      </c>
      <c r="S262" s="18" t="n">
        <f aca="false">L262*INDEX(Parametros!$B$20:$B$22,MATCH($E262,Parametros!$A$20:$A$22,0))</f>
        <v>13.6</v>
      </c>
      <c r="T262" s="18" t="n">
        <f aca="false">P262*INDEX(Parametros!$B$13:$B$16,MATCH($F262,Parametros!$A$13:$A$16,0))</f>
        <v>13.832</v>
      </c>
      <c r="U262" s="21" t="n">
        <f aca="false">P262-R262-S262-T262</f>
        <v>146.936</v>
      </c>
      <c r="V262" s="19" t="n">
        <f aca="false">IFERROR(U262/P262,0)</f>
        <v>0.371801619433198</v>
      </c>
      <c r="W262" s="48" t="n">
        <f aca="false">B262+INDEX(Parametros!$C$13:$C$16,MATCH($F262,Parametros!$A$13:$A$16,0))</f>
        <v>45788</v>
      </c>
      <c r="X262" s="31" t="s">
        <v>67</v>
      </c>
      <c r="Y262" s="53" t="n">
        <f aca="false">IF(COUNTIF($A$2:$A262,A262)=1,1,0)</f>
        <v>1</v>
      </c>
    </row>
    <row r="263" customFormat="false" ht="15" hidden="false" customHeight="false" outlineLevel="0" collapsed="false">
      <c r="A263" s="31" t="s">
        <v>384</v>
      </c>
      <c r="B263" s="36" t="n">
        <v>45743</v>
      </c>
      <c r="C263" s="49" t="n">
        <f aca="false">DATE(YEAR(B263),MONTH(B263),1)</f>
        <v>45717</v>
      </c>
      <c r="D263" s="31" t="s">
        <v>199</v>
      </c>
      <c r="E263" s="31" t="s">
        <v>41</v>
      </c>
      <c r="F263" s="31" t="s">
        <v>45</v>
      </c>
      <c r="G263" s="31" t="s">
        <v>58</v>
      </c>
      <c r="H263" s="31" t="s">
        <v>175</v>
      </c>
      <c r="I263" s="32" t="str">
        <f aca="false">INDEX(Productos!$B$2:$B$13,MATCH($H263,Productos!$A$2:$A$13,0))</f>
        <v>Tirafondo madera 5x60 cabeza plana Torx</v>
      </c>
      <c r="J263" s="32" t="str">
        <f aca="false">INDEX(Productos!$C$2:$C$13,MATCH($H263,Productos!$A$2:$A$13,0))</f>
        <v>Madera</v>
      </c>
      <c r="K263" s="31" t="s">
        <v>246</v>
      </c>
      <c r="L263" s="46" t="n">
        <v>32</v>
      </c>
      <c r="M263" s="50" t="n">
        <f aca="false">INDEX(Productos!$F$2:$F$13,MATCH($H263,Productos!$A$2:$A$13,0))</f>
        <v>26</v>
      </c>
      <c r="N263" s="51" t="n">
        <v>0.188</v>
      </c>
      <c r="O263" s="52" t="n">
        <f aca="false">M263*(1-N263)</f>
        <v>21.112</v>
      </c>
      <c r="P263" s="21" t="n">
        <f aca="false">L263*O263</f>
        <v>675.584</v>
      </c>
      <c r="Q263" s="50" t="n">
        <f aca="false">INDEX(Productos!$E$2:$E$13,MATCH($H263,Productos!$A$2:$A$13,0))*INDEX(Parametros!$B$26:$B$43,MATCH($C263,Parametros!$A$26:$A$43,0))</f>
        <v>13.802</v>
      </c>
      <c r="R263" s="21" t="n">
        <f aca="false">L263*Q263</f>
        <v>441.664</v>
      </c>
      <c r="S263" s="18" t="n">
        <f aca="false">L263*INDEX(Parametros!$B$20:$B$22,MATCH($E263,Parametros!$A$20:$A$22,0))</f>
        <v>27.2</v>
      </c>
      <c r="T263" s="18" t="n">
        <f aca="false">P263*INDEX(Parametros!$B$13:$B$16,MATCH($F263,Parametros!$A$13:$A$16,0))</f>
        <v>20.26752</v>
      </c>
      <c r="U263" s="21" t="n">
        <f aca="false">P263-R263-S263-T263</f>
        <v>186.45248</v>
      </c>
      <c r="V263" s="19" t="n">
        <f aca="false">IFERROR(U263/P263,0)</f>
        <v>0.275987116331944</v>
      </c>
      <c r="W263" s="48" t="n">
        <f aca="false">B263+INDEX(Parametros!$C$13:$C$16,MATCH($F263,Parametros!$A$13:$A$16,0))</f>
        <v>45803</v>
      </c>
      <c r="X263" s="31" t="s">
        <v>69</v>
      </c>
      <c r="Y263" s="53" t="n">
        <f aca="false">IF(COUNTIF($A$2:$A263,A263)=1,1,0)</f>
        <v>1</v>
      </c>
    </row>
    <row r="264" customFormat="false" ht="15" hidden="false" customHeight="false" outlineLevel="0" collapsed="false">
      <c r="A264" s="31" t="s">
        <v>385</v>
      </c>
      <c r="B264" s="36" t="n">
        <v>45744</v>
      </c>
      <c r="C264" s="49" t="n">
        <f aca="false">DATE(YEAR(B264),MONTH(B264),1)</f>
        <v>45717</v>
      </c>
      <c r="D264" s="31" t="s">
        <v>197</v>
      </c>
      <c r="E264" s="31" t="s">
        <v>41</v>
      </c>
      <c r="F264" s="31" t="s">
        <v>46</v>
      </c>
      <c r="G264" s="31" t="s">
        <v>58</v>
      </c>
      <c r="H264" s="31" t="s">
        <v>173</v>
      </c>
      <c r="I264" s="32" t="str">
        <f aca="false">INDEX(Productos!$B$2:$B$13,MATCH($H264,Productos!$A$2:$A$13,0))</f>
        <v>Tornillo DIN 933 M12x70 clase 8.8</v>
      </c>
      <c r="J264" s="32" t="str">
        <f aca="false">INDEX(Productos!$C$2:$C$13,MATCH($H264,Productos!$A$2:$A$13,0))</f>
        <v>Métrica</v>
      </c>
      <c r="K264" s="31" t="s">
        <v>246</v>
      </c>
      <c r="L264" s="46" t="n">
        <v>76</v>
      </c>
      <c r="M264" s="50" t="n">
        <f aca="false">INDEX(Productos!$F$2:$F$13,MATCH($H264,Productos!$A$2:$A$13,0))</f>
        <v>64</v>
      </c>
      <c r="N264" s="51" t="n">
        <v>0.164</v>
      </c>
      <c r="O264" s="52" t="n">
        <f aca="false">M264*(1-N264)</f>
        <v>53.504</v>
      </c>
      <c r="P264" s="21" t="n">
        <f aca="false">L264*O264</f>
        <v>4066.304</v>
      </c>
      <c r="Q264" s="50" t="n">
        <f aca="false">INDEX(Productos!$E$2:$E$13,MATCH($H264,Productos!$A$2:$A$13,0))*INDEX(Parametros!$B$26:$B$43,MATCH($C264,Parametros!$A$26:$A$43,0))</f>
        <v>34.505</v>
      </c>
      <c r="R264" s="21" t="n">
        <f aca="false">L264*Q264</f>
        <v>2622.38</v>
      </c>
      <c r="S264" s="18" t="n">
        <f aca="false">L264*INDEX(Parametros!$B$20:$B$22,MATCH($E264,Parametros!$A$20:$A$22,0))</f>
        <v>64.6</v>
      </c>
      <c r="T264" s="18" t="n">
        <f aca="false">P264*INDEX(Parametros!$B$13:$B$16,MATCH($F264,Parametros!$A$13:$A$16,0))</f>
        <v>162.65216</v>
      </c>
      <c r="U264" s="21" t="n">
        <f aca="false">P264-R264-S264-T264</f>
        <v>1216.67184</v>
      </c>
      <c r="V264" s="19" t="n">
        <f aca="false">IFERROR(U264/P264,0)</f>
        <v>0.299208283492823</v>
      </c>
      <c r="W264" s="48" t="n">
        <f aca="false">B264+INDEX(Parametros!$C$13:$C$16,MATCH($F264,Parametros!$A$13:$A$16,0))</f>
        <v>45819</v>
      </c>
      <c r="X264" s="31" t="s">
        <v>67</v>
      </c>
      <c r="Y264" s="53" t="n">
        <f aca="false">IF(COUNTIF($A$2:$A264,A264)=1,1,0)</f>
        <v>1</v>
      </c>
    </row>
    <row r="265" customFormat="false" ht="15" hidden="false" customHeight="false" outlineLevel="0" collapsed="false">
      <c r="A265" s="31" t="s">
        <v>385</v>
      </c>
      <c r="B265" s="36" t="n">
        <v>45744</v>
      </c>
      <c r="C265" s="49" t="n">
        <f aca="false">DATE(YEAR(B265),MONTH(B265),1)</f>
        <v>45717</v>
      </c>
      <c r="D265" s="31" t="s">
        <v>197</v>
      </c>
      <c r="E265" s="31" t="s">
        <v>41</v>
      </c>
      <c r="F265" s="31" t="s">
        <v>46</v>
      </c>
      <c r="G265" s="31" t="s">
        <v>58</v>
      </c>
      <c r="H265" s="31" t="s">
        <v>169</v>
      </c>
      <c r="I265" s="32" t="str">
        <f aca="false">INDEX(Productos!$B$2:$B$13,MATCH($H265,Productos!$A$2:$A$13,0))</f>
        <v>Tornillo DIN 912 M10x60 Allen inox A2</v>
      </c>
      <c r="J265" s="32" t="str">
        <f aca="false">INDEX(Productos!$C$2:$C$13,MATCH($H265,Productos!$A$2:$A$13,0))</f>
        <v>Inoxidable</v>
      </c>
      <c r="K265" s="31" t="s">
        <v>246</v>
      </c>
      <c r="L265" s="46" t="n">
        <v>68</v>
      </c>
      <c r="M265" s="50" t="n">
        <f aca="false">INDEX(Productos!$F$2:$F$13,MATCH($H265,Productos!$A$2:$A$13,0))</f>
        <v>79</v>
      </c>
      <c r="N265" s="51" t="n">
        <v>0.157</v>
      </c>
      <c r="O265" s="52" t="n">
        <f aca="false">M265*(1-N265)</f>
        <v>66.597</v>
      </c>
      <c r="P265" s="21" t="n">
        <f aca="false">L265*O265</f>
        <v>4528.596</v>
      </c>
      <c r="Q265" s="50" t="n">
        <f aca="false">INDEX(Productos!$E$2:$E$13,MATCH($H265,Productos!$A$2:$A$13,0))*INDEX(Parametros!$B$26:$B$43,MATCH($C265,Parametros!$A$26:$A$43,0))</f>
        <v>43.26</v>
      </c>
      <c r="R265" s="21" t="n">
        <f aca="false">L265*Q265</f>
        <v>2941.68</v>
      </c>
      <c r="S265" s="18" t="n">
        <f aca="false">L265*INDEX(Parametros!$B$20:$B$22,MATCH($E265,Parametros!$A$20:$A$22,0))</f>
        <v>57.8</v>
      </c>
      <c r="T265" s="18" t="n">
        <f aca="false">P265*INDEX(Parametros!$B$13:$B$16,MATCH($F265,Parametros!$A$13:$A$16,0))</f>
        <v>181.14384</v>
      </c>
      <c r="U265" s="21" t="n">
        <f aca="false">P265-R265-S265-T265</f>
        <v>1347.97216</v>
      </c>
      <c r="V265" s="19" t="n">
        <f aca="false">IFERROR(U265/P265,0)</f>
        <v>0.297657852455816</v>
      </c>
      <c r="W265" s="48" t="n">
        <f aca="false">B265+INDEX(Parametros!$C$13:$C$16,MATCH($F265,Parametros!$A$13:$A$16,0))</f>
        <v>45819</v>
      </c>
      <c r="X265" s="31" t="s">
        <v>67</v>
      </c>
      <c r="Y265" s="53" t="n">
        <f aca="false">IF(COUNTIF($A$2:$A265,A265)=1,1,0)</f>
        <v>0</v>
      </c>
    </row>
    <row r="266" customFormat="false" ht="15" hidden="false" customHeight="false" outlineLevel="0" collapsed="false">
      <c r="A266" s="31" t="s">
        <v>385</v>
      </c>
      <c r="B266" s="36" t="n">
        <v>45744</v>
      </c>
      <c r="C266" s="49" t="n">
        <f aca="false">DATE(YEAR(B266),MONTH(B266),1)</f>
        <v>45717</v>
      </c>
      <c r="D266" s="31" t="s">
        <v>197</v>
      </c>
      <c r="E266" s="31" t="s">
        <v>41</v>
      </c>
      <c r="F266" s="31" t="s">
        <v>46</v>
      </c>
      <c r="G266" s="31" t="s">
        <v>58</v>
      </c>
      <c r="H266" s="31" t="s">
        <v>167</v>
      </c>
      <c r="I266" s="32" t="str">
        <f aca="false">INDEX(Productos!$B$2:$B$13,MATCH($H266,Productos!$A$2:$A$13,0))</f>
        <v>Tornillo DIN 912 M6x25 Allen zincado</v>
      </c>
      <c r="J266" s="32" t="str">
        <f aca="false">INDEX(Productos!$C$2:$C$13,MATCH($H266,Productos!$A$2:$A$13,0))</f>
        <v>Métrica</v>
      </c>
      <c r="K266" s="31" t="s">
        <v>246</v>
      </c>
      <c r="L266" s="46" t="n">
        <v>43</v>
      </c>
      <c r="M266" s="50" t="n">
        <f aca="false">INDEX(Productos!$F$2:$F$13,MATCH($H266,Productos!$A$2:$A$13,0))</f>
        <v>42</v>
      </c>
      <c r="N266" s="51" t="n">
        <v>0.134</v>
      </c>
      <c r="O266" s="52" t="n">
        <f aca="false">M266*(1-N266)</f>
        <v>36.372</v>
      </c>
      <c r="P266" s="21" t="n">
        <f aca="false">L266*O266</f>
        <v>1563.996</v>
      </c>
      <c r="Q266" s="50" t="n">
        <f aca="false">INDEX(Productos!$E$2:$E$13,MATCH($H266,Productos!$A$2:$A$13,0))*INDEX(Parametros!$B$26:$B$43,MATCH($C266,Parametros!$A$26:$A$43,0))</f>
        <v>22.454</v>
      </c>
      <c r="R266" s="21" t="n">
        <f aca="false">L266*Q266</f>
        <v>965.522</v>
      </c>
      <c r="S266" s="18" t="n">
        <f aca="false">L266*INDEX(Parametros!$B$20:$B$22,MATCH($E266,Parametros!$A$20:$A$22,0))</f>
        <v>36.55</v>
      </c>
      <c r="T266" s="18" t="n">
        <f aca="false">P266*INDEX(Parametros!$B$13:$B$16,MATCH($F266,Parametros!$A$13:$A$16,0))</f>
        <v>62.55984</v>
      </c>
      <c r="U266" s="21" t="n">
        <f aca="false">P266-R266-S266-T266</f>
        <v>499.36416</v>
      </c>
      <c r="V266" s="19" t="n">
        <f aca="false">IFERROR(U266/P266,0)</f>
        <v>0.319287363906302</v>
      </c>
      <c r="W266" s="48" t="n">
        <f aca="false">B266+INDEX(Parametros!$C$13:$C$16,MATCH($F266,Parametros!$A$13:$A$16,0))</f>
        <v>45819</v>
      </c>
      <c r="X266" s="31" t="s">
        <v>67</v>
      </c>
      <c r="Y266" s="53" t="n">
        <f aca="false">IF(COUNTIF($A$2:$A266,A266)=1,1,0)</f>
        <v>0</v>
      </c>
    </row>
    <row r="267" customFormat="false" ht="15" hidden="false" customHeight="false" outlineLevel="0" collapsed="false">
      <c r="A267" s="31" t="s">
        <v>386</v>
      </c>
      <c r="B267" s="36" t="n">
        <v>45748</v>
      </c>
      <c r="C267" s="49" t="n">
        <f aca="false">DATE(YEAR(B267),MONTH(B267),1)</f>
        <v>45748</v>
      </c>
      <c r="D267" s="31" t="s">
        <v>196</v>
      </c>
      <c r="E267" s="31" t="s">
        <v>41</v>
      </c>
      <c r="F267" s="31" t="s">
        <v>47</v>
      </c>
      <c r="G267" s="31" t="s">
        <v>58</v>
      </c>
      <c r="H267" s="31" t="s">
        <v>177</v>
      </c>
      <c r="I267" s="32" t="str">
        <f aca="false">INDEX(Productos!$B$2:$B$13,MATCH($H267,Productos!$A$2:$A$13,0))</f>
        <v>Tirafondo madera 6x100 cabeza plana Torx</v>
      </c>
      <c r="J267" s="32" t="str">
        <f aca="false">INDEX(Productos!$C$2:$C$13,MATCH($H267,Productos!$A$2:$A$13,0))</f>
        <v>Madera</v>
      </c>
      <c r="K267" s="31" t="s">
        <v>246</v>
      </c>
      <c r="L267" s="46" t="n">
        <v>80</v>
      </c>
      <c r="M267" s="50" t="n">
        <f aca="false">INDEX(Productos!$F$2:$F$13,MATCH($H267,Productos!$A$2:$A$13,0))</f>
        <v>34</v>
      </c>
      <c r="N267" s="51" t="n">
        <v>0.096</v>
      </c>
      <c r="O267" s="52" t="n">
        <f aca="false">M267*(1-N267)</f>
        <v>30.736</v>
      </c>
      <c r="P267" s="21" t="n">
        <f aca="false">L267*O267</f>
        <v>2458.88</v>
      </c>
      <c r="Q267" s="50" t="n">
        <f aca="false">INDEX(Productos!$E$2:$E$13,MATCH($H267,Productos!$A$2:$A$13,0))*INDEX(Parametros!$B$26:$B$43,MATCH($C267,Parametros!$A$26:$A$43,0))</f>
        <v>18.0492</v>
      </c>
      <c r="R267" s="21" t="n">
        <f aca="false">L267*Q267</f>
        <v>1443.936</v>
      </c>
      <c r="S267" s="18" t="n">
        <f aca="false">L267*INDEX(Parametros!$B$20:$B$22,MATCH($E267,Parametros!$A$20:$A$22,0))</f>
        <v>68</v>
      </c>
      <c r="T267" s="18" t="n">
        <f aca="false">P267*INDEX(Parametros!$B$13:$B$16,MATCH($F267,Parametros!$A$13:$A$16,0))</f>
        <v>86.0608</v>
      </c>
      <c r="U267" s="21" t="n">
        <f aca="false">P267-R267-S267-T267</f>
        <v>860.8832</v>
      </c>
      <c r="V267" s="19" t="n">
        <f aca="false">IFERROR(U267/P267,0)</f>
        <v>0.350111920874545</v>
      </c>
      <c r="W267" s="48" t="n">
        <f aca="false">B267+INDEX(Parametros!$C$13:$C$16,MATCH($F267,Parametros!$A$13:$A$16,0))</f>
        <v>45793</v>
      </c>
      <c r="X267" s="31" t="s">
        <v>67</v>
      </c>
      <c r="Y267" s="53" t="n">
        <f aca="false">IF(COUNTIF($A$2:$A267,A267)=1,1,0)</f>
        <v>1</v>
      </c>
    </row>
    <row r="268" customFormat="false" ht="15" hidden="false" customHeight="false" outlineLevel="0" collapsed="false">
      <c r="A268" s="31" t="s">
        <v>386</v>
      </c>
      <c r="B268" s="36" t="n">
        <v>45748</v>
      </c>
      <c r="C268" s="49" t="n">
        <f aca="false">DATE(YEAR(B268),MONTH(B268),1)</f>
        <v>45748</v>
      </c>
      <c r="D268" s="31" t="s">
        <v>196</v>
      </c>
      <c r="E268" s="31" t="s">
        <v>41</v>
      </c>
      <c r="F268" s="31" t="s">
        <v>47</v>
      </c>
      <c r="G268" s="31" t="s">
        <v>58</v>
      </c>
      <c r="H268" s="31" t="s">
        <v>165</v>
      </c>
      <c r="I268" s="32" t="str">
        <f aca="false">INDEX(Productos!$B$2:$B$13,MATCH($H268,Productos!$A$2:$A$13,0))</f>
        <v>Tornillo DIN 933 M8x40 rosca completa zincado</v>
      </c>
      <c r="J268" s="32" t="str">
        <f aca="false">INDEX(Productos!$C$2:$C$13,MATCH($H268,Productos!$A$2:$A$13,0))</f>
        <v>Métrica</v>
      </c>
      <c r="K268" s="31" t="s">
        <v>246</v>
      </c>
      <c r="L268" s="46" t="n">
        <v>66</v>
      </c>
      <c r="M268" s="50" t="n">
        <f aca="false">INDEX(Productos!$F$2:$F$13,MATCH($H268,Productos!$A$2:$A$13,0))</f>
        <v>37.5</v>
      </c>
      <c r="N268" s="51" t="n">
        <v>0.099</v>
      </c>
      <c r="O268" s="52" t="n">
        <f aca="false">M268*(1-N268)</f>
        <v>33.7875</v>
      </c>
      <c r="P268" s="21" t="n">
        <f aca="false">L268*O268</f>
        <v>2229.975</v>
      </c>
      <c r="Q268" s="50" t="n">
        <f aca="false">INDEX(Productos!$E$2:$E$13,MATCH($H268,Productos!$A$2:$A$13,0))*INDEX(Parametros!$B$26:$B$43,MATCH($C268,Parametros!$A$26:$A$43,0))</f>
        <v>19.6716</v>
      </c>
      <c r="R268" s="21" t="n">
        <f aca="false">L268*Q268</f>
        <v>1298.3256</v>
      </c>
      <c r="S268" s="18" t="n">
        <f aca="false">L268*INDEX(Parametros!$B$20:$B$22,MATCH($E268,Parametros!$A$20:$A$22,0))</f>
        <v>56.1</v>
      </c>
      <c r="T268" s="18" t="n">
        <f aca="false">P268*INDEX(Parametros!$B$13:$B$16,MATCH($F268,Parametros!$A$13:$A$16,0))</f>
        <v>78.049125</v>
      </c>
      <c r="U268" s="21" t="n">
        <f aca="false">P268-R268-S268-T268</f>
        <v>797.500275</v>
      </c>
      <c r="V268" s="19" t="n">
        <f aca="false">IFERROR(U268/P268,0)</f>
        <v>0.357627450980392</v>
      </c>
      <c r="W268" s="48" t="n">
        <f aca="false">B268+INDEX(Parametros!$C$13:$C$16,MATCH($F268,Parametros!$A$13:$A$16,0))</f>
        <v>45793</v>
      </c>
      <c r="X268" s="31" t="s">
        <v>67</v>
      </c>
      <c r="Y268" s="53" t="n">
        <f aca="false">IF(COUNTIF($A$2:$A268,A268)=1,1,0)</f>
        <v>0</v>
      </c>
    </row>
    <row r="269" customFormat="false" ht="15" hidden="false" customHeight="false" outlineLevel="0" collapsed="false">
      <c r="A269" s="31" t="s">
        <v>387</v>
      </c>
      <c r="B269" s="36" t="n">
        <v>45749</v>
      </c>
      <c r="C269" s="49" t="n">
        <f aca="false">DATE(YEAR(B269),MONTH(B269),1)</f>
        <v>45748</v>
      </c>
      <c r="D269" s="31" t="s">
        <v>223</v>
      </c>
      <c r="E269" s="31" t="s">
        <v>43</v>
      </c>
      <c r="F269" s="31" t="s">
        <v>46</v>
      </c>
      <c r="G269" s="31" t="s">
        <v>59</v>
      </c>
      <c r="H269" s="31" t="s">
        <v>177</v>
      </c>
      <c r="I269" s="32" t="str">
        <f aca="false">INDEX(Productos!$B$2:$B$13,MATCH($H269,Productos!$A$2:$A$13,0))</f>
        <v>Tirafondo madera 6x100 cabeza plana Torx</v>
      </c>
      <c r="J269" s="32" t="str">
        <f aca="false">INDEX(Productos!$C$2:$C$13,MATCH($H269,Productos!$A$2:$A$13,0))</f>
        <v>Madera</v>
      </c>
      <c r="K269" s="31" t="s">
        <v>246</v>
      </c>
      <c r="L269" s="46" t="n">
        <v>84</v>
      </c>
      <c r="M269" s="50" t="n">
        <f aca="false">INDEX(Productos!$F$2:$F$13,MATCH($H269,Productos!$A$2:$A$13,0))</f>
        <v>34</v>
      </c>
      <c r="N269" s="51" t="n">
        <v>0.153</v>
      </c>
      <c r="O269" s="52" t="n">
        <f aca="false">M269*(1-N269)</f>
        <v>28.798</v>
      </c>
      <c r="P269" s="21" t="n">
        <f aca="false">L269*O269</f>
        <v>2419.032</v>
      </c>
      <c r="Q269" s="50" t="n">
        <f aca="false">INDEX(Productos!$E$2:$E$13,MATCH($H269,Productos!$A$2:$A$13,0))*INDEX(Parametros!$B$26:$B$43,MATCH($C269,Parametros!$A$26:$A$43,0))</f>
        <v>18.0492</v>
      </c>
      <c r="R269" s="21" t="n">
        <f aca="false">L269*Q269</f>
        <v>1516.1328</v>
      </c>
      <c r="S269" s="18" t="n">
        <f aca="false">L269*INDEX(Parametros!$B$20:$B$22,MATCH($E269,Parametros!$A$20:$A$22,0))</f>
        <v>159.6</v>
      </c>
      <c r="T269" s="18" t="n">
        <f aca="false">P269*INDEX(Parametros!$B$13:$B$16,MATCH($F269,Parametros!$A$13:$A$16,0))</f>
        <v>96.76128</v>
      </c>
      <c r="U269" s="21" t="n">
        <f aca="false">P269-R269-S269-T269</f>
        <v>646.537919999999</v>
      </c>
      <c r="V269" s="19" t="n">
        <f aca="false">IFERROR(U269/P269,0)</f>
        <v>0.267271338287381</v>
      </c>
      <c r="W269" s="48" t="n">
        <f aca="false">B269+INDEX(Parametros!$C$13:$C$16,MATCH($F269,Parametros!$A$13:$A$16,0))</f>
        <v>45824</v>
      </c>
      <c r="X269" s="31" t="s">
        <v>67</v>
      </c>
      <c r="Y269" s="53" t="n">
        <f aca="false">IF(COUNTIF($A$2:$A269,A269)=1,1,0)</f>
        <v>1</v>
      </c>
    </row>
    <row r="270" customFormat="false" ht="15" hidden="false" customHeight="false" outlineLevel="0" collapsed="false">
      <c r="A270" s="31" t="s">
        <v>387</v>
      </c>
      <c r="B270" s="36" t="n">
        <v>45749</v>
      </c>
      <c r="C270" s="49" t="n">
        <f aca="false">DATE(YEAR(B270),MONTH(B270),1)</f>
        <v>45748</v>
      </c>
      <c r="D270" s="31" t="s">
        <v>223</v>
      </c>
      <c r="E270" s="31" t="s">
        <v>43</v>
      </c>
      <c r="F270" s="31" t="s">
        <v>46</v>
      </c>
      <c r="G270" s="31" t="s">
        <v>59</v>
      </c>
      <c r="H270" s="31" t="s">
        <v>179</v>
      </c>
      <c r="I270" s="32" t="str">
        <f aca="false">INDEX(Productos!$B$2:$B$13,MATCH($H270,Productos!$A$2:$A$13,0))</f>
        <v>Autotaladrante DIN 7504 4,8x38 zincado</v>
      </c>
      <c r="J270" s="32" t="str">
        <f aca="false">INDEX(Productos!$C$2:$C$13,MATCH($H270,Productos!$A$2:$A$13,0))</f>
        <v>Autotaladrante</v>
      </c>
      <c r="K270" s="31" t="s">
        <v>246</v>
      </c>
      <c r="L270" s="46" t="n">
        <v>137</v>
      </c>
      <c r="M270" s="50" t="n">
        <f aca="false">INDEX(Productos!$F$2:$F$13,MATCH($H270,Productos!$A$2:$A$13,0))</f>
        <v>29.5</v>
      </c>
      <c r="N270" s="51" t="n">
        <v>0.083</v>
      </c>
      <c r="O270" s="52" t="n">
        <f aca="false">M270*(1-N270)</f>
        <v>27.0515</v>
      </c>
      <c r="P270" s="21" t="n">
        <f aca="false">L270*O270</f>
        <v>3706.0555</v>
      </c>
      <c r="Q270" s="50" t="n">
        <f aca="false">INDEX(Productos!$E$2:$E$13,MATCH($H270,Productos!$A$2:$A$13,0))*INDEX(Parametros!$B$26:$B$43,MATCH($C270,Parametros!$A$26:$A$43,0))</f>
        <v>15.4128</v>
      </c>
      <c r="R270" s="21" t="n">
        <f aca="false">L270*Q270</f>
        <v>2111.5536</v>
      </c>
      <c r="S270" s="18" t="n">
        <f aca="false">L270*INDEX(Parametros!$B$20:$B$22,MATCH($E270,Parametros!$A$20:$A$22,0))</f>
        <v>260.3</v>
      </c>
      <c r="T270" s="18" t="n">
        <f aca="false">P270*INDEX(Parametros!$B$13:$B$16,MATCH($F270,Parametros!$A$13:$A$16,0))</f>
        <v>148.24222</v>
      </c>
      <c r="U270" s="21" t="n">
        <f aca="false">P270-R270-S270-T270</f>
        <v>1185.95968</v>
      </c>
      <c r="V270" s="19" t="n">
        <f aca="false">IFERROR(U270/P270,0)</f>
        <v>0.32000591464429</v>
      </c>
      <c r="W270" s="48" t="n">
        <f aca="false">B270+INDEX(Parametros!$C$13:$C$16,MATCH($F270,Parametros!$A$13:$A$16,0))</f>
        <v>45824</v>
      </c>
      <c r="X270" s="31" t="s">
        <v>67</v>
      </c>
      <c r="Y270" s="53" t="n">
        <f aca="false">IF(COUNTIF($A$2:$A270,A270)=1,1,0)</f>
        <v>0</v>
      </c>
    </row>
    <row r="271" customFormat="false" ht="15" hidden="false" customHeight="false" outlineLevel="0" collapsed="false">
      <c r="A271" s="31" t="s">
        <v>388</v>
      </c>
      <c r="B271" s="36" t="n">
        <v>45749</v>
      </c>
      <c r="C271" s="49" t="n">
        <f aca="false">DATE(YEAR(B271),MONTH(B271),1)</f>
        <v>45748</v>
      </c>
      <c r="D271" s="31" t="s">
        <v>215</v>
      </c>
      <c r="E271" s="31" t="s">
        <v>42</v>
      </c>
      <c r="F271" s="31" t="s">
        <v>46</v>
      </c>
      <c r="G271" s="31" t="s">
        <v>61</v>
      </c>
      <c r="H271" s="31" t="s">
        <v>169</v>
      </c>
      <c r="I271" s="32" t="str">
        <f aca="false">INDEX(Productos!$B$2:$B$13,MATCH($H271,Productos!$A$2:$A$13,0))</f>
        <v>Tornillo DIN 912 M10x60 Allen inox A2</v>
      </c>
      <c r="J271" s="32" t="str">
        <f aca="false">INDEX(Productos!$C$2:$C$13,MATCH($H271,Productos!$A$2:$A$13,0))</f>
        <v>Inoxidable</v>
      </c>
      <c r="K271" s="31" t="s">
        <v>246</v>
      </c>
      <c r="L271" s="46" t="n">
        <v>28</v>
      </c>
      <c r="M271" s="50" t="n">
        <f aca="false">INDEX(Productos!$F$2:$F$13,MATCH($H271,Productos!$A$2:$A$13,0))</f>
        <v>79</v>
      </c>
      <c r="N271" s="51" t="n">
        <v>0.163</v>
      </c>
      <c r="O271" s="52" t="n">
        <f aca="false">M271*(1-N271)</f>
        <v>66.123</v>
      </c>
      <c r="P271" s="21" t="n">
        <f aca="false">L271*O271</f>
        <v>1851.444</v>
      </c>
      <c r="Q271" s="50" t="n">
        <f aca="false">INDEX(Productos!$E$2:$E$13,MATCH($H271,Productos!$A$2:$A$13,0))*INDEX(Parametros!$B$26:$B$43,MATCH($C271,Parametros!$A$26:$A$43,0))</f>
        <v>42.588</v>
      </c>
      <c r="R271" s="21" t="n">
        <f aca="false">L271*Q271</f>
        <v>1192.464</v>
      </c>
      <c r="S271" s="18" t="n">
        <f aca="false">L271*INDEX(Parametros!$B$20:$B$22,MATCH($E271,Parametros!$A$20:$A$22,0))</f>
        <v>67.2</v>
      </c>
      <c r="T271" s="18" t="n">
        <f aca="false">P271*INDEX(Parametros!$B$13:$B$16,MATCH($F271,Parametros!$A$13:$A$16,0))</f>
        <v>74.05776</v>
      </c>
      <c r="U271" s="21" t="n">
        <f aca="false">P271-R271-S271-T271</f>
        <v>517.72224</v>
      </c>
      <c r="V271" s="19" t="n">
        <f aca="false">IFERROR(U271/P271,0)</f>
        <v>0.279631595662629</v>
      </c>
      <c r="W271" s="48" t="n">
        <f aca="false">B271+INDEX(Parametros!$C$13:$C$16,MATCH($F271,Parametros!$A$13:$A$16,0))</f>
        <v>45824</v>
      </c>
      <c r="X271" s="31" t="s">
        <v>67</v>
      </c>
      <c r="Y271" s="53" t="n">
        <f aca="false">IF(COUNTIF($A$2:$A271,A271)=1,1,0)</f>
        <v>1</v>
      </c>
    </row>
    <row r="272" customFormat="false" ht="15" hidden="false" customHeight="false" outlineLevel="0" collapsed="false">
      <c r="A272" s="31" t="s">
        <v>389</v>
      </c>
      <c r="B272" s="36" t="n">
        <v>45749</v>
      </c>
      <c r="C272" s="49" t="n">
        <f aca="false">DATE(YEAR(B272),MONTH(B272),1)</f>
        <v>45748</v>
      </c>
      <c r="D272" s="31" t="s">
        <v>225</v>
      </c>
      <c r="E272" s="31" t="s">
        <v>43</v>
      </c>
      <c r="F272" s="31" t="s">
        <v>47</v>
      </c>
      <c r="G272" s="31" t="s">
        <v>59</v>
      </c>
      <c r="H272" s="31" t="s">
        <v>169</v>
      </c>
      <c r="I272" s="32" t="str">
        <f aca="false">INDEX(Productos!$B$2:$B$13,MATCH($H272,Productos!$A$2:$A$13,0))</f>
        <v>Tornillo DIN 912 M10x60 Allen inox A2</v>
      </c>
      <c r="J272" s="32" t="str">
        <f aca="false">INDEX(Productos!$C$2:$C$13,MATCH($H272,Productos!$A$2:$A$13,0))</f>
        <v>Inoxidable</v>
      </c>
      <c r="K272" s="31" t="s">
        <v>246</v>
      </c>
      <c r="L272" s="46" t="n">
        <v>46</v>
      </c>
      <c r="M272" s="50" t="n">
        <f aca="false">INDEX(Productos!$F$2:$F$13,MATCH($H272,Productos!$A$2:$A$13,0))</f>
        <v>79</v>
      </c>
      <c r="N272" s="51" t="n">
        <v>0.036</v>
      </c>
      <c r="O272" s="52" t="n">
        <f aca="false">M272*(1-N272)</f>
        <v>76.156</v>
      </c>
      <c r="P272" s="21" t="n">
        <f aca="false">L272*O272</f>
        <v>3503.176</v>
      </c>
      <c r="Q272" s="50" t="n">
        <f aca="false">INDEX(Productos!$E$2:$E$13,MATCH($H272,Productos!$A$2:$A$13,0))*INDEX(Parametros!$B$26:$B$43,MATCH($C272,Parametros!$A$26:$A$43,0))</f>
        <v>42.588</v>
      </c>
      <c r="R272" s="21" t="n">
        <f aca="false">L272*Q272</f>
        <v>1959.048</v>
      </c>
      <c r="S272" s="18" t="n">
        <f aca="false">L272*INDEX(Parametros!$B$20:$B$22,MATCH($E272,Parametros!$A$20:$A$22,0))</f>
        <v>87.4</v>
      </c>
      <c r="T272" s="18" t="n">
        <f aca="false">P272*INDEX(Parametros!$B$13:$B$16,MATCH($F272,Parametros!$A$13:$A$16,0))</f>
        <v>122.61116</v>
      </c>
      <c r="U272" s="21" t="n">
        <f aca="false">P272-R272-S272-T272</f>
        <v>1334.11684</v>
      </c>
      <c r="V272" s="19" t="n">
        <f aca="false">IFERROR(U272/P272,0)</f>
        <v>0.380830663375177</v>
      </c>
      <c r="W272" s="48" t="n">
        <f aca="false">B272+INDEX(Parametros!$C$13:$C$16,MATCH($F272,Parametros!$A$13:$A$16,0))</f>
        <v>45794</v>
      </c>
      <c r="X272" s="31" t="s">
        <v>67</v>
      </c>
      <c r="Y272" s="53" t="n">
        <f aca="false">IF(COUNTIF($A$2:$A272,A272)=1,1,0)</f>
        <v>1</v>
      </c>
    </row>
    <row r="273" customFormat="false" ht="15" hidden="false" customHeight="false" outlineLevel="0" collapsed="false">
      <c r="A273" s="31" t="s">
        <v>390</v>
      </c>
      <c r="B273" s="36" t="n">
        <v>45750</v>
      </c>
      <c r="C273" s="49" t="n">
        <f aca="false">DATE(YEAR(B273),MONTH(B273),1)</f>
        <v>45748</v>
      </c>
      <c r="D273" s="31" t="s">
        <v>224</v>
      </c>
      <c r="E273" s="31" t="s">
        <v>43</v>
      </c>
      <c r="F273" s="31" t="s">
        <v>45</v>
      </c>
      <c r="G273" s="31" t="s">
        <v>59</v>
      </c>
      <c r="H273" s="31" t="s">
        <v>173</v>
      </c>
      <c r="I273" s="32" t="str">
        <f aca="false">INDEX(Productos!$B$2:$B$13,MATCH($H273,Productos!$A$2:$A$13,0))</f>
        <v>Tornillo DIN 933 M12x70 clase 8.8</v>
      </c>
      <c r="J273" s="32" t="str">
        <f aca="false">INDEX(Productos!$C$2:$C$13,MATCH($H273,Productos!$A$2:$A$13,0))</f>
        <v>Métrica</v>
      </c>
      <c r="K273" s="31" t="s">
        <v>246</v>
      </c>
      <c r="L273" s="46" t="n">
        <v>134</v>
      </c>
      <c r="M273" s="50" t="n">
        <f aca="false">INDEX(Productos!$F$2:$F$13,MATCH($H273,Productos!$A$2:$A$13,0))</f>
        <v>64</v>
      </c>
      <c r="N273" s="51" t="n">
        <v>0.177</v>
      </c>
      <c r="O273" s="52" t="n">
        <f aca="false">M273*(1-N273)</f>
        <v>52.672</v>
      </c>
      <c r="P273" s="21" t="n">
        <f aca="false">L273*O273</f>
        <v>7058.048</v>
      </c>
      <c r="Q273" s="50" t="n">
        <f aca="false">INDEX(Productos!$E$2:$E$13,MATCH($H273,Productos!$A$2:$A$13,0))*INDEX(Parametros!$B$26:$B$43,MATCH($C273,Parametros!$A$26:$A$43,0))</f>
        <v>33.969</v>
      </c>
      <c r="R273" s="21" t="n">
        <f aca="false">L273*Q273</f>
        <v>4551.846</v>
      </c>
      <c r="S273" s="18" t="n">
        <f aca="false">L273*INDEX(Parametros!$B$20:$B$22,MATCH($E273,Parametros!$A$20:$A$22,0))</f>
        <v>254.6</v>
      </c>
      <c r="T273" s="18" t="n">
        <f aca="false">P273*INDEX(Parametros!$B$13:$B$16,MATCH($F273,Parametros!$A$13:$A$16,0))</f>
        <v>211.74144</v>
      </c>
      <c r="U273" s="21" t="n">
        <f aca="false">P273-R273-S273-T273</f>
        <v>2039.86056</v>
      </c>
      <c r="V273" s="19" t="n">
        <f aca="false">IFERROR(U273/P273,0)</f>
        <v>0.289011998784933</v>
      </c>
      <c r="W273" s="48" t="n">
        <f aca="false">B273+INDEX(Parametros!$C$13:$C$16,MATCH($F273,Parametros!$A$13:$A$16,0))</f>
        <v>45810</v>
      </c>
      <c r="X273" s="31" t="s">
        <v>67</v>
      </c>
      <c r="Y273" s="53" t="n">
        <f aca="false">IF(COUNTIF($A$2:$A273,A273)=1,1,0)</f>
        <v>1</v>
      </c>
    </row>
    <row r="274" customFormat="false" ht="15" hidden="false" customHeight="false" outlineLevel="0" collapsed="false">
      <c r="A274" s="31" t="s">
        <v>391</v>
      </c>
      <c r="B274" s="36" t="n">
        <v>45750</v>
      </c>
      <c r="C274" s="49" t="n">
        <f aca="false">DATE(YEAR(B274),MONTH(B274),1)</f>
        <v>45748</v>
      </c>
      <c r="D274" s="31" t="s">
        <v>212</v>
      </c>
      <c r="E274" s="31" t="s">
        <v>42</v>
      </c>
      <c r="F274" s="31" t="s">
        <v>45</v>
      </c>
      <c r="G274" s="31" t="s">
        <v>61</v>
      </c>
      <c r="H274" s="31" t="s">
        <v>167</v>
      </c>
      <c r="I274" s="32" t="str">
        <f aca="false">INDEX(Productos!$B$2:$B$13,MATCH($H274,Productos!$A$2:$A$13,0))</f>
        <v>Tornillo DIN 912 M6x25 Allen zincado</v>
      </c>
      <c r="J274" s="32" t="str">
        <f aca="false">INDEX(Productos!$C$2:$C$13,MATCH($H274,Productos!$A$2:$A$13,0))</f>
        <v>Métrica</v>
      </c>
      <c r="K274" s="31" t="s">
        <v>246</v>
      </c>
      <c r="L274" s="46" t="n">
        <v>54</v>
      </c>
      <c r="M274" s="50" t="n">
        <f aca="false">INDEX(Productos!$F$2:$F$13,MATCH($H274,Productos!$A$2:$A$13,0))</f>
        <v>42</v>
      </c>
      <c r="N274" s="51" t="n">
        <v>0.201</v>
      </c>
      <c r="O274" s="52" t="n">
        <f aca="false">M274*(1-N274)</f>
        <v>33.558</v>
      </c>
      <c r="P274" s="21" t="n">
        <f aca="false">L274*O274</f>
        <v>1812.132</v>
      </c>
      <c r="Q274" s="50" t="n">
        <f aca="false">INDEX(Productos!$E$2:$E$13,MATCH($H274,Productos!$A$2:$A$13,0))*INDEX(Parametros!$B$26:$B$43,MATCH($C274,Parametros!$A$26:$A$43,0))</f>
        <v>22.1052</v>
      </c>
      <c r="R274" s="21" t="n">
        <f aca="false">L274*Q274</f>
        <v>1193.6808</v>
      </c>
      <c r="S274" s="18" t="n">
        <f aca="false">L274*INDEX(Parametros!$B$20:$B$22,MATCH($E274,Parametros!$A$20:$A$22,0))</f>
        <v>129.6</v>
      </c>
      <c r="T274" s="18" t="n">
        <f aca="false">P274*INDEX(Parametros!$B$13:$B$16,MATCH($F274,Parametros!$A$13:$A$16,0))</f>
        <v>54.36396</v>
      </c>
      <c r="U274" s="21" t="n">
        <f aca="false">P274-R274-S274-T274</f>
        <v>434.48724</v>
      </c>
      <c r="V274" s="19" t="n">
        <f aca="false">IFERROR(U274/P274,0)</f>
        <v>0.239765778651886</v>
      </c>
      <c r="W274" s="48" t="n">
        <f aca="false">B274+INDEX(Parametros!$C$13:$C$16,MATCH($F274,Parametros!$A$13:$A$16,0))</f>
        <v>45810</v>
      </c>
      <c r="X274" s="31" t="s">
        <v>67</v>
      </c>
      <c r="Y274" s="53" t="n">
        <f aca="false">IF(COUNTIF($A$2:$A274,A274)=1,1,0)</f>
        <v>1</v>
      </c>
    </row>
    <row r="275" customFormat="false" ht="15" hidden="false" customHeight="false" outlineLevel="0" collapsed="false">
      <c r="A275" s="31" t="s">
        <v>391</v>
      </c>
      <c r="B275" s="36" t="n">
        <v>45750</v>
      </c>
      <c r="C275" s="49" t="n">
        <f aca="false">DATE(YEAR(B275),MONTH(B275),1)</f>
        <v>45748</v>
      </c>
      <c r="D275" s="31" t="s">
        <v>212</v>
      </c>
      <c r="E275" s="31" t="s">
        <v>42</v>
      </c>
      <c r="F275" s="31" t="s">
        <v>45</v>
      </c>
      <c r="G275" s="31" t="s">
        <v>61</v>
      </c>
      <c r="H275" s="31" t="s">
        <v>175</v>
      </c>
      <c r="I275" s="32" t="str">
        <f aca="false">INDEX(Productos!$B$2:$B$13,MATCH($H275,Productos!$A$2:$A$13,0))</f>
        <v>Tirafondo madera 5x60 cabeza plana Torx</v>
      </c>
      <c r="J275" s="32" t="str">
        <f aca="false">INDEX(Productos!$C$2:$C$13,MATCH($H275,Productos!$A$2:$A$13,0))</f>
        <v>Madera</v>
      </c>
      <c r="K275" s="31" t="s">
        <v>246</v>
      </c>
      <c r="L275" s="46" t="n">
        <v>268</v>
      </c>
      <c r="M275" s="50" t="n">
        <f aca="false">INDEX(Productos!$F$2:$F$13,MATCH($H275,Productos!$A$2:$A$13,0))</f>
        <v>26</v>
      </c>
      <c r="N275" s="51" t="n">
        <v>0.159</v>
      </c>
      <c r="O275" s="52" t="n">
        <f aca="false">M275*(1-N275)</f>
        <v>21.866</v>
      </c>
      <c r="P275" s="21" t="n">
        <f aca="false">L275*O275</f>
        <v>5860.088</v>
      </c>
      <c r="Q275" s="50" t="n">
        <f aca="false">INDEX(Productos!$E$2:$E$13,MATCH($H275,Productos!$A$2:$A$13,0))*INDEX(Parametros!$B$26:$B$43,MATCH($C275,Parametros!$A$26:$A$43,0))</f>
        <v>13.5876</v>
      </c>
      <c r="R275" s="21" t="n">
        <f aca="false">L275*Q275</f>
        <v>3641.4768</v>
      </c>
      <c r="S275" s="18" t="n">
        <f aca="false">L275*INDEX(Parametros!$B$20:$B$22,MATCH($E275,Parametros!$A$20:$A$22,0))</f>
        <v>643.2</v>
      </c>
      <c r="T275" s="18" t="n">
        <f aca="false">P275*INDEX(Parametros!$B$13:$B$16,MATCH($F275,Parametros!$A$13:$A$16,0))</f>
        <v>175.80264</v>
      </c>
      <c r="U275" s="21" t="n">
        <f aca="false">P275-R275-S275-T275</f>
        <v>1399.60856</v>
      </c>
      <c r="V275" s="19" t="n">
        <f aca="false">IFERROR(U275/P275,0)</f>
        <v>0.238837464556846</v>
      </c>
      <c r="W275" s="48" t="n">
        <f aca="false">B275+INDEX(Parametros!$C$13:$C$16,MATCH($F275,Parametros!$A$13:$A$16,0))</f>
        <v>45810</v>
      </c>
      <c r="X275" s="31" t="s">
        <v>67</v>
      </c>
      <c r="Y275" s="53" t="n">
        <f aca="false">IF(COUNTIF($A$2:$A275,A275)=1,1,0)</f>
        <v>0</v>
      </c>
    </row>
    <row r="276" customFormat="false" ht="15" hidden="false" customHeight="false" outlineLevel="0" collapsed="false">
      <c r="A276" s="31" t="s">
        <v>392</v>
      </c>
      <c r="B276" s="36" t="n">
        <v>45750</v>
      </c>
      <c r="C276" s="49" t="n">
        <f aca="false">DATE(YEAR(B276),MONTH(B276),1)</f>
        <v>45748</v>
      </c>
      <c r="D276" s="31" t="s">
        <v>213</v>
      </c>
      <c r="E276" s="31" t="s">
        <v>42</v>
      </c>
      <c r="F276" s="31" t="s">
        <v>46</v>
      </c>
      <c r="G276" s="31" t="s">
        <v>61</v>
      </c>
      <c r="H276" s="31" t="s">
        <v>179</v>
      </c>
      <c r="I276" s="32" t="str">
        <f aca="false">INDEX(Productos!$B$2:$B$13,MATCH($H276,Productos!$A$2:$A$13,0))</f>
        <v>Autotaladrante DIN 7504 4,8x38 zincado</v>
      </c>
      <c r="J276" s="32" t="str">
        <f aca="false">INDEX(Productos!$C$2:$C$13,MATCH($H276,Productos!$A$2:$A$13,0))</f>
        <v>Autotaladrante</v>
      </c>
      <c r="K276" s="31" t="s">
        <v>275</v>
      </c>
      <c r="L276" s="46" t="n">
        <v>-7</v>
      </c>
      <c r="M276" s="50" t="n">
        <f aca="false">INDEX(Productos!$F$2:$F$13,MATCH($H276,Productos!$A$2:$A$13,0))</f>
        <v>29.5</v>
      </c>
      <c r="N276" s="51" t="n">
        <v>0.134</v>
      </c>
      <c r="O276" s="52" t="n">
        <f aca="false">M276*(1-N276)</f>
        <v>25.547</v>
      </c>
      <c r="P276" s="21" t="n">
        <f aca="false">L276*O276</f>
        <v>-178.829</v>
      </c>
      <c r="Q276" s="50" t="n">
        <f aca="false">INDEX(Productos!$E$2:$E$13,MATCH($H276,Productos!$A$2:$A$13,0))*INDEX(Parametros!$B$26:$B$43,MATCH($C276,Parametros!$A$26:$A$43,0))</f>
        <v>15.4128</v>
      </c>
      <c r="R276" s="21" t="n">
        <f aca="false">L276*Q276</f>
        <v>-107.8896</v>
      </c>
      <c r="S276" s="18" t="n">
        <f aca="false">L276*INDEX(Parametros!$B$20:$B$22,MATCH($E276,Parametros!$A$20:$A$22,0))</f>
        <v>-16.8</v>
      </c>
      <c r="T276" s="18" t="n">
        <f aca="false">P276*INDEX(Parametros!$B$13:$B$16,MATCH($F276,Parametros!$A$13:$A$16,0))</f>
        <v>-7.15316</v>
      </c>
      <c r="U276" s="21" t="n">
        <f aca="false">P276-R276-S276-T276</f>
        <v>-46.98624</v>
      </c>
      <c r="V276" s="19" t="n">
        <f aca="false">IFERROR(U276/P276,0)</f>
        <v>0.262743962109054</v>
      </c>
      <c r="W276" s="48" t="n">
        <f aca="false">B276+INDEX(Parametros!$C$13:$C$16,MATCH($F276,Parametros!$A$13:$A$16,0))</f>
        <v>45825</v>
      </c>
      <c r="X276" s="31" t="s">
        <v>67</v>
      </c>
      <c r="Y276" s="53" t="n">
        <f aca="false">IF(COUNTIF($A$2:$A276,A276)=1,1,0)</f>
        <v>1</v>
      </c>
    </row>
    <row r="277" customFormat="false" ht="15" hidden="false" customHeight="false" outlineLevel="0" collapsed="false">
      <c r="A277" s="31" t="s">
        <v>393</v>
      </c>
      <c r="B277" s="36" t="n">
        <v>45754</v>
      </c>
      <c r="C277" s="49" t="n">
        <f aca="false">DATE(YEAR(B277),MONTH(B277),1)</f>
        <v>45748</v>
      </c>
      <c r="D277" s="31" t="s">
        <v>199</v>
      </c>
      <c r="E277" s="31" t="s">
        <v>41</v>
      </c>
      <c r="F277" s="31" t="s">
        <v>45</v>
      </c>
      <c r="G277" s="31" t="s">
        <v>58</v>
      </c>
      <c r="H277" s="31" t="s">
        <v>175</v>
      </c>
      <c r="I277" s="32" t="str">
        <f aca="false">INDEX(Productos!$B$2:$B$13,MATCH($H277,Productos!$A$2:$A$13,0))</f>
        <v>Tirafondo madera 5x60 cabeza plana Torx</v>
      </c>
      <c r="J277" s="32" t="str">
        <f aca="false">INDEX(Productos!$C$2:$C$13,MATCH($H277,Productos!$A$2:$A$13,0))</f>
        <v>Madera</v>
      </c>
      <c r="K277" s="31" t="s">
        <v>246</v>
      </c>
      <c r="L277" s="46" t="n">
        <v>27</v>
      </c>
      <c r="M277" s="50" t="n">
        <f aca="false">INDEX(Productos!$F$2:$F$13,MATCH($H277,Productos!$A$2:$A$13,0))</f>
        <v>26</v>
      </c>
      <c r="N277" s="51" t="n">
        <v>0.123</v>
      </c>
      <c r="O277" s="52" t="n">
        <f aca="false">M277*(1-N277)</f>
        <v>22.802</v>
      </c>
      <c r="P277" s="21" t="n">
        <f aca="false">L277*O277</f>
        <v>615.654</v>
      </c>
      <c r="Q277" s="50" t="n">
        <f aca="false">INDEX(Productos!$E$2:$E$13,MATCH($H277,Productos!$A$2:$A$13,0))*INDEX(Parametros!$B$26:$B$43,MATCH($C277,Parametros!$A$26:$A$43,0))</f>
        <v>13.5876</v>
      </c>
      <c r="R277" s="21" t="n">
        <f aca="false">L277*Q277</f>
        <v>366.8652</v>
      </c>
      <c r="S277" s="18" t="n">
        <f aca="false">L277*INDEX(Parametros!$B$20:$B$22,MATCH($E277,Parametros!$A$20:$A$22,0))</f>
        <v>22.95</v>
      </c>
      <c r="T277" s="18" t="n">
        <f aca="false">P277*INDEX(Parametros!$B$13:$B$16,MATCH($F277,Parametros!$A$13:$A$16,0))</f>
        <v>18.46962</v>
      </c>
      <c r="U277" s="21" t="n">
        <f aca="false">P277-R277-S277-T277</f>
        <v>207.36918</v>
      </c>
      <c r="V277" s="19" t="n">
        <f aca="false">IFERROR(U277/P277,0)</f>
        <v>0.33682747127445</v>
      </c>
      <c r="W277" s="48" t="n">
        <f aca="false">B277+INDEX(Parametros!$C$13:$C$16,MATCH($F277,Parametros!$A$13:$A$16,0))</f>
        <v>45814</v>
      </c>
      <c r="X277" s="31" t="s">
        <v>67</v>
      </c>
      <c r="Y277" s="53" t="n">
        <f aca="false">IF(COUNTIF($A$2:$A277,A277)=1,1,0)</f>
        <v>1</v>
      </c>
    </row>
    <row r="278" customFormat="false" ht="15" hidden="false" customHeight="false" outlineLevel="0" collapsed="false">
      <c r="A278" s="31" t="s">
        <v>393</v>
      </c>
      <c r="B278" s="36" t="n">
        <v>45754</v>
      </c>
      <c r="C278" s="49" t="n">
        <f aca="false">DATE(YEAR(B278),MONTH(B278),1)</f>
        <v>45748</v>
      </c>
      <c r="D278" s="31" t="s">
        <v>199</v>
      </c>
      <c r="E278" s="31" t="s">
        <v>41</v>
      </c>
      <c r="F278" s="31" t="s">
        <v>45</v>
      </c>
      <c r="G278" s="31" t="s">
        <v>58</v>
      </c>
      <c r="H278" s="31" t="s">
        <v>185</v>
      </c>
      <c r="I278" s="32" t="str">
        <f aca="false">INDEX(Productos!$B$2:$B$13,MATCH($H278,Productos!$A$2:$A$13,0))</f>
        <v>Varilla roscada M10 x 1 m zincada</v>
      </c>
      <c r="J278" s="32" t="str">
        <f aca="false">INDEX(Productos!$C$2:$C$13,MATCH($H278,Productos!$A$2:$A$13,0))</f>
        <v>Especial</v>
      </c>
      <c r="K278" s="31" t="s">
        <v>246</v>
      </c>
      <c r="L278" s="46" t="n">
        <v>31</v>
      </c>
      <c r="M278" s="50" t="n">
        <f aca="false">INDEX(Productos!$F$2:$F$13,MATCH($H278,Productos!$A$2:$A$13,0))</f>
        <v>54</v>
      </c>
      <c r="N278" s="51" t="n">
        <v>0.157</v>
      </c>
      <c r="O278" s="52" t="n">
        <f aca="false">M278*(1-N278)</f>
        <v>45.522</v>
      </c>
      <c r="P278" s="21" t="n">
        <f aca="false">L278*O278</f>
        <v>1411.182</v>
      </c>
      <c r="Q278" s="50" t="n">
        <f aca="false">INDEX(Productos!$E$2:$E$13,MATCH($H278,Productos!$A$2:$A$13,0))*INDEX(Parametros!$B$26:$B$43,MATCH($C278,Parametros!$A$26:$A$43,0))</f>
        <v>28.899</v>
      </c>
      <c r="R278" s="21" t="n">
        <f aca="false">L278*Q278</f>
        <v>895.869</v>
      </c>
      <c r="S278" s="18" t="n">
        <f aca="false">L278*INDEX(Parametros!$B$20:$B$22,MATCH($E278,Parametros!$A$20:$A$22,0))</f>
        <v>26.35</v>
      </c>
      <c r="T278" s="18" t="n">
        <f aca="false">P278*INDEX(Parametros!$B$13:$B$16,MATCH($F278,Parametros!$A$13:$A$16,0))</f>
        <v>42.33546</v>
      </c>
      <c r="U278" s="21" t="n">
        <f aca="false">P278-R278-S278-T278</f>
        <v>446.62754</v>
      </c>
      <c r="V278" s="19" t="n">
        <f aca="false">IFERROR(U278/P278,0)</f>
        <v>0.316491806159659</v>
      </c>
      <c r="W278" s="48" t="n">
        <f aca="false">B278+INDEX(Parametros!$C$13:$C$16,MATCH($F278,Parametros!$A$13:$A$16,0))</f>
        <v>45814</v>
      </c>
      <c r="X278" s="31" t="s">
        <v>69</v>
      </c>
      <c r="Y278" s="53" t="n">
        <f aca="false">IF(COUNTIF($A$2:$A278,A278)=1,1,0)</f>
        <v>0</v>
      </c>
    </row>
    <row r="279" customFormat="false" ht="15" hidden="false" customHeight="false" outlineLevel="0" collapsed="false">
      <c r="A279" s="31" t="s">
        <v>394</v>
      </c>
      <c r="B279" s="36" t="n">
        <v>45754</v>
      </c>
      <c r="C279" s="49" t="n">
        <f aca="false">DATE(YEAR(B279),MONTH(B279),1)</f>
        <v>45748</v>
      </c>
      <c r="D279" s="31" t="s">
        <v>218</v>
      </c>
      <c r="E279" s="31" t="s">
        <v>42</v>
      </c>
      <c r="F279" s="31" t="s">
        <v>45</v>
      </c>
      <c r="G279" s="31" t="s">
        <v>61</v>
      </c>
      <c r="H279" s="31" t="s">
        <v>173</v>
      </c>
      <c r="I279" s="32" t="str">
        <f aca="false">INDEX(Productos!$B$2:$B$13,MATCH($H279,Productos!$A$2:$A$13,0))</f>
        <v>Tornillo DIN 933 M12x70 clase 8.8</v>
      </c>
      <c r="J279" s="32" t="str">
        <f aca="false">INDEX(Productos!$C$2:$C$13,MATCH($H279,Productos!$A$2:$A$13,0))</f>
        <v>Métrica</v>
      </c>
      <c r="K279" s="31" t="s">
        <v>246</v>
      </c>
      <c r="L279" s="46" t="n">
        <v>283</v>
      </c>
      <c r="M279" s="50" t="n">
        <f aca="false">INDEX(Productos!$F$2:$F$13,MATCH($H279,Productos!$A$2:$A$13,0))</f>
        <v>64</v>
      </c>
      <c r="N279" s="51" t="n">
        <v>0.132</v>
      </c>
      <c r="O279" s="52" t="n">
        <f aca="false">M279*(1-N279)</f>
        <v>55.552</v>
      </c>
      <c r="P279" s="21" t="n">
        <f aca="false">L279*O279</f>
        <v>15721.216</v>
      </c>
      <c r="Q279" s="50" t="n">
        <f aca="false">INDEX(Productos!$E$2:$E$13,MATCH($H279,Productos!$A$2:$A$13,0))*INDEX(Parametros!$B$26:$B$43,MATCH($C279,Parametros!$A$26:$A$43,0))</f>
        <v>33.969</v>
      </c>
      <c r="R279" s="21" t="n">
        <f aca="false">L279*Q279</f>
        <v>9613.227</v>
      </c>
      <c r="S279" s="18" t="n">
        <f aca="false">L279*INDEX(Parametros!$B$20:$B$22,MATCH($E279,Parametros!$A$20:$A$22,0))</f>
        <v>679.2</v>
      </c>
      <c r="T279" s="18" t="n">
        <f aca="false">P279*INDEX(Parametros!$B$13:$B$16,MATCH($F279,Parametros!$A$13:$A$16,0))</f>
        <v>471.63648</v>
      </c>
      <c r="U279" s="21" t="n">
        <f aca="false">P279-R279-S279-T279</f>
        <v>4957.15252</v>
      </c>
      <c r="V279" s="19" t="n">
        <f aca="false">IFERROR(U279/P279,0)</f>
        <v>0.315316100230415</v>
      </c>
      <c r="W279" s="48" t="n">
        <f aca="false">B279+INDEX(Parametros!$C$13:$C$16,MATCH($F279,Parametros!$A$13:$A$16,0))</f>
        <v>45814</v>
      </c>
      <c r="X279" s="31" t="s">
        <v>67</v>
      </c>
      <c r="Y279" s="53" t="n">
        <f aca="false">IF(COUNTIF($A$2:$A279,A279)=1,1,0)</f>
        <v>1</v>
      </c>
    </row>
    <row r="280" customFormat="false" ht="15" hidden="false" customHeight="false" outlineLevel="0" collapsed="false">
      <c r="A280" s="31" t="s">
        <v>394</v>
      </c>
      <c r="B280" s="36" t="n">
        <v>45754</v>
      </c>
      <c r="C280" s="49" t="n">
        <f aca="false">DATE(YEAR(B280),MONTH(B280),1)</f>
        <v>45748</v>
      </c>
      <c r="D280" s="31" t="s">
        <v>218</v>
      </c>
      <c r="E280" s="31" t="s">
        <v>42</v>
      </c>
      <c r="F280" s="31" t="s">
        <v>45</v>
      </c>
      <c r="G280" s="31" t="s">
        <v>61</v>
      </c>
      <c r="H280" s="31" t="s">
        <v>183</v>
      </c>
      <c r="I280" s="32" t="str">
        <f aca="false">INDEX(Productos!$B$2:$B$13,MATCH($H280,Productos!$A$2:$A$13,0))</f>
        <v>Tornillo estructural M16x90 clase 10.9</v>
      </c>
      <c r="J280" s="32" t="str">
        <f aca="false">INDEX(Productos!$C$2:$C$13,MATCH($H280,Productos!$A$2:$A$13,0))</f>
        <v>Especial</v>
      </c>
      <c r="K280" s="31" t="s">
        <v>246</v>
      </c>
      <c r="L280" s="46" t="n">
        <v>23</v>
      </c>
      <c r="M280" s="50" t="n">
        <f aca="false">INDEX(Productos!$F$2:$F$13,MATCH($H280,Productos!$A$2:$A$13,0))</f>
        <v>112</v>
      </c>
      <c r="N280" s="51" t="n">
        <v>0.159</v>
      </c>
      <c r="O280" s="52" t="n">
        <f aca="false">M280*(1-N280)</f>
        <v>94.192</v>
      </c>
      <c r="P280" s="21" t="n">
        <f aca="false">L280*O280</f>
        <v>2166.416</v>
      </c>
      <c r="Q280" s="50" t="n">
        <f aca="false">INDEX(Productos!$E$2:$E$13,MATCH($H280,Productos!$A$2:$A$13,0))*INDEX(Parametros!$B$26:$B$43,MATCH($C280,Parametros!$A$26:$A$43,0))</f>
        <v>60.84</v>
      </c>
      <c r="R280" s="21" t="n">
        <f aca="false">L280*Q280</f>
        <v>1399.32</v>
      </c>
      <c r="S280" s="18" t="n">
        <f aca="false">L280*INDEX(Parametros!$B$20:$B$22,MATCH($E280,Parametros!$A$20:$A$22,0))</f>
        <v>55.2</v>
      </c>
      <c r="T280" s="18" t="n">
        <f aca="false">P280*INDEX(Parametros!$B$13:$B$16,MATCH($F280,Parametros!$A$13:$A$16,0))</f>
        <v>64.99248</v>
      </c>
      <c r="U280" s="21" t="n">
        <f aca="false">P280-R280-S280-T280</f>
        <v>646.90352</v>
      </c>
      <c r="V280" s="19" t="n">
        <f aca="false">IFERROR(U280/P280,0)</f>
        <v>0.298605401732631</v>
      </c>
      <c r="W280" s="48" t="n">
        <f aca="false">B280+INDEX(Parametros!$C$13:$C$16,MATCH($F280,Parametros!$A$13:$A$16,0))</f>
        <v>45814</v>
      </c>
      <c r="X280" s="31" t="s">
        <v>67</v>
      </c>
      <c r="Y280" s="53" t="n">
        <f aca="false">IF(COUNTIF($A$2:$A280,A280)=1,1,0)</f>
        <v>0</v>
      </c>
    </row>
    <row r="281" customFormat="false" ht="15" hidden="false" customHeight="false" outlineLevel="0" collapsed="false">
      <c r="A281" s="31" t="s">
        <v>394</v>
      </c>
      <c r="B281" s="36" t="n">
        <v>45754</v>
      </c>
      <c r="C281" s="49" t="n">
        <f aca="false">DATE(YEAR(B281),MONTH(B281),1)</f>
        <v>45748</v>
      </c>
      <c r="D281" s="31" t="s">
        <v>218</v>
      </c>
      <c r="E281" s="31" t="s">
        <v>42</v>
      </c>
      <c r="F281" s="31" t="s">
        <v>45</v>
      </c>
      <c r="G281" s="31" t="s">
        <v>61</v>
      </c>
      <c r="H281" s="31" t="s">
        <v>179</v>
      </c>
      <c r="I281" s="32" t="str">
        <f aca="false">INDEX(Productos!$B$2:$B$13,MATCH($H281,Productos!$A$2:$A$13,0))</f>
        <v>Autotaladrante DIN 7504 4,8x38 zincado</v>
      </c>
      <c r="J281" s="32" t="str">
        <f aca="false">INDEX(Productos!$C$2:$C$13,MATCH($H281,Productos!$A$2:$A$13,0))</f>
        <v>Autotaladrante</v>
      </c>
      <c r="K281" s="31" t="s">
        <v>246</v>
      </c>
      <c r="L281" s="46" t="n">
        <v>22</v>
      </c>
      <c r="M281" s="50" t="n">
        <f aca="false">INDEX(Productos!$F$2:$F$13,MATCH($H281,Productos!$A$2:$A$13,0))</f>
        <v>29.5</v>
      </c>
      <c r="N281" s="51" t="n">
        <v>0.18</v>
      </c>
      <c r="O281" s="52" t="n">
        <f aca="false">M281*(1-N281)</f>
        <v>24.19</v>
      </c>
      <c r="P281" s="21" t="n">
        <f aca="false">L281*O281</f>
        <v>532.18</v>
      </c>
      <c r="Q281" s="50" t="n">
        <f aca="false">INDEX(Productos!$E$2:$E$13,MATCH($H281,Productos!$A$2:$A$13,0))*INDEX(Parametros!$B$26:$B$43,MATCH($C281,Parametros!$A$26:$A$43,0))</f>
        <v>15.4128</v>
      </c>
      <c r="R281" s="21" t="n">
        <f aca="false">L281*Q281</f>
        <v>339.0816</v>
      </c>
      <c r="S281" s="18" t="n">
        <f aca="false">L281*INDEX(Parametros!$B$20:$B$22,MATCH($E281,Parametros!$A$20:$A$22,0))</f>
        <v>52.8</v>
      </c>
      <c r="T281" s="18" t="n">
        <f aca="false">P281*INDEX(Parametros!$B$13:$B$16,MATCH($F281,Parametros!$A$13:$A$16,0))</f>
        <v>15.9654</v>
      </c>
      <c r="U281" s="21" t="n">
        <f aca="false">P281-R281-S281-T281</f>
        <v>124.333</v>
      </c>
      <c r="V281" s="19" t="n">
        <f aca="false">IFERROR(U281/P281,0)</f>
        <v>0.233629599007855</v>
      </c>
      <c r="W281" s="48" t="n">
        <f aca="false">B281+INDEX(Parametros!$C$13:$C$16,MATCH($F281,Parametros!$A$13:$A$16,0))</f>
        <v>45814</v>
      </c>
      <c r="X281" s="31" t="s">
        <v>67</v>
      </c>
      <c r="Y281" s="53" t="n">
        <f aca="false">IF(COUNTIF($A$2:$A281,A281)=1,1,0)</f>
        <v>0</v>
      </c>
    </row>
    <row r="282" customFormat="false" ht="15" hidden="false" customHeight="false" outlineLevel="0" collapsed="false">
      <c r="A282" s="31" t="s">
        <v>395</v>
      </c>
      <c r="B282" s="36" t="n">
        <v>45754</v>
      </c>
      <c r="C282" s="49" t="n">
        <f aca="false">DATE(YEAR(B282),MONTH(B282),1)</f>
        <v>45748</v>
      </c>
      <c r="D282" s="31" t="s">
        <v>205</v>
      </c>
      <c r="E282" s="31" t="s">
        <v>41</v>
      </c>
      <c r="F282" s="31" t="s">
        <v>45</v>
      </c>
      <c r="G282" s="31" t="s">
        <v>62</v>
      </c>
      <c r="H282" s="31" t="s">
        <v>167</v>
      </c>
      <c r="I282" s="32" t="str">
        <f aca="false">INDEX(Productos!$B$2:$B$13,MATCH($H282,Productos!$A$2:$A$13,0))</f>
        <v>Tornillo DIN 912 M6x25 Allen zincado</v>
      </c>
      <c r="J282" s="32" t="str">
        <f aca="false">INDEX(Productos!$C$2:$C$13,MATCH($H282,Productos!$A$2:$A$13,0))</f>
        <v>Métrica</v>
      </c>
      <c r="K282" s="31" t="s">
        <v>246</v>
      </c>
      <c r="L282" s="46" t="n">
        <v>33</v>
      </c>
      <c r="M282" s="50" t="n">
        <f aca="false">INDEX(Productos!$F$2:$F$13,MATCH($H282,Productos!$A$2:$A$13,0))</f>
        <v>42</v>
      </c>
      <c r="N282" s="51" t="n">
        <v>0.188</v>
      </c>
      <c r="O282" s="52" t="n">
        <f aca="false">M282*(1-N282)</f>
        <v>34.104</v>
      </c>
      <c r="P282" s="21" t="n">
        <f aca="false">L282*O282</f>
        <v>1125.432</v>
      </c>
      <c r="Q282" s="50" t="n">
        <f aca="false">INDEX(Productos!$E$2:$E$13,MATCH($H282,Productos!$A$2:$A$13,0))*INDEX(Parametros!$B$26:$B$43,MATCH($C282,Parametros!$A$26:$A$43,0))</f>
        <v>22.1052</v>
      </c>
      <c r="R282" s="21" t="n">
        <f aca="false">L282*Q282</f>
        <v>729.4716</v>
      </c>
      <c r="S282" s="18" t="n">
        <f aca="false">L282*INDEX(Parametros!$B$20:$B$22,MATCH($E282,Parametros!$A$20:$A$22,0))</f>
        <v>28.05</v>
      </c>
      <c r="T282" s="18" t="n">
        <f aca="false">P282*INDEX(Parametros!$B$13:$B$16,MATCH($F282,Parametros!$A$13:$A$16,0))</f>
        <v>33.76296</v>
      </c>
      <c r="U282" s="21" t="n">
        <f aca="false">P282-R282-S282-T282</f>
        <v>334.14744</v>
      </c>
      <c r="V282" s="19" t="n">
        <f aca="false">IFERROR(U282/P282,0)</f>
        <v>0.296905934787708</v>
      </c>
      <c r="W282" s="48" t="n">
        <f aca="false">B282+INDEX(Parametros!$C$13:$C$16,MATCH($F282,Parametros!$A$13:$A$16,0))</f>
        <v>45814</v>
      </c>
      <c r="X282" s="31" t="s">
        <v>67</v>
      </c>
      <c r="Y282" s="53" t="n">
        <f aca="false">IF(COUNTIF($A$2:$A282,A282)=1,1,0)</f>
        <v>1</v>
      </c>
    </row>
    <row r="283" customFormat="false" ht="15" hidden="false" customHeight="false" outlineLevel="0" collapsed="false">
      <c r="A283" s="31" t="s">
        <v>396</v>
      </c>
      <c r="B283" s="36" t="n">
        <v>45754</v>
      </c>
      <c r="C283" s="49" t="n">
        <f aca="false">DATE(YEAR(B283),MONTH(B283),1)</f>
        <v>45748</v>
      </c>
      <c r="D283" s="31" t="s">
        <v>199</v>
      </c>
      <c r="E283" s="31" t="s">
        <v>41</v>
      </c>
      <c r="F283" s="31" t="s">
        <v>45</v>
      </c>
      <c r="G283" s="31" t="s">
        <v>58</v>
      </c>
      <c r="H283" s="31" t="s">
        <v>173</v>
      </c>
      <c r="I283" s="32" t="str">
        <f aca="false">INDEX(Productos!$B$2:$B$13,MATCH($H283,Productos!$A$2:$A$13,0))</f>
        <v>Tornillo DIN 933 M12x70 clase 8.8</v>
      </c>
      <c r="J283" s="32" t="str">
        <f aca="false">INDEX(Productos!$C$2:$C$13,MATCH($H283,Productos!$A$2:$A$13,0))</f>
        <v>Métrica</v>
      </c>
      <c r="K283" s="31" t="s">
        <v>246</v>
      </c>
      <c r="L283" s="46" t="n">
        <v>83</v>
      </c>
      <c r="M283" s="50" t="n">
        <f aca="false">INDEX(Productos!$F$2:$F$13,MATCH($H283,Productos!$A$2:$A$13,0))</f>
        <v>64</v>
      </c>
      <c r="N283" s="51" t="n">
        <v>0.17</v>
      </c>
      <c r="O283" s="52" t="n">
        <f aca="false">M283*(1-N283)</f>
        <v>53.12</v>
      </c>
      <c r="P283" s="21" t="n">
        <f aca="false">L283*O283</f>
        <v>4408.96</v>
      </c>
      <c r="Q283" s="50" t="n">
        <f aca="false">INDEX(Productos!$E$2:$E$13,MATCH($H283,Productos!$A$2:$A$13,0))*INDEX(Parametros!$B$26:$B$43,MATCH($C283,Parametros!$A$26:$A$43,0))</f>
        <v>33.969</v>
      </c>
      <c r="R283" s="21" t="n">
        <f aca="false">L283*Q283</f>
        <v>2819.427</v>
      </c>
      <c r="S283" s="18" t="n">
        <f aca="false">L283*INDEX(Parametros!$B$20:$B$22,MATCH($E283,Parametros!$A$20:$A$22,0))</f>
        <v>70.55</v>
      </c>
      <c r="T283" s="18" t="n">
        <f aca="false">P283*INDEX(Parametros!$B$13:$B$16,MATCH($F283,Parametros!$A$13:$A$16,0))</f>
        <v>132.2688</v>
      </c>
      <c r="U283" s="21" t="n">
        <f aca="false">P283-R283-S283-T283</f>
        <v>1386.7142</v>
      </c>
      <c r="V283" s="19" t="n">
        <f aca="false">IFERROR(U283/P283,0)</f>
        <v>0.314521837349398</v>
      </c>
      <c r="W283" s="48" t="n">
        <f aca="false">B283+INDEX(Parametros!$C$13:$C$16,MATCH($F283,Parametros!$A$13:$A$16,0))</f>
        <v>45814</v>
      </c>
      <c r="X283" s="31" t="s">
        <v>67</v>
      </c>
      <c r="Y283" s="53" t="n">
        <f aca="false">IF(COUNTIF($A$2:$A283,A283)=1,1,0)</f>
        <v>1</v>
      </c>
    </row>
    <row r="284" customFormat="false" ht="15" hidden="false" customHeight="false" outlineLevel="0" collapsed="false">
      <c r="A284" s="31" t="s">
        <v>396</v>
      </c>
      <c r="B284" s="36" t="n">
        <v>45754</v>
      </c>
      <c r="C284" s="49" t="n">
        <f aca="false">DATE(YEAR(B284),MONTH(B284),1)</f>
        <v>45748</v>
      </c>
      <c r="D284" s="31" t="s">
        <v>199</v>
      </c>
      <c r="E284" s="31" t="s">
        <v>41</v>
      </c>
      <c r="F284" s="31" t="s">
        <v>45</v>
      </c>
      <c r="G284" s="31" t="s">
        <v>58</v>
      </c>
      <c r="H284" s="31" t="s">
        <v>185</v>
      </c>
      <c r="I284" s="32" t="str">
        <f aca="false">INDEX(Productos!$B$2:$B$13,MATCH($H284,Productos!$A$2:$A$13,0))</f>
        <v>Varilla roscada M10 x 1 m zincada</v>
      </c>
      <c r="J284" s="32" t="str">
        <f aca="false">INDEX(Productos!$C$2:$C$13,MATCH($H284,Productos!$A$2:$A$13,0))</f>
        <v>Especial</v>
      </c>
      <c r="K284" s="31" t="s">
        <v>246</v>
      </c>
      <c r="L284" s="46" t="n">
        <v>62</v>
      </c>
      <c r="M284" s="50" t="n">
        <f aca="false">INDEX(Productos!$F$2:$F$13,MATCH($H284,Productos!$A$2:$A$13,0))</f>
        <v>54</v>
      </c>
      <c r="N284" s="51" t="n">
        <v>0.168</v>
      </c>
      <c r="O284" s="52" t="n">
        <f aca="false">M284*(1-N284)</f>
        <v>44.928</v>
      </c>
      <c r="P284" s="21" t="n">
        <f aca="false">L284*O284</f>
        <v>2785.536</v>
      </c>
      <c r="Q284" s="50" t="n">
        <f aca="false">INDEX(Productos!$E$2:$E$13,MATCH($H284,Productos!$A$2:$A$13,0))*INDEX(Parametros!$B$26:$B$43,MATCH($C284,Parametros!$A$26:$A$43,0))</f>
        <v>28.899</v>
      </c>
      <c r="R284" s="21" t="n">
        <f aca="false">L284*Q284</f>
        <v>1791.738</v>
      </c>
      <c r="S284" s="18" t="n">
        <f aca="false">L284*INDEX(Parametros!$B$20:$B$22,MATCH($E284,Parametros!$A$20:$A$22,0))</f>
        <v>52.7</v>
      </c>
      <c r="T284" s="18" t="n">
        <f aca="false">P284*INDEX(Parametros!$B$13:$B$16,MATCH($F284,Parametros!$A$13:$A$16,0))</f>
        <v>83.56608</v>
      </c>
      <c r="U284" s="21" t="n">
        <f aca="false">P284-R284-S284-T284</f>
        <v>857.53192</v>
      </c>
      <c r="V284" s="19" t="n">
        <f aca="false">IFERROR(U284/P284,0)</f>
        <v>0.307851673789174</v>
      </c>
      <c r="W284" s="48" t="n">
        <f aca="false">B284+INDEX(Parametros!$C$13:$C$16,MATCH($F284,Parametros!$A$13:$A$16,0))</f>
        <v>45814</v>
      </c>
      <c r="X284" s="31" t="s">
        <v>67</v>
      </c>
      <c r="Y284" s="53" t="n">
        <f aca="false">IF(COUNTIF($A$2:$A284,A284)=1,1,0)</f>
        <v>0</v>
      </c>
    </row>
    <row r="285" customFormat="false" ht="15" hidden="false" customHeight="false" outlineLevel="0" collapsed="false">
      <c r="A285" s="31" t="s">
        <v>396</v>
      </c>
      <c r="B285" s="36" t="n">
        <v>45754</v>
      </c>
      <c r="C285" s="49" t="n">
        <f aca="false">DATE(YEAR(B285),MONTH(B285),1)</f>
        <v>45748</v>
      </c>
      <c r="D285" s="31" t="s">
        <v>199</v>
      </c>
      <c r="E285" s="31" t="s">
        <v>41</v>
      </c>
      <c r="F285" s="31" t="s">
        <v>45</v>
      </c>
      <c r="G285" s="31" t="s">
        <v>58</v>
      </c>
      <c r="H285" s="31" t="s">
        <v>163</v>
      </c>
      <c r="I285" s="32" t="str">
        <f aca="false">INDEX(Productos!$B$2:$B$13,MATCH($H285,Productos!$A$2:$A$13,0))</f>
        <v>Tornillo DIN 933 M6x30 rosca completa zincado</v>
      </c>
      <c r="J285" s="32" t="str">
        <f aca="false">INDEX(Productos!$C$2:$C$13,MATCH($H285,Productos!$A$2:$A$13,0))</f>
        <v>Métrica</v>
      </c>
      <c r="K285" s="31" t="s">
        <v>246</v>
      </c>
      <c r="L285" s="46" t="n">
        <v>50</v>
      </c>
      <c r="M285" s="50" t="n">
        <f aca="false">INDEX(Productos!$F$2:$F$13,MATCH($H285,Productos!$A$2:$A$13,0))</f>
        <v>32</v>
      </c>
      <c r="N285" s="51" t="n">
        <v>0.167</v>
      </c>
      <c r="O285" s="52" t="n">
        <f aca="false">M285*(1-N285)</f>
        <v>26.656</v>
      </c>
      <c r="P285" s="21" t="n">
        <f aca="false">L285*O285</f>
        <v>1332.8</v>
      </c>
      <c r="Q285" s="50" t="n">
        <f aca="false">INDEX(Productos!$E$2:$E$13,MATCH($H285,Productos!$A$2:$A$13,0))*INDEX(Parametros!$B$26:$B$43,MATCH($C285,Parametros!$A$26:$A$43,0))</f>
        <v>16.8324</v>
      </c>
      <c r="R285" s="21" t="n">
        <f aca="false">L285*Q285</f>
        <v>841.62</v>
      </c>
      <c r="S285" s="18" t="n">
        <f aca="false">L285*INDEX(Parametros!$B$20:$B$22,MATCH($E285,Parametros!$A$20:$A$22,0))</f>
        <v>42.5</v>
      </c>
      <c r="T285" s="18" t="n">
        <f aca="false">P285*INDEX(Parametros!$B$13:$B$16,MATCH($F285,Parametros!$A$13:$A$16,0))</f>
        <v>39.984</v>
      </c>
      <c r="U285" s="21" t="n">
        <f aca="false">P285-R285-S285-T285</f>
        <v>408.696</v>
      </c>
      <c r="V285" s="19" t="n">
        <f aca="false">IFERROR(U285/P285,0)</f>
        <v>0.306644657863145</v>
      </c>
      <c r="W285" s="48" t="n">
        <f aca="false">B285+INDEX(Parametros!$C$13:$C$16,MATCH($F285,Parametros!$A$13:$A$16,0))</f>
        <v>45814</v>
      </c>
      <c r="X285" s="31" t="s">
        <v>67</v>
      </c>
      <c r="Y285" s="53" t="n">
        <f aca="false">IF(COUNTIF($A$2:$A285,A285)=1,1,0)</f>
        <v>0</v>
      </c>
    </row>
    <row r="286" customFormat="false" ht="15" hidden="false" customHeight="false" outlineLevel="0" collapsed="false">
      <c r="A286" s="31" t="s">
        <v>397</v>
      </c>
      <c r="B286" s="36" t="n">
        <v>45755</v>
      </c>
      <c r="C286" s="49" t="n">
        <f aca="false">DATE(YEAR(B286),MONTH(B286),1)</f>
        <v>45748</v>
      </c>
      <c r="D286" s="31" t="s">
        <v>207</v>
      </c>
      <c r="E286" s="31" t="s">
        <v>41</v>
      </c>
      <c r="F286" s="31" t="s">
        <v>47</v>
      </c>
      <c r="G286" s="31" t="s">
        <v>62</v>
      </c>
      <c r="H286" s="31" t="s">
        <v>167</v>
      </c>
      <c r="I286" s="32" t="str">
        <f aca="false">INDEX(Productos!$B$2:$B$13,MATCH($H286,Productos!$A$2:$A$13,0))</f>
        <v>Tornillo DIN 912 M6x25 Allen zincado</v>
      </c>
      <c r="J286" s="32" t="str">
        <f aca="false">INDEX(Productos!$C$2:$C$13,MATCH($H286,Productos!$A$2:$A$13,0))</f>
        <v>Métrica</v>
      </c>
      <c r="K286" s="31" t="s">
        <v>246</v>
      </c>
      <c r="L286" s="46" t="n">
        <v>125</v>
      </c>
      <c r="M286" s="50" t="n">
        <f aca="false">INDEX(Productos!$F$2:$F$13,MATCH($H286,Productos!$A$2:$A$13,0))</f>
        <v>42</v>
      </c>
      <c r="N286" s="51" t="n">
        <v>0.094</v>
      </c>
      <c r="O286" s="52" t="n">
        <f aca="false">M286*(1-N286)</f>
        <v>38.052</v>
      </c>
      <c r="P286" s="21" t="n">
        <f aca="false">L286*O286</f>
        <v>4756.5</v>
      </c>
      <c r="Q286" s="50" t="n">
        <f aca="false">INDEX(Productos!$E$2:$E$13,MATCH($H286,Productos!$A$2:$A$13,0))*INDEX(Parametros!$B$26:$B$43,MATCH($C286,Parametros!$A$26:$A$43,0))</f>
        <v>22.1052</v>
      </c>
      <c r="R286" s="21" t="n">
        <f aca="false">L286*Q286</f>
        <v>2763.15</v>
      </c>
      <c r="S286" s="18" t="n">
        <f aca="false">L286*INDEX(Parametros!$B$20:$B$22,MATCH($E286,Parametros!$A$20:$A$22,0))</f>
        <v>106.25</v>
      </c>
      <c r="T286" s="18" t="n">
        <f aca="false">P286*INDEX(Parametros!$B$13:$B$16,MATCH($F286,Parametros!$A$13:$A$16,0))</f>
        <v>166.4775</v>
      </c>
      <c r="U286" s="21" t="n">
        <f aca="false">P286-R286-S286-T286</f>
        <v>1720.6225</v>
      </c>
      <c r="V286" s="19" t="n">
        <f aca="false">IFERROR(U286/P286,0)</f>
        <v>0.361741301377063</v>
      </c>
      <c r="W286" s="48" t="n">
        <f aca="false">B286+INDEX(Parametros!$C$13:$C$16,MATCH($F286,Parametros!$A$13:$A$16,0))</f>
        <v>45800</v>
      </c>
      <c r="X286" s="31" t="s">
        <v>67</v>
      </c>
      <c r="Y286" s="53" t="n">
        <f aca="false">IF(COUNTIF($A$2:$A286,A286)=1,1,0)</f>
        <v>1</v>
      </c>
    </row>
    <row r="287" customFormat="false" ht="15" hidden="false" customHeight="false" outlineLevel="0" collapsed="false">
      <c r="A287" s="31" t="s">
        <v>398</v>
      </c>
      <c r="B287" s="36" t="n">
        <v>45757</v>
      </c>
      <c r="C287" s="49" t="n">
        <f aca="false">DATE(YEAR(B287),MONTH(B287),1)</f>
        <v>45748</v>
      </c>
      <c r="D287" s="31" t="s">
        <v>225</v>
      </c>
      <c r="E287" s="31" t="s">
        <v>43</v>
      </c>
      <c r="F287" s="31" t="s">
        <v>47</v>
      </c>
      <c r="G287" s="31" t="s">
        <v>59</v>
      </c>
      <c r="H287" s="31" t="s">
        <v>173</v>
      </c>
      <c r="I287" s="32" t="str">
        <f aca="false">INDEX(Productos!$B$2:$B$13,MATCH($H287,Productos!$A$2:$A$13,0))</f>
        <v>Tornillo DIN 933 M12x70 clase 8.8</v>
      </c>
      <c r="J287" s="32" t="str">
        <f aca="false">INDEX(Productos!$C$2:$C$13,MATCH($H287,Productos!$A$2:$A$13,0))</f>
        <v>Métrica</v>
      </c>
      <c r="K287" s="31" t="s">
        <v>246</v>
      </c>
      <c r="L287" s="46" t="n">
        <v>20</v>
      </c>
      <c r="M287" s="50" t="n">
        <f aca="false">INDEX(Productos!$F$2:$F$13,MATCH($H287,Productos!$A$2:$A$13,0))</f>
        <v>64</v>
      </c>
      <c r="N287" s="51" t="n">
        <v>0.062</v>
      </c>
      <c r="O287" s="52" t="n">
        <f aca="false">M287*(1-N287)</f>
        <v>60.032</v>
      </c>
      <c r="P287" s="21" t="n">
        <f aca="false">L287*O287</f>
        <v>1200.64</v>
      </c>
      <c r="Q287" s="50" t="n">
        <f aca="false">INDEX(Productos!$E$2:$E$13,MATCH($H287,Productos!$A$2:$A$13,0))*INDEX(Parametros!$B$26:$B$43,MATCH($C287,Parametros!$A$26:$A$43,0))</f>
        <v>33.969</v>
      </c>
      <c r="R287" s="21" t="n">
        <f aca="false">L287*Q287</f>
        <v>679.38</v>
      </c>
      <c r="S287" s="18" t="n">
        <f aca="false">L287*INDEX(Parametros!$B$20:$B$22,MATCH($E287,Parametros!$A$20:$A$22,0))</f>
        <v>38</v>
      </c>
      <c r="T287" s="18" t="n">
        <f aca="false">P287*INDEX(Parametros!$B$13:$B$16,MATCH($F287,Parametros!$A$13:$A$16,0))</f>
        <v>42.0224</v>
      </c>
      <c r="U287" s="21" t="n">
        <f aca="false">P287-R287-S287-T287</f>
        <v>441.2376</v>
      </c>
      <c r="V287" s="19" t="n">
        <f aca="false">IFERROR(U287/P287,0)</f>
        <v>0.367501998933902</v>
      </c>
      <c r="W287" s="48" t="n">
        <f aca="false">B287+INDEX(Parametros!$C$13:$C$16,MATCH($F287,Parametros!$A$13:$A$16,0))</f>
        <v>45802</v>
      </c>
      <c r="X287" s="31" t="s">
        <v>67</v>
      </c>
      <c r="Y287" s="53" t="n">
        <f aca="false">IF(COUNTIF($A$2:$A287,A287)=1,1,0)</f>
        <v>1</v>
      </c>
    </row>
    <row r="288" customFormat="false" ht="15" hidden="false" customHeight="false" outlineLevel="0" collapsed="false">
      <c r="A288" s="31" t="s">
        <v>399</v>
      </c>
      <c r="B288" s="36" t="n">
        <v>45757</v>
      </c>
      <c r="C288" s="49" t="n">
        <f aca="false">DATE(YEAR(B288),MONTH(B288),1)</f>
        <v>45748</v>
      </c>
      <c r="D288" s="31" t="s">
        <v>223</v>
      </c>
      <c r="E288" s="31" t="s">
        <v>43</v>
      </c>
      <c r="F288" s="31" t="s">
        <v>46</v>
      </c>
      <c r="G288" s="31" t="s">
        <v>59</v>
      </c>
      <c r="H288" s="31" t="s">
        <v>167</v>
      </c>
      <c r="I288" s="32" t="str">
        <f aca="false">INDEX(Productos!$B$2:$B$13,MATCH($H288,Productos!$A$2:$A$13,0))</f>
        <v>Tornillo DIN 912 M6x25 Allen zincado</v>
      </c>
      <c r="J288" s="32" t="str">
        <f aca="false">INDEX(Productos!$C$2:$C$13,MATCH($H288,Productos!$A$2:$A$13,0))</f>
        <v>Métrica</v>
      </c>
      <c r="K288" s="31" t="s">
        <v>246</v>
      </c>
      <c r="L288" s="46" t="n">
        <v>202</v>
      </c>
      <c r="M288" s="50" t="n">
        <f aca="false">INDEX(Productos!$F$2:$F$13,MATCH($H288,Productos!$A$2:$A$13,0))</f>
        <v>42</v>
      </c>
      <c r="N288" s="51" t="n">
        <v>0.167</v>
      </c>
      <c r="O288" s="52" t="n">
        <f aca="false">M288*(1-N288)</f>
        <v>34.986</v>
      </c>
      <c r="P288" s="21" t="n">
        <f aca="false">L288*O288</f>
        <v>7067.172</v>
      </c>
      <c r="Q288" s="50" t="n">
        <f aca="false">INDEX(Productos!$E$2:$E$13,MATCH($H288,Productos!$A$2:$A$13,0))*INDEX(Parametros!$B$26:$B$43,MATCH($C288,Parametros!$A$26:$A$43,0))</f>
        <v>22.1052</v>
      </c>
      <c r="R288" s="21" t="n">
        <f aca="false">L288*Q288</f>
        <v>4465.2504</v>
      </c>
      <c r="S288" s="18" t="n">
        <f aca="false">L288*INDEX(Parametros!$B$20:$B$22,MATCH($E288,Parametros!$A$20:$A$22,0))</f>
        <v>383.8</v>
      </c>
      <c r="T288" s="18" t="n">
        <f aca="false">P288*INDEX(Parametros!$B$13:$B$16,MATCH($F288,Parametros!$A$13:$A$16,0))</f>
        <v>282.68688</v>
      </c>
      <c r="U288" s="21" t="n">
        <f aca="false">P288-R288-S288-T288</f>
        <v>1935.43472</v>
      </c>
      <c r="V288" s="19" t="n">
        <f aca="false">IFERROR(U288/P288,0)</f>
        <v>0.273862687932316</v>
      </c>
      <c r="W288" s="48" t="n">
        <f aca="false">B288+INDEX(Parametros!$C$13:$C$16,MATCH($F288,Parametros!$A$13:$A$16,0))</f>
        <v>45832</v>
      </c>
      <c r="X288" s="31" t="s">
        <v>67</v>
      </c>
      <c r="Y288" s="53" t="n">
        <f aca="false">IF(COUNTIF($A$2:$A288,A288)=1,1,0)</f>
        <v>1</v>
      </c>
    </row>
    <row r="289" customFormat="false" ht="15" hidden="false" customHeight="false" outlineLevel="0" collapsed="false">
      <c r="A289" s="31" t="s">
        <v>400</v>
      </c>
      <c r="B289" s="36" t="n">
        <v>45757</v>
      </c>
      <c r="C289" s="49" t="n">
        <f aca="false">DATE(YEAR(B289),MONTH(B289),1)</f>
        <v>45748</v>
      </c>
      <c r="D289" s="31" t="s">
        <v>201</v>
      </c>
      <c r="E289" s="31" t="s">
        <v>41</v>
      </c>
      <c r="F289" s="31" t="s">
        <v>46</v>
      </c>
      <c r="G289" s="31" t="s">
        <v>62</v>
      </c>
      <c r="H289" s="31" t="s">
        <v>181</v>
      </c>
      <c r="I289" s="32" t="str">
        <f aca="false">INDEX(Productos!$B$2:$B$13,MATCH($H289,Productos!$A$2:$A$13,0))</f>
        <v>Autotaladrante 5,5x55 punta broca</v>
      </c>
      <c r="J289" s="32" t="str">
        <f aca="false">INDEX(Productos!$C$2:$C$13,MATCH($H289,Productos!$A$2:$A$13,0))</f>
        <v>Autotaladrante</v>
      </c>
      <c r="K289" s="31" t="s">
        <v>246</v>
      </c>
      <c r="L289" s="46" t="n">
        <v>90</v>
      </c>
      <c r="M289" s="50" t="n">
        <f aca="false">INDEX(Productos!$F$2:$F$13,MATCH($H289,Productos!$A$2:$A$13,0))</f>
        <v>39</v>
      </c>
      <c r="N289" s="51" t="n">
        <v>0.166</v>
      </c>
      <c r="O289" s="52" t="n">
        <f aca="false">M289*(1-N289)</f>
        <v>32.526</v>
      </c>
      <c r="P289" s="21" t="n">
        <f aca="false">L289*O289</f>
        <v>2927.34</v>
      </c>
      <c r="Q289" s="50" t="n">
        <f aca="false">INDEX(Productos!$E$2:$E$13,MATCH($H289,Productos!$A$2:$A$13,0))*INDEX(Parametros!$B$26:$B$43,MATCH($C289,Parametros!$A$26:$A$43,0))</f>
        <v>20.5842</v>
      </c>
      <c r="R289" s="21" t="n">
        <f aca="false">L289*Q289</f>
        <v>1852.578</v>
      </c>
      <c r="S289" s="18" t="n">
        <f aca="false">L289*INDEX(Parametros!$B$20:$B$22,MATCH($E289,Parametros!$A$20:$A$22,0))</f>
        <v>76.5</v>
      </c>
      <c r="T289" s="18" t="n">
        <f aca="false">P289*INDEX(Parametros!$B$13:$B$16,MATCH($F289,Parametros!$A$13:$A$16,0))</f>
        <v>117.0936</v>
      </c>
      <c r="U289" s="21" t="n">
        <f aca="false">P289-R289-S289-T289</f>
        <v>881.1684</v>
      </c>
      <c r="V289" s="19" t="n">
        <f aca="false">IFERROR(U289/P289,0)</f>
        <v>0.301013343171616</v>
      </c>
      <c r="W289" s="48" t="n">
        <f aca="false">B289+INDEX(Parametros!$C$13:$C$16,MATCH($F289,Parametros!$A$13:$A$16,0))</f>
        <v>45832</v>
      </c>
      <c r="X289" s="31" t="s">
        <v>67</v>
      </c>
      <c r="Y289" s="53" t="n">
        <f aca="false">IF(COUNTIF($A$2:$A289,A289)=1,1,0)</f>
        <v>1</v>
      </c>
    </row>
    <row r="290" customFormat="false" ht="15" hidden="false" customHeight="false" outlineLevel="0" collapsed="false">
      <c r="A290" s="31" t="s">
        <v>400</v>
      </c>
      <c r="B290" s="36" t="n">
        <v>45757</v>
      </c>
      <c r="C290" s="49" t="n">
        <f aca="false">DATE(YEAR(B290),MONTH(B290),1)</f>
        <v>45748</v>
      </c>
      <c r="D290" s="31" t="s">
        <v>201</v>
      </c>
      <c r="E290" s="31" t="s">
        <v>41</v>
      </c>
      <c r="F290" s="31" t="s">
        <v>46</v>
      </c>
      <c r="G290" s="31" t="s">
        <v>62</v>
      </c>
      <c r="H290" s="31" t="s">
        <v>167</v>
      </c>
      <c r="I290" s="32" t="str">
        <f aca="false">INDEX(Productos!$B$2:$B$13,MATCH($H290,Productos!$A$2:$A$13,0))</f>
        <v>Tornillo DIN 912 M6x25 Allen zincado</v>
      </c>
      <c r="J290" s="32" t="str">
        <f aca="false">INDEX(Productos!$C$2:$C$13,MATCH($H290,Productos!$A$2:$A$13,0))</f>
        <v>Métrica</v>
      </c>
      <c r="K290" s="31" t="s">
        <v>246</v>
      </c>
      <c r="L290" s="46" t="n">
        <v>90</v>
      </c>
      <c r="M290" s="50" t="n">
        <f aca="false">INDEX(Productos!$F$2:$F$13,MATCH($H290,Productos!$A$2:$A$13,0))</f>
        <v>42</v>
      </c>
      <c r="N290" s="51" t="n">
        <v>0.175</v>
      </c>
      <c r="O290" s="52" t="n">
        <f aca="false">M290*(1-N290)</f>
        <v>34.65</v>
      </c>
      <c r="P290" s="21" t="n">
        <f aca="false">L290*O290</f>
        <v>3118.5</v>
      </c>
      <c r="Q290" s="50" t="n">
        <f aca="false">INDEX(Productos!$E$2:$E$13,MATCH($H290,Productos!$A$2:$A$13,0))*INDEX(Parametros!$B$26:$B$43,MATCH($C290,Parametros!$A$26:$A$43,0))</f>
        <v>22.1052</v>
      </c>
      <c r="R290" s="21" t="n">
        <f aca="false">L290*Q290</f>
        <v>1989.468</v>
      </c>
      <c r="S290" s="18" t="n">
        <f aca="false">L290*INDEX(Parametros!$B$20:$B$22,MATCH($E290,Parametros!$A$20:$A$22,0))</f>
        <v>76.5</v>
      </c>
      <c r="T290" s="18" t="n">
        <f aca="false">P290*INDEX(Parametros!$B$13:$B$16,MATCH($F290,Parametros!$A$13:$A$16,0))</f>
        <v>124.74</v>
      </c>
      <c r="U290" s="21" t="n">
        <f aca="false">P290-R290-S290-T290</f>
        <v>927.792</v>
      </c>
      <c r="V290" s="19" t="n">
        <f aca="false">IFERROR(U290/P290,0)</f>
        <v>0.297512265512266</v>
      </c>
      <c r="W290" s="48" t="n">
        <f aca="false">B290+INDEX(Parametros!$C$13:$C$16,MATCH($F290,Parametros!$A$13:$A$16,0))</f>
        <v>45832</v>
      </c>
      <c r="X290" s="31" t="s">
        <v>67</v>
      </c>
      <c r="Y290" s="53" t="n">
        <f aca="false">IF(COUNTIF($A$2:$A290,A290)=1,1,0)</f>
        <v>0</v>
      </c>
    </row>
    <row r="291" customFormat="false" ht="15" hidden="false" customHeight="false" outlineLevel="0" collapsed="false">
      <c r="A291" s="31" t="s">
        <v>401</v>
      </c>
      <c r="B291" s="36" t="n">
        <v>45757</v>
      </c>
      <c r="C291" s="49" t="n">
        <f aca="false">DATE(YEAR(B291),MONTH(B291),1)</f>
        <v>45748</v>
      </c>
      <c r="D291" s="31" t="s">
        <v>222</v>
      </c>
      <c r="E291" s="31" t="s">
        <v>43</v>
      </c>
      <c r="F291" s="31" t="s">
        <v>45</v>
      </c>
      <c r="G291" s="31" t="s">
        <v>59</v>
      </c>
      <c r="H291" s="31" t="s">
        <v>171</v>
      </c>
      <c r="I291" s="32" t="str">
        <f aca="false">INDEX(Productos!$B$2:$B$13,MATCH($H291,Productos!$A$2:$A$13,0))</f>
        <v>Tornillo DIN 7991 M8x30 avellanado inox A2</v>
      </c>
      <c r="J291" s="32" t="str">
        <f aca="false">INDEX(Productos!$C$2:$C$13,MATCH($H291,Productos!$A$2:$A$13,0))</f>
        <v>Inoxidable</v>
      </c>
      <c r="K291" s="31" t="s">
        <v>246</v>
      </c>
      <c r="L291" s="46" t="n">
        <v>83</v>
      </c>
      <c r="M291" s="50" t="n">
        <f aca="false">INDEX(Productos!$F$2:$F$13,MATCH($H291,Productos!$A$2:$A$13,0))</f>
        <v>88</v>
      </c>
      <c r="N291" s="51" t="n">
        <v>0.205</v>
      </c>
      <c r="O291" s="52" t="n">
        <f aca="false">M291*(1-N291)</f>
        <v>69.96</v>
      </c>
      <c r="P291" s="21" t="n">
        <f aca="false">L291*O291</f>
        <v>5806.68</v>
      </c>
      <c r="Q291" s="50" t="n">
        <f aca="false">INDEX(Productos!$E$2:$E$13,MATCH($H291,Productos!$A$2:$A$13,0))*INDEX(Parametros!$B$26:$B$43,MATCH($C291,Parametros!$A$26:$A$43,0))</f>
        <v>47.151</v>
      </c>
      <c r="R291" s="21" t="n">
        <f aca="false">L291*Q291</f>
        <v>3913.533</v>
      </c>
      <c r="S291" s="18" t="n">
        <f aca="false">L291*INDEX(Parametros!$B$20:$B$22,MATCH($E291,Parametros!$A$20:$A$22,0))</f>
        <v>157.7</v>
      </c>
      <c r="T291" s="18" t="n">
        <f aca="false">P291*INDEX(Parametros!$B$13:$B$16,MATCH($F291,Parametros!$A$13:$A$16,0))</f>
        <v>174.2004</v>
      </c>
      <c r="U291" s="21" t="n">
        <f aca="false">P291-R291-S291-T291</f>
        <v>1561.2466</v>
      </c>
      <c r="V291" s="19" t="n">
        <f aca="false">IFERROR(U291/P291,0)</f>
        <v>0.268870783304746</v>
      </c>
      <c r="W291" s="48" t="n">
        <f aca="false">B291+INDEX(Parametros!$C$13:$C$16,MATCH($F291,Parametros!$A$13:$A$16,0))</f>
        <v>45817</v>
      </c>
      <c r="X291" s="31" t="s">
        <v>67</v>
      </c>
      <c r="Y291" s="53" t="n">
        <f aca="false">IF(COUNTIF($A$2:$A291,A291)=1,1,0)</f>
        <v>1</v>
      </c>
    </row>
    <row r="292" customFormat="false" ht="15" hidden="false" customHeight="false" outlineLevel="0" collapsed="false">
      <c r="A292" s="31" t="s">
        <v>402</v>
      </c>
      <c r="B292" s="36" t="n">
        <v>45758</v>
      </c>
      <c r="C292" s="49" t="n">
        <f aca="false">DATE(YEAR(B292),MONTH(B292),1)</f>
        <v>45748</v>
      </c>
      <c r="D292" s="31" t="s">
        <v>227</v>
      </c>
      <c r="E292" s="31" t="s">
        <v>43</v>
      </c>
      <c r="F292" s="31" t="s">
        <v>46</v>
      </c>
      <c r="G292" s="31" t="s">
        <v>59</v>
      </c>
      <c r="H292" s="31" t="s">
        <v>165</v>
      </c>
      <c r="I292" s="32" t="str">
        <f aca="false">INDEX(Productos!$B$2:$B$13,MATCH($H292,Productos!$A$2:$A$13,0))</f>
        <v>Tornillo DIN 933 M8x40 rosca completa zincado</v>
      </c>
      <c r="J292" s="32" t="str">
        <f aca="false">INDEX(Productos!$C$2:$C$13,MATCH($H292,Productos!$A$2:$A$13,0))</f>
        <v>Métrica</v>
      </c>
      <c r="K292" s="31" t="s">
        <v>246</v>
      </c>
      <c r="L292" s="46" t="n">
        <v>37</v>
      </c>
      <c r="M292" s="50" t="n">
        <f aca="false">INDEX(Productos!$F$2:$F$13,MATCH($H292,Productos!$A$2:$A$13,0))</f>
        <v>37.5</v>
      </c>
      <c r="N292" s="51" t="n">
        <v>0.138</v>
      </c>
      <c r="O292" s="52" t="n">
        <f aca="false">M292*(1-N292)</f>
        <v>32.325</v>
      </c>
      <c r="P292" s="21" t="n">
        <f aca="false">L292*O292</f>
        <v>1196.025</v>
      </c>
      <c r="Q292" s="50" t="n">
        <f aca="false">INDEX(Productos!$E$2:$E$13,MATCH($H292,Productos!$A$2:$A$13,0))*INDEX(Parametros!$B$26:$B$43,MATCH($C292,Parametros!$A$26:$A$43,0))</f>
        <v>19.6716</v>
      </c>
      <c r="R292" s="21" t="n">
        <f aca="false">L292*Q292</f>
        <v>727.8492</v>
      </c>
      <c r="S292" s="18" t="n">
        <f aca="false">L292*INDEX(Parametros!$B$20:$B$22,MATCH($E292,Parametros!$A$20:$A$22,0))</f>
        <v>70.3</v>
      </c>
      <c r="T292" s="18" t="n">
        <f aca="false">P292*INDEX(Parametros!$B$13:$B$16,MATCH($F292,Parametros!$A$13:$A$16,0))</f>
        <v>47.841</v>
      </c>
      <c r="U292" s="21" t="n">
        <f aca="false">P292-R292-S292-T292</f>
        <v>350.0348</v>
      </c>
      <c r="V292" s="19" t="n">
        <f aca="false">IFERROR(U292/P292,0)</f>
        <v>0.292665119876257</v>
      </c>
      <c r="W292" s="48" t="n">
        <f aca="false">B292+INDEX(Parametros!$C$13:$C$16,MATCH($F292,Parametros!$A$13:$A$16,0))</f>
        <v>45833</v>
      </c>
      <c r="X292" s="31" t="s">
        <v>67</v>
      </c>
      <c r="Y292" s="53" t="n">
        <f aca="false">IF(COUNTIF($A$2:$A292,A292)=1,1,0)</f>
        <v>1</v>
      </c>
    </row>
    <row r="293" customFormat="false" ht="15" hidden="false" customHeight="false" outlineLevel="0" collapsed="false">
      <c r="A293" s="31" t="s">
        <v>402</v>
      </c>
      <c r="B293" s="36" t="n">
        <v>45758</v>
      </c>
      <c r="C293" s="49" t="n">
        <f aca="false">DATE(YEAR(B293),MONTH(B293),1)</f>
        <v>45748</v>
      </c>
      <c r="D293" s="31" t="s">
        <v>227</v>
      </c>
      <c r="E293" s="31" t="s">
        <v>43</v>
      </c>
      <c r="F293" s="31" t="s">
        <v>46</v>
      </c>
      <c r="G293" s="31" t="s">
        <v>59</v>
      </c>
      <c r="H293" s="31" t="s">
        <v>167</v>
      </c>
      <c r="I293" s="32" t="str">
        <f aca="false">INDEX(Productos!$B$2:$B$13,MATCH($H293,Productos!$A$2:$A$13,0))</f>
        <v>Tornillo DIN 912 M6x25 Allen zincado</v>
      </c>
      <c r="J293" s="32" t="str">
        <f aca="false">INDEX(Productos!$C$2:$C$13,MATCH($H293,Productos!$A$2:$A$13,0))</f>
        <v>Métrica</v>
      </c>
      <c r="K293" s="31" t="s">
        <v>246</v>
      </c>
      <c r="L293" s="46" t="n">
        <v>33</v>
      </c>
      <c r="M293" s="50" t="n">
        <f aca="false">INDEX(Productos!$F$2:$F$13,MATCH($H293,Productos!$A$2:$A$13,0))</f>
        <v>42</v>
      </c>
      <c r="N293" s="51" t="n">
        <v>0.165</v>
      </c>
      <c r="O293" s="52" t="n">
        <f aca="false">M293*(1-N293)</f>
        <v>35.07</v>
      </c>
      <c r="P293" s="21" t="n">
        <f aca="false">L293*O293</f>
        <v>1157.31</v>
      </c>
      <c r="Q293" s="50" t="n">
        <f aca="false">INDEX(Productos!$E$2:$E$13,MATCH($H293,Productos!$A$2:$A$13,0))*INDEX(Parametros!$B$26:$B$43,MATCH($C293,Parametros!$A$26:$A$43,0))</f>
        <v>22.1052</v>
      </c>
      <c r="R293" s="21" t="n">
        <f aca="false">L293*Q293</f>
        <v>729.4716</v>
      </c>
      <c r="S293" s="18" t="n">
        <f aca="false">L293*INDEX(Parametros!$B$20:$B$22,MATCH($E293,Parametros!$A$20:$A$22,0))</f>
        <v>62.7</v>
      </c>
      <c r="T293" s="18" t="n">
        <f aca="false">P293*INDEX(Parametros!$B$13:$B$16,MATCH($F293,Parametros!$A$13:$A$16,0))</f>
        <v>46.2924</v>
      </c>
      <c r="U293" s="21" t="n">
        <f aca="false">P293-R293-S293-T293</f>
        <v>318.846</v>
      </c>
      <c r="V293" s="19" t="n">
        <f aca="false">IFERROR(U293/P293,0)</f>
        <v>0.275506130595951</v>
      </c>
      <c r="W293" s="48" t="n">
        <f aca="false">B293+INDEX(Parametros!$C$13:$C$16,MATCH($F293,Parametros!$A$13:$A$16,0))</f>
        <v>45833</v>
      </c>
      <c r="X293" s="31" t="s">
        <v>67</v>
      </c>
      <c r="Y293" s="53" t="n">
        <f aca="false">IF(COUNTIF($A$2:$A293,A293)=1,1,0)</f>
        <v>0</v>
      </c>
    </row>
    <row r="294" customFormat="false" ht="15" hidden="false" customHeight="false" outlineLevel="0" collapsed="false">
      <c r="A294" s="31" t="s">
        <v>402</v>
      </c>
      <c r="B294" s="36" t="n">
        <v>45758</v>
      </c>
      <c r="C294" s="49" t="n">
        <f aca="false">DATE(YEAR(B294),MONTH(B294),1)</f>
        <v>45748</v>
      </c>
      <c r="D294" s="31" t="s">
        <v>227</v>
      </c>
      <c r="E294" s="31" t="s">
        <v>43</v>
      </c>
      <c r="F294" s="31" t="s">
        <v>46</v>
      </c>
      <c r="G294" s="31" t="s">
        <v>59</v>
      </c>
      <c r="H294" s="31" t="s">
        <v>177</v>
      </c>
      <c r="I294" s="32" t="str">
        <f aca="false">INDEX(Productos!$B$2:$B$13,MATCH($H294,Productos!$A$2:$A$13,0))</f>
        <v>Tirafondo madera 6x100 cabeza plana Torx</v>
      </c>
      <c r="J294" s="32" t="str">
        <f aca="false">INDEX(Productos!$C$2:$C$13,MATCH($H294,Productos!$A$2:$A$13,0))</f>
        <v>Madera</v>
      </c>
      <c r="K294" s="31" t="s">
        <v>246</v>
      </c>
      <c r="L294" s="46" t="n">
        <v>35</v>
      </c>
      <c r="M294" s="50" t="n">
        <f aca="false">INDEX(Productos!$F$2:$F$13,MATCH($H294,Productos!$A$2:$A$13,0))</f>
        <v>34</v>
      </c>
      <c r="N294" s="51" t="n">
        <v>0.173</v>
      </c>
      <c r="O294" s="52" t="n">
        <f aca="false">M294*(1-N294)</f>
        <v>28.118</v>
      </c>
      <c r="P294" s="21" t="n">
        <f aca="false">L294*O294</f>
        <v>984.13</v>
      </c>
      <c r="Q294" s="50" t="n">
        <f aca="false">INDEX(Productos!$E$2:$E$13,MATCH($H294,Productos!$A$2:$A$13,0))*INDEX(Parametros!$B$26:$B$43,MATCH($C294,Parametros!$A$26:$A$43,0))</f>
        <v>18.0492</v>
      </c>
      <c r="R294" s="21" t="n">
        <f aca="false">L294*Q294</f>
        <v>631.722</v>
      </c>
      <c r="S294" s="18" t="n">
        <f aca="false">L294*INDEX(Parametros!$B$20:$B$22,MATCH($E294,Parametros!$A$20:$A$22,0))</f>
        <v>66.5</v>
      </c>
      <c r="T294" s="18" t="n">
        <f aca="false">P294*INDEX(Parametros!$B$13:$B$16,MATCH($F294,Parametros!$A$13:$A$16,0))</f>
        <v>39.3652</v>
      </c>
      <c r="U294" s="21" t="n">
        <f aca="false">P294-R294-S294-T294</f>
        <v>246.5428</v>
      </c>
      <c r="V294" s="19" t="n">
        <f aca="false">IFERROR(U294/P294,0)</f>
        <v>0.250518529056121</v>
      </c>
      <c r="W294" s="48" t="n">
        <f aca="false">B294+INDEX(Parametros!$C$13:$C$16,MATCH($F294,Parametros!$A$13:$A$16,0))</f>
        <v>45833</v>
      </c>
      <c r="X294" s="31" t="s">
        <v>69</v>
      </c>
      <c r="Y294" s="53" t="n">
        <f aca="false">IF(COUNTIF($A$2:$A294,A294)=1,1,0)</f>
        <v>0</v>
      </c>
    </row>
    <row r="295" customFormat="false" ht="15" hidden="false" customHeight="false" outlineLevel="0" collapsed="false">
      <c r="A295" s="31" t="s">
        <v>402</v>
      </c>
      <c r="B295" s="36" t="n">
        <v>45758</v>
      </c>
      <c r="C295" s="49" t="n">
        <f aca="false">DATE(YEAR(B295),MONTH(B295),1)</f>
        <v>45748</v>
      </c>
      <c r="D295" s="31" t="s">
        <v>227</v>
      </c>
      <c r="E295" s="31" t="s">
        <v>43</v>
      </c>
      <c r="F295" s="31" t="s">
        <v>46</v>
      </c>
      <c r="G295" s="31" t="s">
        <v>59</v>
      </c>
      <c r="H295" s="31" t="s">
        <v>171</v>
      </c>
      <c r="I295" s="32" t="str">
        <f aca="false">INDEX(Productos!$B$2:$B$13,MATCH($H295,Productos!$A$2:$A$13,0))</f>
        <v>Tornillo DIN 7991 M8x30 avellanado inox A2</v>
      </c>
      <c r="J295" s="32" t="str">
        <f aca="false">INDEX(Productos!$C$2:$C$13,MATCH($H295,Productos!$A$2:$A$13,0))</f>
        <v>Inoxidable</v>
      </c>
      <c r="K295" s="31" t="s">
        <v>246</v>
      </c>
      <c r="L295" s="46" t="n">
        <v>125</v>
      </c>
      <c r="M295" s="50" t="n">
        <f aca="false">INDEX(Productos!$F$2:$F$13,MATCH($H295,Productos!$A$2:$A$13,0))</f>
        <v>88</v>
      </c>
      <c r="N295" s="51" t="n">
        <v>0.166</v>
      </c>
      <c r="O295" s="52" t="n">
        <f aca="false">M295*(1-N295)</f>
        <v>73.392</v>
      </c>
      <c r="P295" s="21" t="n">
        <f aca="false">L295*O295</f>
        <v>9174</v>
      </c>
      <c r="Q295" s="50" t="n">
        <f aca="false">INDEX(Productos!$E$2:$E$13,MATCH($H295,Productos!$A$2:$A$13,0))*INDEX(Parametros!$B$26:$B$43,MATCH($C295,Parametros!$A$26:$A$43,0))</f>
        <v>47.151</v>
      </c>
      <c r="R295" s="21" t="n">
        <f aca="false">L295*Q295</f>
        <v>5893.875</v>
      </c>
      <c r="S295" s="18" t="n">
        <f aca="false">L295*INDEX(Parametros!$B$20:$B$22,MATCH($E295,Parametros!$A$20:$A$22,0))</f>
        <v>237.5</v>
      </c>
      <c r="T295" s="18" t="n">
        <f aca="false">P295*INDEX(Parametros!$B$13:$B$16,MATCH($F295,Parametros!$A$13:$A$16,0))</f>
        <v>366.96</v>
      </c>
      <c r="U295" s="21" t="n">
        <f aca="false">P295-R295-S295-T295</f>
        <v>2675.665</v>
      </c>
      <c r="V295" s="19" t="n">
        <f aca="false">IFERROR(U295/P295,0)</f>
        <v>0.291657401351646</v>
      </c>
      <c r="W295" s="48" t="n">
        <f aca="false">B295+INDEX(Parametros!$C$13:$C$16,MATCH($F295,Parametros!$A$13:$A$16,0))</f>
        <v>45833</v>
      </c>
      <c r="X295" s="31" t="s">
        <v>67</v>
      </c>
      <c r="Y295" s="53" t="n">
        <f aca="false">IF(COUNTIF($A$2:$A295,A295)=1,1,0)</f>
        <v>0</v>
      </c>
    </row>
    <row r="296" customFormat="false" ht="15" hidden="false" customHeight="false" outlineLevel="0" collapsed="false">
      <c r="A296" s="31" t="s">
        <v>403</v>
      </c>
      <c r="B296" s="36" t="n">
        <v>45761</v>
      </c>
      <c r="C296" s="49" t="n">
        <f aca="false">DATE(YEAR(B296),MONTH(B296),1)</f>
        <v>45748</v>
      </c>
      <c r="D296" s="31" t="s">
        <v>217</v>
      </c>
      <c r="E296" s="31" t="s">
        <v>42</v>
      </c>
      <c r="F296" s="31" t="s">
        <v>47</v>
      </c>
      <c r="G296" s="31" t="s">
        <v>61</v>
      </c>
      <c r="H296" s="31" t="s">
        <v>163</v>
      </c>
      <c r="I296" s="32" t="str">
        <f aca="false">INDEX(Productos!$B$2:$B$13,MATCH($H296,Productos!$A$2:$A$13,0))</f>
        <v>Tornillo DIN 933 M6x30 rosca completa zincado</v>
      </c>
      <c r="J296" s="32" t="str">
        <f aca="false">INDEX(Productos!$C$2:$C$13,MATCH($H296,Productos!$A$2:$A$13,0))</f>
        <v>Métrica</v>
      </c>
      <c r="K296" s="31" t="s">
        <v>246</v>
      </c>
      <c r="L296" s="46" t="n">
        <v>158</v>
      </c>
      <c r="M296" s="50" t="n">
        <f aca="false">INDEX(Productos!$F$2:$F$13,MATCH($H296,Productos!$A$2:$A$13,0))</f>
        <v>32</v>
      </c>
      <c r="N296" s="51" t="n">
        <v>0.074</v>
      </c>
      <c r="O296" s="52" t="n">
        <f aca="false">M296*(1-N296)</f>
        <v>29.632</v>
      </c>
      <c r="P296" s="21" t="n">
        <f aca="false">L296*O296</f>
        <v>4681.856</v>
      </c>
      <c r="Q296" s="50" t="n">
        <f aca="false">INDEX(Productos!$E$2:$E$13,MATCH($H296,Productos!$A$2:$A$13,0))*INDEX(Parametros!$B$26:$B$43,MATCH($C296,Parametros!$A$26:$A$43,0))</f>
        <v>16.8324</v>
      </c>
      <c r="R296" s="21" t="n">
        <f aca="false">L296*Q296</f>
        <v>2659.5192</v>
      </c>
      <c r="S296" s="18" t="n">
        <f aca="false">L296*INDEX(Parametros!$B$20:$B$22,MATCH($E296,Parametros!$A$20:$A$22,0))</f>
        <v>379.2</v>
      </c>
      <c r="T296" s="18" t="n">
        <f aca="false">P296*INDEX(Parametros!$B$13:$B$16,MATCH($F296,Parametros!$A$13:$A$16,0))</f>
        <v>163.86496</v>
      </c>
      <c r="U296" s="21" t="n">
        <f aca="false">P296-R296-S296-T296</f>
        <v>1479.27184</v>
      </c>
      <c r="V296" s="19" t="n">
        <f aca="false">IFERROR(U296/P296,0)</f>
        <v>0.315958423326134</v>
      </c>
      <c r="W296" s="48" t="n">
        <f aca="false">B296+INDEX(Parametros!$C$13:$C$16,MATCH($F296,Parametros!$A$13:$A$16,0))</f>
        <v>45806</v>
      </c>
      <c r="X296" s="31" t="s">
        <v>67</v>
      </c>
      <c r="Y296" s="53" t="n">
        <f aca="false">IF(COUNTIF($A$2:$A296,A296)=1,1,0)</f>
        <v>1</v>
      </c>
    </row>
    <row r="297" customFormat="false" ht="15" hidden="false" customHeight="false" outlineLevel="0" collapsed="false">
      <c r="A297" s="31" t="s">
        <v>403</v>
      </c>
      <c r="B297" s="36" t="n">
        <v>45761</v>
      </c>
      <c r="C297" s="49" t="n">
        <f aca="false">DATE(YEAR(B297),MONTH(B297),1)</f>
        <v>45748</v>
      </c>
      <c r="D297" s="31" t="s">
        <v>217</v>
      </c>
      <c r="E297" s="31" t="s">
        <v>42</v>
      </c>
      <c r="F297" s="31" t="s">
        <v>47</v>
      </c>
      <c r="G297" s="31" t="s">
        <v>61</v>
      </c>
      <c r="H297" s="31" t="s">
        <v>167</v>
      </c>
      <c r="I297" s="32" t="str">
        <f aca="false">INDEX(Productos!$B$2:$B$13,MATCH($H297,Productos!$A$2:$A$13,0))</f>
        <v>Tornillo DIN 912 M6x25 Allen zincado</v>
      </c>
      <c r="J297" s="32" t="str">
        <f aca="false">INDEX(Productos!$C$2:$C$13,MATCH($H297,Productos!$A$2:$A$13,0))</f>
        <v>Métrica</v>
      </c>
      <c r="K297" s="31" t="s">
        <v>246</v>
      </c>
      <c r="L297" s="46" t="n">
        <v>25</v>
      </c>
      <c r="M297" s="50" t="n">
        <f aca="false">INDEX(Productos!$F$2:$F$13,MATCH($H297,Productos!$A$2:$A$13,0))</f>
        <v>42</v>
      </c>
      <c r="N297" s="51" t="n">
        <v>0.076</v>
      </c>
      <c r="O297" s="52" t="n">
        <f aca="false">M297*(1-N297)</f>
        <v>38.808</v>
      </c>
      <c r="P297" s="21" t="n">
        <f aca="false">L297*O297</f>
        <v>970.2</v>
      </c>
      <c r="Q297" s="50" t="n">
        <f aca="false">INDEX(Productos!$E$2:$E$13,MATCH($H297,Productos!$A$2:$A$13,0))*INDEX(Parametros!$B$26:$B$43,MATCH($C297,Parametros!$A$26:$A$43,0))</f>
        <v>22.1052</v>
      </c>
      <c r="R297" s="21" t="n">
        <f aca="false">L297*Q297</f>
        <v>552.63</v>
      </c>
      <c r="S297" s="18" t="n">
        <f aca="false">L297*INDEX(Parametros!$B$20:$B$22,MATCH($E297,Parametros!$A$20:$A$22,0))</f>
        <v>60</v>
      </c>
      <c r="T297" s="18" t="n">
        <f aca="false">P297*INDEX(Parametros!$B$13:$B$16,MATCH($F297,Parametros!$A$13:$A$16,0))</f>
        <v>33.957</v>
      </c>
      <c r="U297" s="21" t="n">
        <f aca="false">P297-R297-S297-T297</f>
        <v>323.613</v>
      </c>
      <c r="V297" s="19" t="n">
        <f aca="false">IFERROR(U297/P297,0)</f>
        <v>0.333552875695733</v>
      </c>
      <c r="W297" s="48" t="n">
        <f aca="false">B297+INDEX(Parametros!$C$13:$C$16,MATCH($F297,Parametros!$A$13:$A$16,0))</f>
        <v>45806</v>
      </c>
      <c r="X297" s="31" t="s">
        <v>67</v>
      </c>
      <c r="Y297" s="53" t="n">
        <f aca="false">IF(COUNTIF($A$2:$A297,A297)=1,1,0)</f>
        <v>0</v>
      </c>
    </row>
    <row r="298" customFormat="false" ht="15" hidden="false" customHeight="false" outlineLevel="0" collapsed="false">
      <c r="A298" s="31" t="s">
        <v>404</v>
      </c>
      <c r="B298" s="36" t="n">
        <v>45761</v>
      </c>
      <c r="C298" s="49" t="n">
        <f aca="false">DATE(YEAR(B298),MONTH(B298),1)</f>
        <v>45748</v>
      </c>
      <c r="D298" s="31" t="s">
        <v>227</v>
      </c>
      <c r="E298" s="31" t="s">
        <v>43</v>
      </c>
      <c r="F298" s="31" t="s">
        <v>46</v>
      </c>
      <c r="G298" s="31" t="s">
        <v>59</v>
      </c>
      <c r="H298" s="31" t="s">
        <v>171</v>
      </c>
      <c r="I298" s="32" t="str">
        <f aca="false">INDEX(Productos!$B$2:$B$13,MATCH($H298,Productos!$A$2:$A$13,0))</f>
        <v>Tornillo DIN 7991 M8x30 avellanado inox A2</v>
      </c>
      <c r="J298" s="32" t="str">
        <f aca="false">INDEX(Productos!$C$2:$C$13,MATCH($H298,Productos!$A$2:$A$13,0))</f>
        <v>Inoxidable</v>
      </c>
      <c r="K298" s="31" t="s">
        <v>246</v>
      </c>
      <c r="L298" s="46" t="n">
        <v>70</v>
      </c>
      <c r="M298" s="50" t="n">
        <f aca="false">INDEX(Productos!$F$2:$F$13,MATCH($H298,Productos!$A$2:$A$13,0))</f>
        <v>88</v>
      </c>
      <c r="N298" s="51" t="n">
        <v>0.149</v>
      </c>
      <c r="O298" s="52" t="n">
        <f aca="false">M298*(1-N298)</f>
        <v>74.888</v>
      </c>
      <c r="P298" s="21" t="n">
        <f aca="false">L298*O298</f>
        <v>5242.16</v>
      </c>
      <c r="Q298" s="50" t="n">
        <f aca="false">INDEX(Productos!$E$2:$E$13,MATCH($H298,Productos!$A$2:$A$13,0))*INDEX(Parametros!$B$26:$B$43,MATCH($C298,Parametros!$A$26:$A$43,0))</f>
        <v>47.151</v>
      </c>
      <c r="R298" s="21" t="n">
        <f aca="false">L298*Q298</f>
        <v>3300.57</v>
      </c>
      <c r="S298" s="18" t="n">
        <f aca="false">L298*INDEX(Parametros!$B$20:$B$22,MATCH($E298,Parametros!$A$20:$A$22,0))</f>
        <v>133</v>
      </c>
      <c r="T298" s="18" t="n">
        <f aca="false">P298*INDEX(Parametros!$B$13:$B$16,MATCH($F298,Parametros!$A$13:$A$16,0))</f>
        <v>209.6864</v>
      </c>
      <c r="U298" s="21" t="n">
        <f aca="false">P298-R298-S298-T298</f>
        <v>1598.9036</v>
      </c>
      <c r="V298" s="19" t="n">
        <f aca="false">IFERROR(U298/P298,0)</f>
        <v>0.305008546095503</v>
      </c>
      <c r="W298" s="48" t="n">
        <f aca="false">B298+INDEX(Parametros!$C$13:$C$16,MATCH($F298,Parametros!$A$13:$A$16,0))</f>
        <v>45836</v>
      </c>
      <c r="X298" s="31" t="s">
        <v>67</v>
      </c>
      <c r="Y298" s="53" t="n">
        <f aca="false">IF(COUNTIF($A$2:$A298,A298)=1,1,0)</f>
        <v>1</v>
      </c>
    </row>
    <row r="299" customFormat="false" ht="15" hidden="false" customHeight="false" outlineLevel="0" collapsed="false">
      <c r="A299" s="31" t="s">
        <v>405</v>
      </c>
      <c r="B299" s="36" t="n">
        <v>45761</v>
      </c>
      <c r="C299" s="49" t="n">
        <f aca="false">DATE(YEAR(B299),MONTH(B299),1)</f>
        <v>45748</v>
      </c>
      <c r="D299" s="31" t="s">
        <v>218</v>
      </c>
      <c r="E299" s="31" t="s">
        <v>42</v>
      </c>
      <c r="F299" s="31" t="s">
        <v>45</v>
      </c>
      <c r="G299" s="31" t="s">
        <v>61</v>
      </c>
      <c r="H299" s="31" t="s">
        <v>175</v>
      </c>
      <c r="I299" s="32" t="str">
        <f aca="false">INDEX(Productos!$B$2:$B$13,MATCH($H299,Productos!$A$2:$A$13,0))</f>
        <v>Tirafondo madera 5x60 cabeza plana Torx</v>
      </c>
      <c r="J299" s="32" t="str">
        <f aca="false">INDEX(Productos!$C$2:$C$13,MATCH($H299,Productos!$A$2:$A$13,0))</f>
        <v>Madera</v>
      </c>
      <c r="K299" s="31" t="s">
        <v>246</v>
      </c>
      <c r="L299" s="46" t="n">
        <v>124</v>
      </c>
      <c r="M299" s="50" t="n">
        <f aca="false">INDEX(Productos!$F$2:$F$13,MATCH($H299,Productos!$A$2:$A$13,0))</f>
        <v>26</v>
      </c>
      <c r="N299" s="51" t="n">
        <v>0.129</v>
      </c>
      <c r="O299" s="52" t="n">
        <f aca="false">M299*(1-N299)</f>
        <v>22.646</v>
      </c>
      <c r="P299" s="21" t="n">
        <f aca="false">L299*O299</f>
        <v>2808.104</v>
      </c>
      <c r="Q299" s="50" t="n">
        <f aca="false">INDEX(Productos!$E$2:$E$13,MATCH($H299,Productos!$A$2:$A$13,0))*INDEX(Parametros!$B$26:$B$43,MATCH($C299,Parametros!$A$26:$A$43,0))</f>
        <v>13.5876</v>
      </c>
      <c r="R299" s="21" t="n">
        <f aca="false">L299*Q299</f>
        <v>1684.8624</v>
      </c>
      <c r="S299" s="18" t="n">
        <f aca="false">L299*INDEX(Parametros!$B$20:$B$22,MATCH($E299,Parametros!$A$20:$A$22,0))</f>
        <v>297.6</v>
      </c>
      <c r="T299" s="18" t="n">
        <f aca="false">P299*INDEX(Parametros!$B$13:$B$16,MATCH($F299,Parametros!$A$13:$A$16,0))</f>
        <v>84.24312</v>
      </c>
      <c r="U299" s="21" t="n">
        <f aca="false">P299-R299-S299-T299</f>
        <v>741.39848</v>
      </c>
      <c r="V299" s="19" t="n">
        <f aca="false">IFERROR(U299/P299,0)</f>
        <v>0.264021019164532</v>
      </c>
      <c r="W299" s="48" t="n">
        <f aca="false">B299+INDEX(Parametros!$C$13:$C$16,MATCH($F299,Parametros!$A$13:$A$16,0))</f>
        <v>45821</v>
      </c>
      <c r="X299" s="31" t="s">
        <v>67</v>
      </c>
      <c r="Y299" s="53" t="n">
        <f aca="false">IF(COUNTIF($A$2:$A299,A299)=1,1,0)</f>
        <v>1</v>
      </c>
    </row>
    <row r="300" customFormat="false" ht="15" hidden="false" customHeight="false" outlineLevel="0" collapsed="false">
      <c r="A300" s="31" t="s">
        <v>405</v>
      </c>
      <c r="B300" s="36" t="n">
        <v>45761</v>
      </c>
      <c r="C300" s="49" t="n">
        <f aca="false">DATE(YEAR(B300),MONTH(B300),1)</f>
        <v>45748</v>
      </c>
      <c r="D300" s="31" t="s">
        <v>218</v>
      </c>
      <c r="E300" s="31" t="s">
        <v>42</v>
      </c>
      <c r="F300" s="31" t="s">
        <v>45</v>
      </c>
      <c r="G300" s="31" t="s">
        <v>61</v>
      </c>
      <c r="H300" s="31" t="s">
        <v>177</v>
      </c>
      <c r="I300" s="32" t="str">
        <f aca="false">INDEX(Productos!$B$2:$B$13,MATCH($H300,Productos!$A$2:$A$13,0))</f>
        <v>Tirafondo madera 6x100 cabeza plana Torx</v>
      </c>
      <c r="J300" s="32" t="str">
        <f aca="false">INDEX(Productos!$C$2:$C$13,MATCH($H300,Productos!$A$2:$A$13,0))</f>
        <v>Madera</v>
      </c>
      <c r="K300" s="31" t="s">
        <v>246</v>
      </c>
      <c r="L300" s="46" t="n">
        <v>85</v>
      </c>
      <c r="M300" s="50" t="n">
        <f aca="false">INDEX(Productos!$F$2:$F$13,MATCH($H300,Productos!$A$2:$A$13,0))</f>
        <v>34</v>
      </c>
      <c r="N300" s="51" t="n">
        <v>0.123</v>
      </c>
      <c r="O300" s="52" t="n">
        <f aca="false">M300*(1-N300)</f>
        <v>29.818</v>
      </c>
      <c r="P300" s="21" t="n">
        <f aca="false">L300*O300</f>
        <v>2534.53</v>
      </c>
      <c r="Q300" s="50" t="n">
        <f aca="false">INDEX(Productos!$E$2:$E$13,MATCH($H300,Productos!$A$2:$A$13,0))*INDEX(Parametros!$B$26:$B$43,MATCH($C300,Parametros!$A$26:$A$43,0))</f>
        <v>18.0492</v>
      </c>
      <c r="R300" s="21" t="n">
        <f aca="false">L300*Q300</f>
        <v>1534.182</v>
      </c>
      <c r="S300" s="18" t="n">
        <f aca="false">L300*INDEX(Parametros!$B$20:$B$22,MATCH($E300,Parametros!$A$20:$A$22,0))</f>
        <v>204</v>
      </c>
      <c r="T300" s="18" t="n">
        <f aca="false">P300*INDEX(Parametros!$B$13:$B$16,MATCH($F300,Parametros!$A$13:$A$16,0))</f>
        <v>76.0359</v>
      </c>
      <c r="U300" s="21" t="n">
        <f aca="false">P300-R300-S300-T300</f>
        <v>720.3121</v>
      </c>
      <c r="V300" s="19" t="n">
        <f aca="false">IFERROR(U300/P300,0)</f>
        <v>0.284199476826078</v>
      </c>
      <c r="W300" s="48" t="n">
        <f aca="false">B300+INDEX(Parametros!$C$13:$C$16,MATCH($F300,Parametros!$A$13:$A$16,0))</f>
        <v>45821</v>
      </c>
      <c r="X300" s="31" t="s">
        <v>67</v>
      </c>
      <c r="Y300" s="53" t="n">
        <f aca="false">IF(COUNTIF($A$2:$A300,A300)=1,1,0)</f>
        <v>0</v>
      </c>
    </row>
    <row r="301" customFormat="false" ht="15" hidden="false" customHeight="false" outlineLevel="0" collapsed="false">
      <c r="A301" s="31" t="s">
        <v>405</v>
      </c>
      <c r="B301" s="36" t="n">
        <v>45761</v>
      </c>
      <c r="C301" s="49" t="n">
        <f aca="false">DATE(YEAR(B301),MONTH(B301),1)</f>
        <v>45748</v>
      </c>
      <c r="D301" s="31" t="s">
        <v>218</v>
      </c>
      <c r="E301" s="31" t="s">
        <v>42</v>
      </c>
      <c r="F301" s="31" t="s">
        <v>45</v>
      </c>
      <c r="G301" s="31" t="s">
        <v>61</v>
      </c>
      <c r="H301" s="31" t="s">
        <v>163</v>
      </c>
      <c r="I301" s="32" t="str">
        <f aca="false">INDEX(Productos!$B$2:$B$13,MATCH($H301,Productos!$A$2:$A$13,0))</f>
        <v>Tornillo DIN 933 M6x30 rosca completa zincado</v>
      </c>
      <c r="J301" s="32" t="str">
        <f aca="false">INDEX(Productos!$C$2:$C$13,MATCH($H301,Productos!$A$2:$A$13,0))</f>
        <v>Métrica</v>
      </c>
      <c r="K301" s="31" t="s">
        <v>246</v>
      </c>
      <c r="L301" s="46" t="n">
        <v>112</v>
      </c>
      <c r="M301" s="50" t="n">
        <f aca="false">INDEX(Productos!$F$2:$F$13,MATCH($H301,Productos!$A$2:$A$13,0))</f>
        <v>32</v>
      </c>
      <c r="N301" s="51" t="n">
        <v>0.202</v>
      </c>
      <c r="O301" s="52" t="n">
        <f aca="false">M301*(1-N301)</f>
        <v>25.536</v>
      </c>
      <c r="P301" s="21" t="n">
        <f aca="false">L301*O301</f>
        <v>2860.032</v>
      </c>
      <c r="Q301" s="50" t="n">
        <f aca="false">INDEX(Productos!$E$2:$E$13,MATCH($H301,Productos!$A$2:$A$13,0))*INDEX(Parametros!$B$26:$B$43,MATCH($C301,Parametros!$A$26:$A$43,0))</f>
        <v>16.8324</v>
      </c>
      <c r="R301" s="21" t="n">
        <f aca="false">L301*Q301</f>
        <v>1885.2288</v>
      </c>
      <c r="S301" s="18" t="n">
        <f aca="false">L301*INDEX(Parametros!$B$20:$B$22,MATCH($E301,Parametros!$A$20:$A$22,0))</f>
        <v>268.8</v>
      </c>
      <c r="T301" s="18" t="n">
        <f aca="false">P301*INDEX(Parametros!$B$13:$B$16,MATCH($F301,Parametros!$A$13:$A$16,0))</f>
        <v>85.80096</v>
      </c>
      <c r="U301" s="21" t="n">
        <f aca="false">P301-R301-S301-T301</f>
        <v>620.20224</v>
      </c>
      <c r="V301" s="19" t="n">
        <f aca="false">IFERROR(U301/P301,0)</f>
        <v>0.216851503759398</v>
      </c>
      <c r="W301" s="48" t="n">
        <f aca="false">B301+INDEX(Parametros!$C$13:$C$16,MATCH($F301,Parametros!$A$13:$A$16,0))</f>
        <v>45821</v>
      </c>
      <c r="X301" s="31" t="s">
        <v>67</v>
      </c>
      <c r="Y301" s="53" t="n">
        <f aca="false">IF(COUNTIF($A$2:$A301,A301)=1,1,0)</f>
        <v>0</v>
      </c>
    </row>
    <row r="302" customFormat="false" ht="15" hidden="false" customHeight="false" outlineLevel="0" collapsed="false">
      <c r="A302" s="31" t="s">
        <v>405</v>
      </c>
      <c r="B302" s="36" t="n">
        <v>45761</v>
      </c>
      <c r="C302" s="49" t="n">
        <f aca="false">DATE(YEAR(B302),MONTH(B302),1)</f>
        <v>45748</v>
      </c>
      <c r="D302" s="31" t="s">
        <v>218</v>
      </c>
      <c r="E302" s="31" t="s">
        <v>42</v>
      </c>
      <c r="F302" s="31" t="s">
        <v>45</v>
      </c>
      <c r="G302" s="31" t="s">
        <v>61</v>
      </c>
      <c r="H302" s="31" t="s">
        <v>171</v>
      </c>
      <c r="I302" s="32" t="str">
        <f aca="false">INDEX(Productos!$B$2:$B$13,MATCH($H302,Productos!$A$2:$A$13,0))</f>
        <v>Tornillo DIN 7991 M8x30 avellanado inox A2</v>
      </c>
      <c r="J302" s="32" t="str">
        <f aca="false">INDEX(Productos!$C$2:$C$13,MATCH($H302,Productos!$A$2:$A$13,0))</f>
        <v>Inoxidable</v>
      </c>
      <c r="K302" s="31" t="s">
        <v>246</v>
      </c>
      <c r="L302" s="46" t="n">
        <v>74</v>
      </c>
      <c r="M302" s="50" t="n">
        <f aca="false">INDEX(Productos!$F$2:$F$13,MATCH($H302,Productos!$A$2:$A$13,0))</f>
        <v>88</v>
      </c>
      <c r="N302" s="51" t="n">
        <v>0.174</v>
      </c>
      <c r="O302" s="52" t="n">
        <f aca="false">M302*(1-N302)</f>
        <v>72.688</v>
      </c>
      <c r="P302" s="21" t="n">
        <f aca="false">L302*O302</f>
        <v>5378.912</v>
      </c>
      <c r="Q302" s="50" t="n">
        <f aca="false">INDEX(Productos!$E$2:$E$13,MATCH($H302,Productos!$A$2:$A$13,0))*INDEX(Parametros!$B$26:$B$43,MATCH($C302,Parametros!$A$26:$A$43,0))</f>
        <v>47.151</v>
      </c>
      <c r="R302" s="21" t="n">
        <f aca="false">L302*Q302</f>
        <v>3489.174</v>
      </c>
      <c r="S302" s="18" t="n">
        <f aca="false">L302*INDEX(Parametros!$B$20:$B$22,MATCH($E302,Parametros!$A$20:$A$22,0))</f>
        <v>177.6</v>
      </c>
      <c r="T302" s="18" t="n">
        <f aca="false">P302*INDEX(Parametros!$B$13:$B$16,MATCH($F302,Parametros!$A$13:$A$16,0))</f>
        <v>161.36736</v>
      </c>
      <c r="U302" s="21" t="n">
        <f aca="false">P302-R302-S302-T302</f>
        <v>1550.77064</v>
      </c>
      <c r="V302" s="19" t="n">
        <f aca="false">IFERROR(U302/P302,0)</f>
        <v>0.288305635042923</v>
      </c>
      <c r="W302" s="48" t="n">
        <f aca="false">B302+INDEX(Parametros!$C$13:$C$16,MATCH($F302,Parametros!$A$13:$A$16,0))</f>
        <v>45821</v>
      </c>
      <c r="X302" s="31" t="s">
        <v>67</v>
      </c>
      <c r="Y302" s="53" t="n">
        <f aca="false">IF(COUNTIF($A$2:$A302,A302)=1,1,0)</f>
        <v>0</v>
      </c>
    </row>
    <row r="303" customFormat="false" ht="15" hidden="false" customHeight="false" outlineLevel="0" collapsed="false">
      <c r="A303" s="31" t="s">
        <v>406</v>
      </c>
      <c r="B303" s="36" t="n">
        <v>45761</v>
      </c>
      <c r="C303" s="49" t="n">
        <f aca="false">DATE(YEAR(B303),MONTH(B303),1)</f>
        <v>45748</v>
      </c>
      <c r="D303" s="31" t="s">
        <v>201</v>
      </c>
      <c r="E303" s="31" t="s">
        <v>41</v>
      </c>
      <c r="F303" s="31" t="s">
        <v>46</v>
      </c>
      <c r="G303" s="31" t="s">
        <v>62</v>
      </c>
      <c r="H303" s="31" t="s">
        <v>163</v>
      </c>
      <c r="I303" s="32" t="str">
        <f aca="false">INDEX(Productos!$B$2:$B$13,MATCH($H303,Productos!$A$2:$A$13,0))</f>
        <v>Tornillo DIN 933 M6x30 rosca completa zincado</v>
      </c>
      <c r="J303" s="32" t="str">
        <f aca="false">INDEX(Productos!$C$2:$C$13,MATCH($H303,Productos!$A$2:$A$13,0))</f>
        <v>Métrica</v>
      </c>
      <c r="K303" s="31" t="s">
        <v>246</v>
      </c>
      <c r="L303" s="46" t="n">
        <v>142</v>
      </c>
      <c r="M303" s="50" t="n">
        <f aca="false">INDEX(Productos!$F$2:$F$13,MATCH($H303,Productos!$A$2:$A$13,0))</f>
        <v>32</v>
      </c>
      <c r="N303" s="51" t="n">
        <v>0.16</v>
      </c>
      <c r="O303" s="52" t="n">
        <f aca="false">M303*(1-N303)</f>
        <v>26.88</v>
      </c>
      <c r="P303" s="21" t="n">
        <f aca="false">L303*O303</f>
        <v>3816.96</v>
      </c>
      <c r="Q303" s="50" t="n">
        <f aca="false">INDEX(Productos!$E$2:$E$13,MATCH($H303,Productos!$A$2:$A$13,0))*INDEX(Parametros!$B$26:$B$43,MATCH($C303,Parametros!$A$26:$A$43,0))</f>
        <v>16.8324</v>
      </c>
      <c r="R303" s="21" t="n">
        <f aca="false">L303*Q303</f>
        <v>2390.2008</v>
      </c>
      <c r="S303" s="18" t="n">
        <f aca="false">L303*INDEX(Parametros!$B$20:$B$22,MATCH($E303,Parametros!$A$20:$A$22,0))</f>
        <v>120.7</v>
      </c>
      <c r="T303" s="18" t="n">
        <f aca="false">P303*INDEX(Parametros!$B$13:$B$16,MATCH($F303,Parametros!$A$13:$A$16,0))</f>
        <v>152.6784</v>
      </c>
      <c r="U303" s="21" t="n">
        <f aca="false">P303-R303-S303-T303</f>
        <v>1153.3808</v>
      </c>
      <c r="V303" s="19" t="n">
        <f aca="false">IFERROR(U303/P303,0)</f>
        <v>0.302172619047619</v>
      </c>
      <c r="W303" s="48" t="n">
        <f aca="false">B303+INDEX(Parametros!$C$13:$C$16,MATCH($F303,Parametros!$A$13:$A$16,0))</f>
        <v>45836</v>
      </c>
      <c r="X303" s="31" t="s">
        <v>67</v>
      </c>
      <c r="Y303" s="53" t="n">
        <f aca="false">IF(COUNTIF($A$2:$A303,A303)=1,1,0)</f>
        <v>1</v>
      </c>
    </row>
    <row r="304" customFormat="false" ht="15" hidden="false" customHeight="false" outlineLevel="0" collapsed="false">
      <c r="A304" s="31" t="s">
        <v>406</v>
      </c>
      <c r="B304" s="36" t="n">
        <v>45761</v>
      </c>
      <c r="C304" s="49" t="n">
        <f aca="false">DATE(YEAR(B304),MONTH(B304),1)</f>
        <v>45748</v>
      </c>
      <c r="D304" s="31" t="s">
        <v>201</v>
      </c>
      <c r="E304" s="31" t="s">
        <v>41</v>
      </c>
      <c r="F304" s="31" t="s">
        <v>46</v>
      </c>
      <c r="G304" s="31" t="s">
        <v>62</v>
      </c>
      <c r="H304" s="31" t="s">
        <v>185</v>
      </c>
      <c r="I304" s="32" t="str">
        <f aca="false">INDEX(Productos!$B$2:$B$13,MATCH($H304,Productos!$A$2:$A$13,0))</f>
        <v>Varilla roscada M10 x 1 m zincada</v>
      </c>
      <c r="J304" s="32" t="str">
        <f aca="false">INDEX(Productos!$C$2:$C$13,MATCH($H304,Productos!$A$2:$A$13,0))</f>
        <v>Especial</v>
      </c>
      <c r="K304" s="31" t="s">
        <v>246</v>
      </c>
      <c r="L304" s="46" t="n">
        <v>89</v>
      </c>
      <c r="M304" s="50" t="n">
        <f aca="false">INDEX(Productos!$F$2:$F$13,MATCH($H304,Productos!$A$2:$A$13,0))</f>
        <v>54</v>
      </c>
      <c r="N304" s="51" t="n">
        <v>0.101</v>
      </c>
      <c r="O304" s="52" t="n">
        <f aca="false">M304*(1-N304)</f>
        <v>48.546</v>
      </c>
      <c r="P304" s="21" t="n">
        <f aca="false">L304*O304</f>
        <v>4320.594</v>
      </c>
      <c r="Q304" s="50" t="n">
        <f aca="false">INDEX(Productos!$E$2:$E$13,MATCH($H304,Productos!$A$2:$A$13,0))*INDEX(Parametros!$B$26:$B$43,MATCH($C304,Parametros!$A$26:$A$43,0))</f>
        <v>28.899</v>
      </c>
      <c r="R304" s="21" t="n">
        <f aca="false">L304*Q304</f>
        <v>2572.011</v>
      </c>
      <c r="S304" s="18" t="n">
        <f aca="false">L304*INDEX(Parametros!$B$20:$B$22,MATCH($E304,Parametros!$A$20:$A$22,0))</f>
        <v>75.65</v>
      </c>
      <c r="T304" s="18" t="n">
        <f aca="false">P304*INDEX(Parametros!$B$13:$B$16,MATCH($F304,Parametros!$A$13:$A$16,0))</f>
        <v>172.82376</v>
      </c>
      <c r="U304" s="21" t="n">
        <f aca="false">P304-R304-S304-T304</f>
        <v>1500.10924</v>
      </c>
      <c r="V304" s="19" t="n">
        <f aca="false">IFERROR(U304/P304,0)</f>
        <v>0.347199769290982</v>
      </c>
      <c r="W304" s="48" t="n">
        <f aca="false">B304+INDEX(Parametros!$C$13:$C$16,MATCH($F304,Parametros!$A$13:$A$16,0))</f>
        <v>45836</v>
      </c>
      <c r="X304" s="31" t="s">
        <v>67</v>
      </c>
      <c r="Y304" s="53" t="n">
        <f aca="false">IF(COUNTIF($A$2:$A304,A304)=1,1,0)</f>
        <v>0</v>
      </c>
    </row>
    <row r="305" customFormat="false" ht="15" hidden="false" customHeight="false" outlineLevel="0" collapsed="false">
      <c r="A305" s="31" t="s">
        <v>406</v>
      </c>
      <c r="B305" s="36" t="n">
        <v>45761</v>
      </c>
      <c r="C305" s="49" t="n">
        <f aca="false">DATE(YEAR(B305),MONTH(B305),1)</f>
        <v>45748</v>
      </c>
      <c r="D305" s="31" t="s">
        <v>201</v>
      </c>
      <c r="E305" s="31" t="s">
        <v>41</v>
      </c>
      <c r="F305" s="31" t="s">
        <v>46</v>
      </c>
      <c r="G305" s="31" t="s">
        <v>62</v>
      </c>
      <c r="H305" s="31" t="s">
        <v>169</v>
      </c>
      <c r="I305" s="32" t="str">
        <f aca="false">INDEX(Productos!$B$2:$B$13,MATCH($H305,Productos!$A$2:$A$13,0))</f>
        <v>Tornillo DIN 912 M10x60 Allen inox A2</v>
      </c>
      <c r="J305" s="32" t="str">
        <f aca="false">INDEX(Productos!$C$2:$C$13,MATCH($H305,Productos!$A$2:$A$13,0))</f>
        <v>Inoxidable</v>
      </c>
      <c r="K305" s="31" t="s">
        <v>246</v>
      </c>
      <c r="L305" s="46" t="n">
        <v>80</v>
      </c>
      <c r="M305" s="50" t="n">
        <f aca="false">INDEX(Productos!$F$2:$F$13,MATCH($H305,Productos!$A$2:$A$13,0))</f>
        <v>79</v>
      </c>
      <c r="N305" s="51" t="n">
        <v>0.103</v>
      </c>
      <c r="O305" s="52" t="n">
        <f aca="false">M305*(1-N305)</f>
        <v>70.863</v>
      </c>
      <c r="P305" s="21" t="n">
        <f aca="false">L305*O305</f>
        <v>5669.04</v>
      </c>
      <c r="Q305" s="50" t="n">
        <f aca="false">INDEX(Productos!$E$2:$E$13,MATCH($H305,Productos!$A$2:$A$13,0))*INDEX(Parametros!$B$26:$B$43,MATCH($C305,Parametros!$A$26:$A$43,0))</f>
        <v>42.588</v>
      </c>
      <c r="R305" s="21" t="n">
        <f aca="false">L305*Q305</f>
        <v>3407.04</v>
      </c>
      <c r="S305" s="18" t="n">
        <f aca="false">L305*INDEX(Parametros!$B$20:$B$22,MATCH($E305,Parametros!$A$20:$A$22,0))</f>
        <v>68</v>
      </c>
      <c r="T305" s="18" t="n">
        <f aca="false">P305*INDEX(Parametros!$B$13:$B$16,MATCH($F305,Parametros!$A$13:$A$16,0))</f>
        <v>226.7616</v>
      </c>
      <c r="U305" s="21" t="n">
        <f aca="false">P305-R305-S305-T305</f>
        <v>1967.2384</v>
      </c>
      <c r="V305" s="19" t="n">
        <f aca="false">IFERROR(U305/P305,0)</f>
        <v>0.347014379859729</v>
      </c>
      <c r="W305" s="48" t="n">
        <f aca="false">B305+INDEX(Parametros!$C$13:$C$16,MATCH($F305,Parametros!$A$13:$A$16,0))</f>
        <v>45836</v>
      </c>
      <c r="X305" s="31" t="s">
        <v>67</v>
      </c>
      <c r="Y305" s="53" t="n">
        <f aca="false">IF(COUNTIF($A$2:$A305,A305)=1,1,0)</f>
        <v>0</v>
      </c>
    </row>
    <row r="306" customFormat="false" ht="15" hidden="false" customHeight="false" outlineLevel="0" collapsed="false">
      <c r="A306" s="31" t="s">
        <v>407</v>
      </c>
      <c r="B306" s="36" t="n">
        <v>45762</v>
      </c>
      <c r="C306" s="49" t="n">
        <f aca="false">DATE(YEAR(B306),MONTH(B306),1)</f>
        <v>45748</v>
      </c>
      <c r="D306" s="31" t="s">
        <v>203</v>
      </c>
      <c r="E306" s="31" t="s">
        <v>41</v>
      </c>
      <c r="F306" s="31" t="s">
        <v>46</v>
      </c>
      <c r="G306" s="31" t="s">
        <v>58</v>
      </c>
      <c r="H306" s="31" t="s">
        <v>179</v>
      </c>
      <c r="I306" s="32" t="str">
        <f aca="false">INDEX(Productos!$B$2:$B$13,MATCH($H306,Productos!$A$2:$A$13,0))</f>
        <v>Autotaladrante DIN 7504 4,8x38 zincado</v>
      </c>
      <c r="J306" s="32" t="str">
        <f aca="false">INDEX(Productos!$C$2:$C$13,MATCH($H306,Productos!$A$2:$A$13,0))</f>
        <v>Autotaladrante</v>
      </c>
      <c r="K306" s="31" t="s">
        <v>246</v>
      </c>
      <c r="L306" s="46" t="n">
        <v>53</v>
      </c>
      <c r="M306" s="50" t="n">
        <f aca="false">INDEX(Productos!$F$2:$F$13,MATCH($H306,Productos!$A$2:$A$13,0))</f>
        <v>29.5</v>
      </c>
      <c r="N306" s="51" t="n">
        <v>0.136</v>
      </c>
      <c r="O306" s="52" t="n">
        <f aca="false">M306*(1-N306)</f>
        <v>25.488</v>
      </c>
      <c r="P306" s="21" t="n">
        <f aca="false">L306*O306</f>
        <v>1350.864</v>
      </c>
      <c r="Q306" s="50" t="n">
        <f aca="false">INDEX(Productos!$E$2:$E$13,MATCH($H306,Productos!$A$2:$A$13,0))*INDEX(Parametros!$B$26:$B$43,MATCH($C306,Parametros!$A$26:$A$43,0))</f>
        <v>15.4128</v>
      </c>
      <c r="R306" s="21" t="n">
        <f aca="false">L306*Q306</f>
        <v>816.8784</v>
      </c>
      <c r="S306" s="18" t="n">
        <f aca="false">L306*INDEX(Parametros!$B$20:$B$22,MATCH($E306,Parametros!$A$20:$A$22,0))</f>
        <v>45.05</v>
      </c>
      <c r="T306" s="18" t="n">
        <f aca="false">P306*INDEX(Parametros!$B$13:$B$16,MATCH($F306,Parametros!$A$13:$A$16,0))</f>
        <v>54.03456</v>
      </c>
      <c r="U306" s="21" t="n">
        <f aca="false">P306-R306-S306-T306</f>
        <v>434.90104</v>
      </c>
      <c r="V306" s="19" t="n">
        <f aca="false">IFERROR(U306/P306,0)</f>
        <v>0.321942875078468</v>
      </c>
      <c r="W306" s="48" t="n">
        <f aca="false">B306+INDEX(Parametros!$C$13:$C$16,MATCH($F306,Parametros!$A$13:$A$16,0))</f>
        <v>45837</v>
      </c>
      <c r="X306" s="31" t="s">
        <v>67</v>
      </c>
      <c r="Y306" s="53" t="n">
        <f aca="false">IF(COUNTIF($A$2:$A306,A306)=1,1,0)</f>
        <v>1</v>
      </c>
    </row>
    <row r="307" customFormat="false" ht="15" hidden="false" customHeight="false" outlineLevel="0" collapsed="false">
      <c r="A307" s="31" t="s">
        <v>408</v>
      </c>
      <c r="B307" s="36" t="n">
        <v>45762</v>
      </c>
      <c r="C307" s="49" t="n">
        <f aca="false">DATE(YEAR(B307),MONTH(B307),1)</f>
        <v>45748</v>
      </c>
      <c r="D307" s="31" t="s">
        <v>212</v>
      </c>
      <c r="E307" s="31" t="s">
        <v>42</v>
      </c>
      <c r="F307" s="31" t="s">
        <v>45</v>
      </c>
      <c r="G307" s="31" t="s">
        <v>61</v>
      </c>
      <c r="H307" s="31" t="s">
        <v>179</v>
      </c>
      <c r="I307" s="32" t="str">
        <f aca="false">INDEX(Productos!$B$2:$B$13,MATCH($H307,Productos!$A$2:$A$13,0))</f>
        <v>Autotaladrante DIN 7504 4,8x38 zincado</v>
      </c>
      <c r="J307" s="32" t="str">
        <f aca="false">INDEX(Productos!$C$2:$C$13,MATCH($H307,Productos!$A$2:$A$13,0))</f>
        <v>Autotaladrante</v>
      </c>
      <c r="K307" s="31" t="s">
        <v>246</v>
      </c>
      <c r="L307" s="46" t="n">
        <v>125</v>
      </c>
      <c r="M307" s="50" t="n">
        <f aca="false">INDEX(Productos!$F$2:$F$13,MATCH($H307,Productos!$A$2:$A$13,0))</f>
        <v>29.5</v>
      </c>
      <c r="N307" s="51" t="n">
        <v>0.213</v>
      </c>
      <c r="O307" s="52" t="n">
        <f aca="false">M307*(1-N307)</f>
        <v>23.2165</v>
      </c>
      <c r="P307" s="21" t="n">
        <f aca="false">L307*O307</f>
        <v>2902.0625</v>
      </c>
      <c r="Q307" s="50" t="n">
        <f aca="false">INDEX(Productos!$E$2:$E$13,MATCH($H307,Productos!$A$2:$A$13,0))*INDEX(Parametros!$B$26:$B$43,MATCH($C307,Parametros!$A$26:$A$43,0))</f>
        <v>15.4128</v>
      </c>
      <c r="R307" s="21" t="n">
        <f aca="false">L307*Q307</f>
        <v>1926.6</v>
      </c>
      <c r="S307" s="18" t="n">
        <f aca="false">L307*INDEX(Parametros!$B$20:$B$22,MATCH($E307,Parametros!$A$20:$A$22,0))</f>
        <v>300</v>
      </c>
      <c r="T307" s="18" t="n">
        <f aca="false">P307*INDEX(Parametros!$B$13:$B$16,MATCH($F307,Parametros!$A$13:$A$16,0))</f>
        <v>87.061875</v>
      </c>
      <c r="U307" s="21" t="n">
        <f aca="false">P307-R307-S307-T307</f>
        <v>588.400625</v>
      </c>
      <c r="V307" s="19" t="n">
        <f aca="false">IFERROR(U307/P307,0)</f>
        <v>0.20275256821657</v>
      </c>
      <c r="W307" s="48" t="n">
        <f aca="false">B307+INDEX(Parametros!$C$13:$C$16,MATCH($F307,Parametros!$A$13:$A$16,0))</f>
        <v>45822</v>
      </c>
      <c r="X307" s="31" t="s">
        <v>67</v>
      </c>
      <c r="Y307" s="53" t="n">
        <f aca="false">IF(COUNTIF($A$2:$A307,A307)=1,1,0)</f>
        <v>1</v>
      </c>
    </row>
    <row r="308" customFormat="false" ht="15" hidden="false" customHeight="false" outlineLevel="0" collapsed="false">
      <c r="A308" s="31" t="s">
        <v>408</v>
      </c>
      <c r="B308" s="36" t="n">
        <v>45762</v>
      </c>
      <c r="C308" s="49" t="n">
        <f aca="false">DATE(YEAR(B308),MONTH(B308),1)</f>
        <v>45748</v>
      </c>
      <c r="D308" s="31" t="s">
        <v>212</v>
      </c>
      <c r="E308" s="31" t="s">
        <v>42</v>
      </c>
      <c r="F308" s="31" t="s">
        <v>45</v>
      </c>
      <c r="G308" s="31" t="s">
        <v>61</v>
      </c>
      <c r="H308" s="31" t="s">
        <v>165</v>
      </c>
      <c r="I308" s="32" t="str">
        <f aca="false">INDEX(Productos!$B$2:$B$13,MATCH($H308,Productos!$A$2:$A$13,0))</f>
        <v>Tornillo DIN 933 M8x40 rosca completa zincado</v>
      </c>
      <c r="J308" s="32" t="str">
        <f aca="false">INDEX(Productos!$C$2:$C$13,MATCH($H308,Productos!$A$2:$A$13,0))</f>
        <v>Métrica</v>
      </c>
      <c r="K308" s="31" t="s">
        <v>246</v>
      </c>
      <c r="L308" s="46" t="n">
        <v>148</v>
      </c>
      <c r="M308" s="50" t="n">
        <f aca="false">INDEX(Productos!$F$2:$F$13,MATCH($H308,Productos!$A$2:$A$13,0))</f>
        <v>37.5</v>
      </c>
      <c r="N308" s="51" t="n">
        <v>0.161</v>
      </c>
      <c r="O308" s="52" t="n">
        <f aca="false">M308*(1-N308)</f>
        <v>31.4625</v>
      </c>
      <c r="P308" s="21" t="n">
        <f aca="false">L308*O308</f>
        <v>4656.45</v>
      </c>
      <c r="Q308" s="50" t="n">
        <f aca="false">INDEX(Productos!$E$2:$E$13,MATCH($H308,Productos!$A$2:$A$13,0))*INDEX(Parametros!$B$26:$B$43,MATCH($C308,Parametros!$A$26:$A$43,0))</f>
        <v>19.6716</v>
      </c>
      <c r="R308" s="21" t="n">
        <f aca="false">L308*Q308</f>
        <v>2911.3968</v>
      </c>
      <c r="S308" s="18" t="n">
        <f aca="false">L308*INDEX(Parametros!$B$20:$B$22,MATCH($E308,Parametros!$A$20:$A$22,0))</f>
        <v>355.2</v>
      </c>
      <c r="T308" s="18" t="n">
        <f aca="false">P308*INDEX(Parametros!$B$13:$B$16,MATCH($F308,Parametros!$A$13:$A$16,0))</f>
        <v>139.6935</v>
      </c>
      <c r="U308" s="21" t="n">
        <f aca="false">P308-R308-S308-T308</f>
        <v>1250.1597</v>
      </c>
      <c r="V308" s="19" t="n">
        <f aca="false">IFERROR(U308/P308,0)</f>
        <v>0.268479141835519</v>
      </c>
      <c r="W308" s="48" t="n">
        <f aca="false">B308+INDEX(Parametros!$C$13:$C$16,MATCH($F308,Parametros!$A$13:$A$16,0))</f>
        <v>45822</v>
      </c>
      <c r="X308" s="31" t="s">
        <v>67</v>
      </c>
      <c r="Y308" s="53" t="n">
        <f aca="false">IF(COUNTIF($A$2:$A308,A308)=1,1,0)</f>
        <v>0</v>
      </c>
    </row>
    <row r="309" customFormat="false" ht="15" hidden="false" customHeight="false" outlineLevel="0" collapsed="false">
      <c r="A309" s="31" t="s">
        <v>409</v>
      </c>
      <c r="B309" s="36" t="n">
        <v>45763</v>
      </c>
      <c r="C309" s="49" t="n">
        <f aca="false">DATE(YEAR(B309),MONTH(B309),1)</f>
        <v>45748</v>
      </c>
      <c r="D309" s="31" t="s">
        <v>193</v>
      </c>
      <c r="E309" s="31" t="s">
        <v>41</v>
      </c>
      <c r="F309" s="31" t="s">
        <v>45</v>
      </c>
      <c r="G309" s="31" t="s">
        <v>62</v>
      </c>
      <c r="H309" s="31" t="s">
        <v>169</v>
      </c>
      <c r="I309" s="32" t="str">
        <f aca="false">INDEX(Productos!$B$2:$B$13,MATCH($H309,Productos!$A$2:$A$13,0))</f>
        <v>Tornillo DIN 912 M10x60 Allen inox A2</v>
      </c>
      <c r="J309" s="32" t="str">
        <f aca="false">INDEX(Productos!$C$2:$C$13,MATCH($H309,Productos!$A$2:$A$13,0))</f>
        <v>Inoxidable</v>
      </c>
      <c r="K309" s="31" t="s">
        <v>246</v>
      </c>
      <c r="L309" s="46" t="n">
        <v>46</v>
      </c>
      <c r="M309" s="50" t="n">
        <f aca="false">INDEX(Productos!$F$2:$F$13,MATCH($H309,Productos!$A$2:$A$13,0))</f>
        <v>79</v>
      </c>
      <c r="N309" s="51" t="n">
        <v>0.131</v>
      </c>
      <c r="O309" s="52" t="n">
        <f aca="false">M309*(1-N309)</f>
        <v>68.651</v>
      </c>
      <c r="P309" s="21" t="n">
        <f aca="false">L309*O309</f>
        <v>3157.946</v>
      </c>
      <c r="Q309" s="50" t="n">
        <f aca="false">INDEX(Productos!$E$2:$E$13,MATCH($H309,Productos!$A$2:$A$13,0))*INDEX(Parametros!$B$26:$B$43,MATCH($C309,Parametros!$A$26:$A$43,0))</f>
        <v>42.588</v>
      </c>
      <c r="R309" s="21" t="n">
        <f aca="false">L309*Q309</f>
        <v>1959.048</v>
      </c>
      <c r="S309" s="18" t="n">
        <f aca="false">L309*INDEX(Parametros!$B$20:$B$22,MATCH($E309,Parametros!$A$20:$A$22,0))</f>
        <v>39.1</v>
      </c>
      <c r="T309" s="18" t="n">
        <f aca="false">P309*INDEX(Parametros!$B$13:$B$16,MATCH($F309,Parametros!$A$13:$A$16,0))</f>
        <v>94.73838</v>
      </c>
      <c r="U309" s="21" t="n">
        <f aca="false">P309-R309-S309-T309</f>
        <v>1065.05962</v>
      </c>
      <c r="V309" s="19" t="n">
        <f aca="false">IFERROR(U309/P309,0)</f>
        <v>0.337263404757396</v>
      </c>
      <c r="W309" s="48" t="n">
        <f aca="false">B309+INDEX(Parametros!$C$13:$C$16,MATCH($F309,Parametros!$A$13:$A$16,0))</f>
        <v>45823</v>
      </c>
      <c r="X309" s="31" t="s">
        <v>69</v>
      </c>
      <c r="Y309" s="53" t="n">
        <f aca="false">IF(COUNTIF($A$2:$A309,A309)=1,1,0)</f>
        <v>1</v>
      </c>
    </row>
    <row r="310" customFormat="false" ht="15" hidden="false" customHeight="false" outlineLevel="0" collapsed="false">
      <c r="A310" s="31" t="s">
        <v>409</v>
      </c>
      <c r="B310" s="36" t="n">
        <v>45763</v>
      </c>
      <c r="C310" s="49" t="n">
        <f aca="false">DATE(YEAR(B310),MONTH(B310),1)</f>
        <v>45748</v>
      </c>
      <c r="D310" s="31" t="s">
        <v>193</v>
      </c>
      <c r="E310" s="31" t="s">
        <v>41</v>
      </c>
      <c r="F310" s="31" t="s">
        <v>45</v>
      </c>
      <c r="G310" s="31" t="s">
        <v>62</v>
      </c>
      <c r="H310" s="31" t="s">
        <v>171</v>
      </c>
      <c r="I310" s="32" t="str">
        <f aca="false">INDEX(Productos!$B$2:$B$13,MATCH($H310,Productos!$A$2:$A$13,0))</f>
        <v>Tornillo DIN 7991 M8x30 avellanado inox A2</v>
      </c>
      <c r="J310" s="32" t="str">
        <f aca="false">INDEX(Productos!$C$2:$C$13,MATCH($H310,Productos!$A$2:$A$13,0))</f>
        <v>Inoxidable</v>
      </c>
      <c r="K310" s="31" t="s">
        <v>246</v>
      </c>
      <c r="L310" s="46" t="n">
        <v>44</v>
      </c>
      <c r="M310" s="50" t="n">
        <f aca="false">INDEX(Productos!$F$2:$F$13,MATCH($H310,Productos!$A$2:$A$13,0))</f>
        <v>88</v>
      </c>
      <c r="N310" s="51" t="n">
        <v>0.186</v>
      </c>
      <c r="O310" s="52" t="n">
        <f aca="false">M310*(1-N310)</f>
        <v>71.632</v>
      </c>
      <c r="P310" s="21" t="n">
        <f aca="false">L310*O310</f>
        <v>3151.808</v>
      </c>
      <c r="Q310" s="50" t="n">
        <f aca="false">INDEX(Productos!$E$2:$E$13,MATCH($H310,Productos!$A$2:$A$13,0))*INDEX(Parametros!$B$26:$B$43,MATCH($C310,Parametros!$A$26:$A$43,0))</f>
        <v>47.151</v>
      </c>
      <c r="R310" s="21" t="n">
        <f aca="false">L310*Q310</f>
        <v>2074.644</v>
      </c>
      <c r="S310" s="18" t="n">
        <f aca="false">L310*INDEX(Parametros!$B$20:$B$22,MATCH($E310,Parametros!$A$20:$A$22,0))</f>
        <v>37.4</v>
      </c>
      <c r="T310" s="18" t="n">
        <f aca="false">P310*INDEX(Parametros!$B$13:$B$16,MATCH($F310,Parametros!$A$13:$A$16,0))</f>
        <v>94.55424</v>
      </c>
      <c r="U310" s="21" t="n">
        <f aca="false">P310-R310-S310-T310</f>
        <v>945.20976</v>
      </c>
      <c r="V310" s="19" t="n">
        <f aca="false">IFERROR(U310/P310,0)</f>
        <v>0.299894460576279</v>
      </c>
      <c r="W310" s="48" t="n">
        <f aca="false">B310+INDEX(Parametros!$C$13:$C$16,MATCH($F310,Parametros!$A$13:$A$16,0))</f>
        <v>45823</v>
      </c>
      <c r="X310" s="31" t="s">
        <v>67</v>
      </c>
      <c r="Y310" s="53" t="n">
        <f aca="false">IF(COUNTIF($A$2:$A310,A310)=1,1,0)</f>
        <v>0</v>
      </c>
    </row>
    <row r="311" customFormat="false" ht="15" hidden="false" customHeight="false" outlineLevel="0" collapsed="false">
      <c r="A311" s="31" t="s">
        <v>409</v>
      </c>
      <c r="B311" s="36" t="n">
        <v>45763</v>
      </c>
      <c r="C311" s="49" t="n">
        <f aca="false">DATE(YEAR(B311),MONTH(B311),1)</f>
        <v>45748</v>
      </c>
      <c r="D311" s="31" t="s">
        <v>193</v>
      </c>
      <c r="E311" s="31" t="s">
        <v>41</v>
      </c>
      <c r="F311" s="31" t="s">
        <v>45</v>
      </c>
      <c r="G311" s="31" t="s">
        <v>62</v>
      </c>
      <c r="H311" s="31" t="s">
        <v>167</v>
      </c>
      <c r="I311" s="32" t="str">
        <f aca="false">INDEX(Productos!$B$2:$B$13,MATCH($H311,Productos!$A$2:$A$13,0))</f>
        <v>Tornillo DIN 912 M6x25 Allen zincado</v>
      </c>
      <c r="J311" s="32" t="str">
        <f aca="false">INDEX(Productos!$C$2:$C$13,MATCH($H311,Productos!$A$2:$A$13,0))</f>
        <v>Métrica</v>
      </c>
      <c r="K311" s="31" t="s">
        <v>246</v>
      </c>
      <c r="L311" s="46" t="n">
        <v>129</v>
      </c>
      <c r="M311" s="50" t="n">
        <f aca="false">INDEX(Productos!$F$2:$F$13,MATCH($H311,Productos!$A$2:$A$13,0))</f>
        <v>42</v>
      </c>
      <c r="N311" s="51" t="n">
        <v>0.192</v>
      </c>
      <c r="O311" s="52" t="n">
        <f aca="false">M311*(1-N311)</f>
        <v>33.936</v>
      </c>
      <c r="P311" s="21" t="n">
        <f aca="false">L311*O311</f>
        <v>4377.744</v>
      </c>
      <c r="Q311" s="50" t="n">
        <f aca="false">INDEX(Productos!$E$2:$E$13,MATCH($H311,Productos!$A$2:$A$13,0))*INDEX(Parametros!$B$26:$B$43,MATCH($C311,Parametros!$A$26:$A$43,0))</f>
        <v>22.1052</v>
      </c>
      <c r="R311" s="21" t="n">
        <f aca="false">L311*Q311</f>
        <v>2851.5708</v>
      </c>
      <c r="S311" s="18" t="n">
        <f aca="false">L311*INDEX(Parametros!$B$20:$B$22,MATCH($E311,Parametros!$A$20:$A$22,0))</f>
        <v>109.65</v>
      </c>
      <c r="T311" s="18" t="n">
        <f aca="false">P311*INDEX(Parametros!$B$13:$B$16,MATCH($F311,Parametros!$A$13:$A$16,0))</f>
        <v>131.33232</v>
      </c>
      <c r="U311" s="21" t="n">
        <f aca="false">P311-R311-S311-T311</f>
        <v>1285.19088</v>
      </c>
      <c r="V311" s="19" t="n">
        <f aca="false">IFERROR(U311/P311,0)</f>
        <v>0.293573785950024</v>
      </c>
      <c r="W311" s="48" t="n">
        <f aca="false">B311+INDEX(Parametros!$C$13:$C$16,MATCH($F311,Parametros!$A$13:$A$16,0))</f>
        <v>45823</v>
      </c>
      <c r="X311" s="31" t="s">
        <v>67</v>
      </c>
      <c r="Y311" s="53" t="n">
        <f aca="false">IF(COUNTIF($A$2:$A311,A311)=1,1,0)</f>
        <v>0</v>
      </c>
    </row>
    <row r="312" customFormat="false" ht="15" hidden="false" customHeight="false" outlineLevel="0" collapsed="false">
      <c r="A312" s="31" t="s">
        <v>410</v>
      </c>
      <c r="B312" s="36" t="n">
        <v>45763</v>
      </c>
      <c r="C312" s="49" t="n">
        <f aca="false">DATE(YEAR(B312),MONTH(B312),1)</f>
        <v>45748</v>
      </c>
      <c r="D312" s="31" t="s">
        <v>200</v>
      </c>
      <c r="E312" s="31" t="s">
        <v>41</v>
      </c>
      <c r="F312" s="31" t="s">
        <v>45</v>
      </c>
      <c r="G312" s="31" t="s">
        <v>62</v>
      </c>
      <c r="H312" s="31" t="s">
        <v>185</v>
      </c>
      <c r="I312" s="32" t="str">
        <f aca="false">INDEX(Productos!$B$2:$B$13,MATCH($H312,Productos!$A$2:$A$13,0))</f>
        <v>Varilla roscada M10 x 1 m zincada</v>
      </c>
      <c r="J312" s="32" t="str">
        <f aca="false">INDEX(Productos!$C$2:$C$13,MATCH($H312,Productos!$A$2:$A$13,0))</f>
        <v>Especial</v>
      </c>
      <c r="K312" s="31" t="s">
        <v>246</v>
      </c>
      <c r="L312" s="46" t="n">
        <v>211</v>
      </c>
      <c r="M312" s="50" t="n">
        <f aca="false">INDEX(Productos!$F$2:$F$13,MATCH($H312,Productos!$A$2:$A$13,0))</f>
        <v>54</v>
      </c>
      <c r="N312" s="51" t="n">
        <v>0.123</v>
      </c>
      <c r="O312" s="52" t="n">
        <f aca="false">M312*(1-N312)</f>
        <v>47.358</v>
      </c>
      <c r="P312" s="21" t="n">
        <f aca="false">L312*O312</f>
        <v>9992.538</v>
      </c>
      <c r="Q312" s="50" t="n">
        <f aca="false">INDEX(Productos!$E$2:$E$13,MATCH($H312,Productos!$A$2:$A$13,0))*INDEX(Parametros!$B$26:$B$43,MATCH($C312,Parametros!$A$26:$A$43,0))</f>
        <v>28.899</v>
      </c>
      <c r="R312" s="21" t="n">
        <f aca="false">L312*Q312</f>
        <v>6097.689</v>
      </c>
      <c r="S312" s="18" t="n">
        <f aca="false">L312*INDEX(Parametros!$B$20:$B$22,MATCH($E312,Parametros!$A$20:$A$22,0))</f>
        <v>179.35</v>
      </c>
      <c r="T312" s="18" t="n">
        <f aca="false">P312*INDEX(Parametros!$B$13:$B$16,MATCH($F312,Parametros!$A$13:$A$16,0))</f>
        <v>299.77614</v>
      </c>
      <c r="U312" s="21" t="n">
        <f aca="false">P312-R312-S312-T312</f>
        <v>3415.72286</v>
      </c>
      <c r="V312" s="19" t="n">
        <f aca="false">IFERROR(U312/P312,0)</f>
        <v>0.341827357574222</v>
      </c>
      <c r="W312" s="48" t="n">
        <f aca="false">B312+INDEX(Parametros!$C$13:$C$16,MATCH($F312,Parametros!$A$13:$A$16,0))</f>
        <v>45823</v>
      </c>
      <c r="X312" s="31" t="s">
        <v>67</v>
      </c>
      <c r="Y312" s="53" t="n">
        <f aca="false">IF(COUNTIF($A$2:$A312,A312)=1,1,0)</f>
        <v>1</v>
      </c>
    </row>
    <row r="313" customFormat="false" ht="15" hidden="false" customHeight="false" outlineLevel="0" collapsed="false">
      <c r="A313" s="31" t="s">
        <v>411</v>
      </c>
      <c r="B313" s="36" t="n">
        <v>45764</v>
      </c>
      <c r="C313" s="49" t="n">
        <f aca="false">DATE(YEAR(B313),MONTH(B313),1)</f>
        <v>45748</v>
      </c>
      <c r="D313" s="31" t="s">
        <v>200</v>
      </c>
      <c r="E313" s="31" t="s">
        <v>41</v>
      </c>
      <c r="F313" s="31" t="s">
        <v>45</v>
      </c>
      <c r="G313" s="31" t="s">
        <v>62</v>
      </c>
      <c r="H313" s="31" t="s">
        <v>167</v>
      </c>
      <c r="I313" s="32" t="str">
        <f aca="false">INDEX(Productos!$B$2:$B$13,MATCH($H313,Productos!$A$2:$A$13,0))</f>
        <v>Tornillo DIN 912 M6x25 Allen zincado</v>
      </c>
      <c r="J313" s="32" t="str">
        <f aca="false">INDEX(Productos!$C$2:$C$13,MATCH($H313,Productos!$A$2:$A$13,0))</f>
        <v>Métrica</v>
      </c>
      <c r="K313" s="31" t="s">
        <v>246</v>
      </c>
      <c r="L313" s="46" t="n">
        <v>38</v>
      </c>
      <c r="M313" s="50" t="n">
        <f aca="false">INDEX(Productos!$F$2:$F$13,MATCH($H313,Productos!$A$2:$A$13,0))</f>
        <v>42</v>
      </c>
      <c r="N313" s="51" t="n">
        <v>0.183</v>
      </c>
      <c r="O313" s="52" t="n">
        <f aca="false">M313*(1-N313)</f>
        <v>34.314</v>
      </c>
      <c r="P313" s="21" t="n">
        <f aca="false">L313*O313</f>
        <v>1303.932</v>
      </c>
      <c r="Q313" s="50" t="n">
        <f aca="false">INDEX(Productos!$E$2:$E$13,MATCH($H313,Productos!$A$2:$A$13,0))*INDEX(Parametros!$B$26:$B$43,MATCH($C313,Parametros!$A$26:$A$43,0))</f>
        <v>22.1052</v>
      </c>
      <c r="R313" s="21" t="n">
        <f aca="false">L313*Q313</f>
        <v>839.9976</v>
      </c>
      <c r="S313" s="18" t="n">
        <f aca="false">L313*INDEX(Parametros!$B$20:$B$22,MATCH($E313,Parametros!$A$20:$A$22,0))</f>
        <v>32.3</v>
      </c>
      <c r="T313" s="18" t="n">
        <f aca="false">P313*INDEX(Parametros!$B$13:$B$16,MATCH($F313,Parametros!$A$13:$A$16,0))</f>
        <v>39.11796</v>
      </c>
      <c r="U313" s="21" t="n">
        <f aca="false">P313-R313-S313-T313</f>
        <v>392.51644</v>
      </c>
      <c r="V313" s="19" t="n">
        <f aca="false">IFERROR(U313/P313,0)</f>
        <v>0.301025237512386</v>
      </c>
      <c r="W313" s="48" t="n">
        <f aca="false">B313+INDEX(Parametros!$C$13:$C$16,MATCH($F313,Parametros!$A$13:$A$16,0))</f>
        <v>45824</v>
      </c>
      <c r="X313" s="31" t="s">
        <v>67</v>
      </c>
      <c r="Y313" s="53" t="n">
        <f aca="false">IF(COUNTIF($A$2:$A313,A313)=1,1,0)</f>
        <v>1</v>
      </c>
    </row>
    <row r="314" customFormat="false" ht="15" hidden="false" customHeight="false" outlineLevel="0" collapsed="false">
      <c r="A314" s="31" t="s">
        <v>411</v>
      </c>
      <c r="B314" s="36" t="n">
        <v>45764</v>
      </c>
      <c r="C314" s="49" t="n">
        <f aca="false">DATE(YEAR(B314),MONTH(B314),1)</f>
        <v>45748</v>
      </c>
      <c r="D314" s="31" t="s">
        <v>200</v>
      </c>
      <c r="E314" s="31" t="s">
        <v>41</v>
      </c>
      <c r="F314" s="31" t="s">
        <v>45</v>
      </c>
      <c r="G314" s="31" t="s">
        <v>62</v>
      </c>
      <c r="H314" s="31" t="s">
        <v>183</v>
      </c>
      <c r="I314" s="32" t="str">
        <f aca="false">INDEX(Productos!$B$2:$B$13,MATCH($H314,Productos!$A$2:$A$13,0))</f>
        <v>Tornillo estructural M16x90 clase 10.9</v>
      </c>
      <c r="J314" s="32" t="str">
        <f aca="false">INDEX(Productos!$C$2:$C$13,MATCH($H314,Productos!$A$2:$A$13,0))</f>
        <v>Especial</v>
      </c>
      <c r="K314" s="31" t="s">
        <v>246</v>
      </c>
      <c r="L314" s="46" t="n">
        <v>129</v>
      </c>
      <c r="M314" s="50" t="n">
        <f aca="false">INDEX(Productos!$F$2:$F$13,MATCH($H314,Productos!$A$2:$A$13,0))</f>
        <v>112</v>
      </c>
      <c r="N314" s="51" t="n">
        <v>0.185</v>
      </c>
      <c r="O314" s="52" t="n">
        <f aca="false">M314*(1-N314)</f>
        <v>91.28</v>
      </c>
      <c r="P314" s="21" t="n">
        <f aca="false">L314*O314</f>
        <v>11775.12</v>
      </c>
      <c r="Q314" s="50" t="n">
        <f aca="false">INDEX(Productos!$E$2:$E$13,MATCH($H314,Productos!$A$2:$A$13,0))*INDEX(Parametros!$B$26:$B$43,MATCH($C314,Parametros!$A$26:$A$43,0))</f>
        <v>60.84</v>
      </c>
      <c r="R314" s="21" t="n">
        <f aca="false">L314*Q314</f>
        <v>7848.36</v>
      </c>
      <c r="S314" s="18" t="n">
        <f aca="false">L314*INDEX(Parametros!$B$20:$B$22,MATCH($E314,Parametros!$A$20:$A$22,0))</f>
        <v>109.65</v>
      </c>
      <c r="T314" s="18" t="n">
        <f aca="false">P314*INDEX(Parametros!$B$13:$B$16,MATCH($F314,Parametros!$A$13:$A$16,0))</f>
        <v>353.2536</v>
      </c>
      <c r="U314" s="21" t="n">
        <f aca="false">P314-R314-S314-T314</f>
        <v>3463.8564</v>
      </c>
      <c r="V314" s="19" t="n">
        <f aca="false">IFERROR(U314/P314,0)</f>
        <v>0.294167397020158</v>
      </c>
      <c r="W314" s="48" t="n">
        <f aca="false">B314+INDEX(Parametros!$C$13:$C$16,MATCH($F314,Parametros!$A$13:$A$16,0))</f>
        <v>45824</v>
      </c>
      <c r="X314" s="31" t="s">
        <v>67</v>
      </c>
      <c r="Y314" s="53" t="n">
        <f aca="false">IF(COUNTIF($A$2:$A314,A314)=1,1,0)</f>
        <v>0</v>
      </c>
    </row>
    <row r="315" customFormat="false" ht="15" hidden="false" customHeight="false" outlineLevel="0" collapsed="false">
      <c r="A315" s="31" t="s">
        <v>412</v>
      </c>
      <c r="B315" s="36" t="n">
        <v>45764</v>
      </c>
      <c r="C315" s="49" t="n">
        <f aca="false">DATE(YEAR(B315),MONTH(B315),1)</f>
        <v>45748</v>
      </c>
      <c r="D315" s="31" t="s">
        <v>226</v>
      </c>
      <c r="E315" s="31" t="s">
        <v>43</v>
      </c>
      <c r="F315" s="31" t="s">
        <v>46</v>
      </c>
      <c r="G315" s="31" t="s">
        <v>59</v>
      </c>
      <c r="H315" s="31" t="s">
        <v>185</v>
      </c>
      <c r="I315" s="32" t="str">
        <f aca="false">INDEX(Productos!$B$2:$B$13,MATCH($H315,Productos!$A$2:$A$13,0))</f>
        <v>Varilla roscada M10 x 1 m zincada</v>
      </c>
      <c r="J315" s="32" t="str">
        <f aca="false">INDEX(Productos!$C$2:$C$13,MATCH($H315,Productos!$A$2:$A$13,0))</f>
        <v>Especial</v>
      </c>
      <c r="K315" s="31" t="s">
        <v>246</v>
      </c>
      <c r="L315" s="46" t="n">
        <v>302</v>
      </c>
      <c r="M315" s="50" t="n">
        <f aca="false">INDEX(Productos!$F$2:$F$13,MATCH($H315,Productos!$A$2:$A$13,0))</f>
        <v>54</v>
      </c>
      <c r="N315" s="51" t="n">
        <v>0.143</v>
      </c>
      <c r="O315" s="52" t="n">
        <f aca="false">M315*(1-N315)</f>
        <v>46.278</v>
      </c>
      <c r="P315" s="21" t="n">
        <f aca="false">L315*O315</f>
        <v>13975.956</v>
      </c>
      <c r="Q315" s="50" t="n">
        <f aca="false">INDEX(Productos!$E$2:$E$13,MATCH($H315,Productos!$A$2:$A$13,0))*INDEX(Parametros!$B$26:$B$43,MATCH($C315,Parametros!$A$26:$A$43,0))</f>
        <v>28.899</v>
      </c>
      <c r="R315" s="21" t="n">
        <f aca="false">L315*Q315</f>
        <v>8727.498</v>
      </c>
      <c r="S315" s="18" t="n">
        <f aca="false">L315*INDEX(Parametros!$B$20:$B$22,MATCH($E315,Parametros!$A$20:$A$22,0))</f>
        <v>573.8</v>
      </c>
      <c r="T315" s="18" t="n">
        <f aca="false">P315*INDEX(Parametros!$B$13:$B$16,MATCH($F315,Parametros!$A$13:$A$16,0))</f>
        <v>559.03824</v>
      </c>
      <c r="U315" s="21" t="n">
        <f aca="false">P315-R315-S315-T315</f>
        <v>4115.61976</v>
      </c>
      <c r="V315" s="19" t="n">
        <f aca="false">IFERROR(U315/P315,0)</f>
        <v>0.294478585937162</v>
      </c>
      <c r="W315" s="48" t="n">
        <f aca="false">B315+INDEX(Parametros!$C$13:$C$16,MATCH($F315,Parametros!$A$13:$A$16,0))</f>
        <v>45839</v>
      </c>
      <c r="X315" s="31" t="s">
        <v>67</v>
      </c>
      <c r="Y315" s="53" t="n">
        <f aca="false">IF(COUNTIF($A$2:$A315,A315)=1,1,0)</f>
        <v>1</v>
      </c>
    </row>
    <row r="316" customFormat="false" ht="15" hidden="false" customHeight="false" outlineLevel="0" collapsed="false">
      <c r="A316" s="31" t="s">
        <v>412</v>
      </c>
      <c r="B316" s="36" t="n">
        <v>45764</v>
      </c>
      <c r="C316" s="49" t="n">
        <f aca="false">DATE(YEAR(B316),MONTH(B316),1)</f>
        <v>45748</v>
      </c>
      <c r="D316" s="31" t="s">
        <v>226</v>
      </c>
      <c r="E316" s="31" t="s">
        <v>43</v>
      </c>
      <c r="F316" s="31" t="s">
        <v>46</v>
      </c>
      <c r="G316" s="31" t="s">
        <v>59</v>
      </c>
      <c r="H316" s="31" t="s">
        <v>165</v>
      </c>
      <c r="I316" s="32" t="str">
        <f aca="false">INDEX(Productos!$B$2:$B$13,MATCH($H316,Productos!$A$2:$A$13,0))</f>
        <v>Tornillo DIN 933 M8x40 rosca completa zincado</v>
      </c>
      <c r="J316" s="32" t="str">
        <f aca="false">INDEX(Productos!$C$2:$C$13,MATCH($H316,Productos!$A$2:$A$13,0))</f>
        <v>Métrica</v>
      </c>
      <c r="K316" s="31" t="s">
        <v>246</v>
      </c>
      <c r="L316" s="46" t="n">
        <v>112</v>
      </c>
      <c r="M316" s="50" t="n">
        <f aca="false">INDEX(Productos!$F$2:$F$13,MATCH($H316,Productos!$A$2:$A$13,0))</f>
        <v>37.5</v>
      </c>
      <c r="N316" s="51" t="n">
        <v>0.123</v>
      </c>
      <c r="O316" s="52" t="n">
        <f aca="false">M316*(1-N316)</f>
        <v>32.8875</v>
      </c>
      <c r="P316" s="21" t="n">
        <f aca="false">L316*O316</f>
        <v>3683.4</v>
      </c>
      <c r="Q316" s="50" t="n">
        <f aca="false">INDEX(Productos!$E$2:$E$13,MATCH($H316,Productos!$A$2:$A$13,0))*INDEX(Parametros!$B$26:$B$43,MATCH($C316,Parametros!$A$26:$A$43,0))</f>
        <v>19.6716</v>
      </c>
      <c r="R316" s="21" t="n">
        <f aca="false">L316*Q316</f>
        <v>2203.2192</v>
      </c>
      <c r="S316" s="18" t="n">
        <f aca="false">L316*INDEX(Parametros!$B$20:$B$22,MATCH($E316,Parametros!$A$20:$A$22,0))</f>
        <v>212.8</v>
      </c>
      <c r="T316" s="18" t="n">
        <f aca="false">P316*INDEX(Parametros!$B$13:$B$16,MATCH($F316,Parametros!$A$13:$A$16,0))</f>
        <v>147.336</v>
      </c>
      <c r="U316" s="21" t="n">
        <f aca="false">P316-R316-S316-T316</f>
        <v>1120.0448</v>
      </c>
      <c r="V316" s="19" t="n">
        <f aca="false">IFERROR(U316/P316,0)</f>
        <v>0.304079057392627</v>
      </c>
      <c r="W316" s="48" t="n">
        <f aca="false">B316+INDEX(Parametros!$C$13:$C$16,MATCH($F316,Parametros!$A$13:$A$16,0))</f>
        <v>45839</v>
      </c>
      <c r="X316" s="31" t="s">
        <v>67</v>
      </c>
      <c r="Y316" s="53" t="n">
        <f aca="false">IF(COUNTIF($A$2:$A316,A316)=1,1,0)</f>
        <v>0</v>
      </c>
    </row>
    <row r="317" customFormat="false" ht="15" hidden="false" customHeight="false" outlineLevel="0" collapsed="false">
      <c r="A317" s="31" t="s">
        <v>413</v>
      </c>
      <c r="B317" s="36" t="n">
        <v>45765</v>
      </c>
      <c r="C317" s="49" t="n">
        <f aca="false">DATE(YEAR(B317),MONTH(B317),1)</f>
        <v>45748</v>
      </c>
      <c r="D317" s="31" t="s">
        <v>216</v>
      </c>
      <c r="E317" s="31" t="s">
        <v>42</v>
      </c>
      <c r="F317" s="31" t="s">
        <v>45</v>
      </c>
      <c r="G317" s="31" t="s">
        <v>61</v>
      </c>
      <c r="H317" s="31" t="s">
        <v>185</v>
      </c>
      <c r="I317" s="32" t="str">
        <f aca="false">INDEX(Productos!$B$2:$B$13,MATCH($H317,Productos!$A$2:$A$13,0))</f>
        <v>Varilla roscada M10 x 1 m zincada</v>
      </c>
      <c r="J317" s="32" t="str">
        <f aca="false">INDEX(Productos!$C$2:$C$13,MATCH($H317,Productos!$A$2:$A$13,0))</f>
        <v>Especial</v>
      </c>
      <c r="K317" s="31" t="s">
        <v>246</v>
      </c>
      <c r="L317" s="46" t="n">
        <v>73</v>
      </c>
      <c r="M317" s="50" t="n">
        <f aca="false">INDEX(Productos!$F$2:$F$13,MATCH($H317,Productos!$A$2:$A$13,0))</f>
        <v>54</v>
      </c>
      <c r="N317" s="51" t="n">
        <v>0.185</v>
      </c>
      <c r="O317" s="52" t="n">
        <f aca="false">M317*(1-N317)</f>
        <v>44.01</v>
      </c>
      <c r="P317" s="21" t="n">
        <f aca="false">L317*O317</f>
        <v>3212.73</v>
      </c>
      <c r="Q317" s="50" t="n">
        <f aca="false">INDEX(Productos!$E$2:$E$13,MATCH($H317,Productos!$A$2:$A$13,0))*INDEX(Parametros!$B$26:$B$43,MATCH($C317,Parametros!$A$26:$A$43,0))</f>
        <v>28.899</v>
      </c>
      <c r="R317" s="21" t="n">
        <f aca="false">L317*Q317</f>
        <v>2109.627</v>
      </c>
      <c r="S317" s="18" t="n">
        <f aca="false">L317*INDEX(Parametros!$B$20:$B$22,MATCH($E317,Parametros!$A$20:$A$22,0))</f>
        <v>175.2</v>
      </c>
      <c r="T317" s="18" t="n">
        <f aca="false">P317*INDEX(Parametros!$B$13:$B$16,MATCH($F317,Parametros!$A$13:$A$16,0))</f>
        <v>96.3819</v>
      </c>
      <c r="U317" s="21" t="n">
        <f aca="false">P317-R317-S317-T317</f>
        <v>831.5211</v>
      </c>
      <c r="V317" s="19" t="n">
        <f aca="false">IFERROR(U317/P317,0)</f>
        <v>0.258820722563054</v>
      </c>
      <c r="W317" s="48" t="n">
        <f aca="false">B317+INDEX(Parametros!$C$13:$C$16,MATCH($F317,Parametros!$A$13:$A$16,0))</f>
        <v>45825</v>
      </c>
      <c r="X317" s="31" t="s">
        <v>67</v>
      </c>
      <c r="Y317" s="53" t="n">
        <f aca="false">IF(COUNTIF($A$2:$A317,A317)=1,1,0)</f>
        <v>1</v>
      </c>
    </row>
    <row r="318" customFormat="false" ht="15" hidden="false" customHeight="false" outlineLevel="0" collapsed="false">
      <c r="A318" s="31" t="s">
        <v>413</v>
      </c>
      <c r="B318" s="36" t="n">
        <v>45765</v>
      </c>
      <c r="C318" s="49" t="n">
        <f aca="false">DATE(YEAR(B318),MONTH(B318),1)</f>
        <v>45748</v>
      </c>
      <c r="D318" s="31" t="s">
        <v>216</v>
      </c>
      <c r="E318" s="31" t="s">
        <v>42</v>
      </c>
      <c r="F318" s="31" t="s">
        <v>45</v>
      </c>
      <c r="G318" s="31" t="s">
        <v>61</v>
      </c>
      <c r="H318" s="31" t="s">
        <v>181</v>
      </c>
      <c r="I318" s="32" t="str">
        <f aca="false">INDEX(Productos!$B$2:$B$13,MATCH($H318,Productos!$A$2:$A$13,0))</f>
        <v>Autotaladrante 5,5x55 punta broca</v>
      </c>
      <c r="J318" s="32" t="str">
        <f aca="false">INDEX(Productos!$C$2:$C$13,MATCH($H318,Productos!$A$2:$A$13,0))</f>
        <v>Autotaladrante</v>
      </c>
      <c r="K318" s="31" t="s">
        <v>246</v>
      </c>
      <c r="L318" s="46" t="n">
        <v>138</v>
      </c>
      <c r="M318" s="50" t="n">
        <f aca="false">INDEX(Productos!$F$2:$F$13,MATCH($H318,Productos!$A$2:$A$13,0))</f>
        <v>39</v>
      </c>
      <c r="N318" s="51" t="n">
        <v>0.189</v>
      </c>
      <c r="O318" s="52" t="n">
        <f aca="false">M318*(1-N318)</f>
        <v>31.629</v>
      </c>
      <c r="P318" s="21" t="n">
        <f aca="false">L318*O318</f>
        <v>4364.802</v>
      </c>
      <c r="Q318" s="50" t="n">
        <f aca="false">INDEX(Productos!$E$2:$E$13,MATCH($H318,Productos!$A$2:$A$13,0))*INDEX(Parametros!$B$26:$B$43,MATCH($C318,Parametros!$A$26:$A$43,0))</f>
        <v>20.5842</v>
      </c>
      <c r="R318" s="21" t="n">
        <f aca="false">L318*Q318</f>
        <v>2840.6196</v>
      </c>
      <c r="S318" s="18" t="n">
        <f aca="false">L318*INDEX(Parametros!$B$20:$B$22,MATCH($E318,Parametros!$A$20:$A$22,0))</f>
        <v>331.2</v>
      </c>
      <c r="T318" s="18" t="n">
        <f aca="false">P318*INDEX(Parametros!$B$13:$B$16,MATCH($F318,Parametros!$A$13:$A$16,0))</f>
        <v>130.94406</v>
      </c>
      <c r="U318" s="21" t="n">
        <f aca="false">P318-R318-S318-T318</f>
        <v>1062.03834</v>
      </c>
      <c r="V318" s="19" t="n">
        <f aca="false">IFERROR(U318/P318,0)</f>
        <v>0.243318789718296</v>
      </c>
      <c r="W318" s="48" t="n">
        <f aca="false">B318+INDEX(Parametros!$C$13:$C$16,MATCH($F318,Parametros!$A$13:$A$16,0))</f>
        <v>45825</v>
      </c>
      <c r="X318" s="31" t="s">
        <v>67</v>
      </c>
      <c r="Y318" s="53" t="n">
        <f aca="false">IF(COUNTIF($A$2:$A318,A318)=1,1,0)</f>
        <v>0</v>
      </c>
    </row>
    <row r="319" customFormat="false" ht="15" hidden="false" customHeight="false" outlineLevel="0" collapsed="false">
      <c r="A319" s="31" t="s">
        <v>414</v>
      </c>
      <c r="B319" s="36" t="n">
        <v>45768</v>
      </c>
      <c r="C319" s="49" t="n">
        <f aca="false">DATE(YEAR(B319),MONTH(B319),1)</f>
        <v>45748</v>
      </c>
      <c r="D319" s="31" t="s">
        <v>219</v>
      </c>
      <c r="E319" s="31" t="s">
        <v>42</v>
      </c>
      <c r="F319" s="31" t="s">
        <v>45</v>
      </c>
      <c r="G319" s="31" t="s">
        <v>61</v>
      </c>
      <c r="H319" s="31" t="s">
        <v>167</v>
      </c>
      <c r="I319" s="32" t="str">
        <f aca="false">INDEX(Productos!$B$2:$B$13,MATCH($H319,Productos!$A$2:$A$13,0))</f>
        <v>Tornillo DIN 912 M6x25 Allen zincado</v>
      </c>
      <c r="J319" s="32" t="str">
        <f aca="false">INDEX(Productos!$C$2:$C$13,MATCH($H319,Productos!$A$2:$A$13,0))</f>
        <v>Métrica</v>
      </c>
      <c r="K319" s="31" t="s">
        <v>246</v>
      </c>
      <c r="L319" s="46" t="n">
        <v>56</v>
      </c>
      <c r="M319" s="50" t="n">
        <f aca="false">INDEX(Productos!$F$2:$F$13,MATCH($H319,Productos!$A$2:$A$13,0))</f>
        <v>42</v>
      </c>
      <c r="N319" s="51" t="n">
        <v>0.166</v>
      </c>
      <c r="O319" s="52" t="n">
        <f aca="false">M319*(1-N319)</f>
        <v>35.028</v>
      </c>
      <c r="P319" s="21" t="n">
        <f aca="false">L319*O319</f>
        <v>1961.568</v>
      </c>
      <c r="Q319" s="50" t="n">
        <f aca="false">INDEX(Productos!$E$2:$E$13,MATCH($H319,Productos!$A$2:$A$13,0))*INDEX(Parametros!$B$26:$B$43,MATCH($C319,Parametros!$A$26:$A$43,0))</f>
        <v>22.1052</v>
      </c>
      <c r="R319" s="21" t="n">
        <f aca="false">L319*Q319</f>
        <v>1237.8912</v>
      </c>
      <c r="S319" s="18" t="n">
        <f aca="false">L319*INDEX(Parametros!$B$20:$B$22,MATCH($E319,Parametros!$A$20:$A$22,0))</f>
        <v>134.4</v>
      </c>
      <c r="T319" s="18" t="n">
        <f aca="false">P319*INDEX(Parametros!$B$13:$B$16,MATCH($F319,Parametros!$A$13:$A$16,0))</f>
        <v>58.84704</v>
      </c>
      <c r="U319" s="21" t="n">
        <f aca="false">P319-R319-S319-T319</f>
        <v>530.42976</v>
      </c>
      <c r="V319" s="19" t="n">
        <f aca="false">IFERROR(U319/P319,0)</f>
        <v>0.270411099691675</v>
      </c>
      <c r="W319" s="48" t="n">
        <f aca="false">B319+INDEX(Parametros!$C$13:$C$16,MATCH($F319,Parametros!$A$13:$A$16,0))</f>
        <v>45828</v>
      </c>
      <c r="X319" s="31" t="s">
        <v>69</v>
      </c>
      <c r="Y319" s="53" t="n">
        <f aca="false">IF(COUNTIF($A$2:$A319,A319)=1,1,0)</f>
        <v>1</v>
      </c>
    </row>
    <row r="320" customFormat="false" ht="15" hidden="false" customHeight="false" outlineLevel="0" collapsed="false">
      <c r="A320" s="31" t="s">
        <v>414</v>
      </c>
      <c r="B320" s="36" t="n">
        <v>45768</v>
      </c>
      <c r="C320" s="49" t="n">
        <f aca="false">DATE(YEAR(B320),MONTH(B320),1)</f>
        <v>45748</v>
      </c>
      <c r="D320" s="31" t="s">
        <v>219</v>
      </c>
      <c r="E320" s="31" t="s">
        <v>42</v>
      </c>
      <c r="F320" s="31" t="s">
        <v>45</v>
      </c>
      <c r="G320" s="31" t="s">
        <v>61</v>
      </c>
      <c r="H320" s="31" t="s">
        <v>165</v>
      </c>
      <c r="I320" s="32" t="str">
        <f aca="false">INDEX(Productos!$B$2:$B$13,MATCH($H320,Productos!$A$2:$A$13,0))</f>
        <v>Tornillo DIN 933 M8x40 rosca completa zincado</v>
      </c>
      <c r="J320" s="32" t="str">
        <f aca="false">INDEX(Productos!$C$2:$C$13,MATCH($H320,Productos!$A$2:$A$13,0))</f>
        <v>Métrica</v>
      </c>
      <c r="K320" s="31" t="s">
        <v>246</v>
      </c>
      <c r="L320" s="46" t="n">
        <v>48</v>
      </c>
      <c r="M320" s="50" t="n">
        <f aca="false">INDEX(Productos!$F$2:$F$13,MATCH($H320,Productos!$A$2:$A$13,0))</f>
        <v>37.5</v>
      </c>
      <c r="N320" s="51" t="n">
        <v>0.193</v>
      </c>
      <c r="O320" s="52" t="n">
        <f aca="false">M320*(1-N320)</f>
        <v>30.2625</v>
      </c>
      <c r="P320" s="21" t="n">
        <f aca="false">L320*O320</f>
        <v>1452.6</v>
      </c>
      <c r="Q320" s="50" t="n">
        <f aca="false">INDEX(Productos!$E$2:$E$13,MATCH($H320,Productos!$A$2:$A$13,0))*INDEX(Parametros!$B$26:$B$43,MATCH($C320,Parametros!$A$26:$A$43,0))</f>
        <v>19.6716</v>
      </c>
      <c r="R320" s="21" t="n">
        <f aca="false">L320*Q320</f>
        <v>944.2368</v>
      </c>
      <c r="S320" s="18" t="n">
        <f aca="false">L320*INDEX(Parametros!$B$20:$B$22,MATCH($E320,Parametros!$A$20:$A$22,0))</f>
        <v>115.2</v>
      </c>
      <c r="T320" s="18" t="n">
        <f aca="false">P320*INDEX(Parametros!$B$13:$B$16,MATCH($F320,Parametros!$A$13:$A$16,0))</f>
        <v>43.578</v>
      </c>
      <c r="U320" s="21" t="n">
        <f aca="false">P320-R320-S320-T320</f>
        <v>349.5852</v>
      </c>
      <c r="V320" s="19" t="n">
        <f aca="false">IFERROR(U320/P320,0)</f>
        <v>0.240661710037175</v>
      </c>
      <c r="W320" s="48" t="n">
        <f aca="false">B320+INDEX(Parametros!$C$13:$C$16,MATCH($F320,Parametros!$A$13:$A$16,0))</f>
        <v>45828</v>
      </c>
      <c r="X320" s="31" t="s">
        <v>67</v>
      </c>
      <c r="Y320" s="53" t="n">
        <f aca="false">IF(COUNTIF($A$2:$A320,A320)=1,1,0)</f>
        <v>0</v>
      </c>
    </row>
    <row r="321" customFormat="false" ht="15" hidden="false" customHeight="false" outlineLevel="0" collapsed="false">
      <c r="A321" s="31" t="s">
        <v>415</v>
      </c>
      <c r="B321" s="36" t="n">
        <v>45768</v>
      </c>
      <c r="C321" s="49" t="n">
        <f aca="false">DATE(YEAR(B321),MONTH(B321),1)</f>
        <v>45748</v>
      </c>
      <c r="D321" s="31" t="s">
        <v>211</v>
      </c>
      <c r="E321" s="31" t="s">
        <v>41</v>
      </c>
      <c r="F321" s="31" t="s">
        <v>48</v>
      </c>
      <c r="G321" s="31" t="s">
        <v>60</v>
      </c>
      <c r="H321" s="31" t="s">
        <v>175</v>
      </c>
      <c r="I321" s="32" t="str">
        <f aca="false">INDEX(Productos!$B$2:$B$13,MATCH($H321,Productos!$A$2:$A$13,0))</f>
        <v>Tirafondo madera 5x60 cabeza plana Torx</v>
      </c>
      <c r="J321" s="32" t="str">
        <f aca="false">INDEX(Productos!$C$2:$C$13,MATCH($H321,Productos!$A$2:$A$13,0))</f>
        <v>Madera</v>
      </c>
      <c r="K321" s="31" t="s">
        <v>246</v>
      </c>
      <c r="L321" s="46" t="n">
        <v>21</v>
      </c>
      <c r="M321" s="50" t="n">
        <f aca="false">INDEX(Productos!$F$2:$F$13,MATCH($H321,Productos!$A$2:$A$13,0))</f>
        <v>26</v>
      </c>
      <c r="N321" s="51" t="n">
        <v>0.013</v>
      </c>
      <c r="O321" s="52" t="n">
        <f aca="false">M321*(1-N321)</f>
        <v>25.662</v>
      </c>
      <c r="P321" s="21" t="n">
        <f aca="false">L321*O321</f>
        <v>538.902</v>
      </c>
      <c r="Q321" s="50" t="n">
        <f aca="false">INDEX(Productos!$E$2:$E$13,MATCH($H321,Productos!$A$2:$A$13,0))*INDEX(Parametros!$B$26:$B$43,MATCH($C321,Parametros!$A$26:$A$43,0))</f>
        <v>13.5876</v>
      </c>
      <c r="R321" s="21" t="n">
        <f aca="false">L321*Q321</f>
        <v>285.3396</v>
      </c>
      <c r="S321" s="18" t="n">
        <f aca="false">L321*INDEX(Parametros!$B$20:$B$22,MATCH($E321,Parametros!$A$20:$A$22,0))</f>
        <v>17.85</v>
      </c>
      <c r="T321" s="18" t="n">
        <f aca="false">P321*INDEX(Parametros!$B$13:$B$16,MATCH($F321,Parametros!$A$13:$A$16,0))</f>
        <v>5.38902</v>
      </c>
      <c r="U321" s="21" t="n">
        <f aca="false">P321-R321-S321-T321</f>
        <v>230.32338</v>
      </c>
      <c r="V321" s="19" t="n">
        <f aca="false">IFERROR(U321/P321,0)</f>
        <v>0.427393811861897</v>
      </c>
      <c r="W321" s="48" t="n">
        <f aca="false">B321+INDEX(Parametros!$C$13:$C$16,MATCH($F321,Parametros!$A$13:$A$16,0))</f>
        <v>45768</v>
      </c>
      <c r="X321" s="31" t="s">
        <v>67</v>
      </c>
      <c r="Y321" s="53" t="n">
        <f aca="false">IF(COUNTIF($A$2:$A321,A321)=1,1,0)</f>
        <v>1</v>
      </c>
    </row>
    <row r="322" customFormat="false" ht="15" hidden="false" customHeight="false" outlineLevel="0" collapsed="false">
      <c r="A322" s="31" t="s">
        <v>416</v>
      </c>
      <c r="B322" s="36" t="n">
        <v>45768</v>
      </c>
      <c r="C322" s="49" t="n">
        <f aca="false">DATE(YEAR(B322),MONTH(B322),1)</f>
        <v>45748</v>
      </c>
      <c r="D322" s="31" t="s">
        <v>209</v>
      </c>
      <c r="E322" s="31" t="s">
        <v>41</v>
      </c>
      <c r="F322" s="31" t="s">
        <v>45</v>
      </c>
      <c r="G322" s="31" t="s">
        <v>62</v>
      </c>
      <c r="H322" s="31" t="s">
        <v>171</v>
      </c>
      <c r="I322" s="32" t="str">
        <f aca="false">INDEX(Productos!$B$2:$B$13,MATCH($H322,Productos!$A$2:$A$13,0))</f>
        <v>Tornillo DIN 7991 M8x30 avellanado inox A2</v>
      </c>
      <c r="J322" s="32" t="str">
        <f aca="false">INDEX(Productos!$C$2:$C$13,MATCH($H322,Productos!$A$2:$A$13,0))</f>
        <v>Inoxidable</v>
      </c>
      <c r="K322" s="31" t="s">
        <v>246</v>
      </c>
      <c r="L322" s="46" t="n">
        <v>141</v>
      </c>
      <c r="M322" s="50" t="n">
        <f aca="false">INDEX(Productos!$F$2:$F$13,MATCH($H322,Productos!$A$2:$A$13,0))</f>
        <v>88</v>
      </c>
      <c r="N322" s="51" t="n">
        <v>0.15</v>
      </c>
      <c r="O322" s="52" t="n">
        <f aca="false">M322*(1-N322)</f>
        <v>74.8</v>
      </c>
      <c r="P322" s="21" t="n">
        <f aca="false">L322*O322</f>
        <v>10546.8</v>
      </c>
      <c r="Q322" s="50" t="n">
        <f aca="false">INDEX(Productos!$E$2:$E$13,MATCH($H322,Productos!$A$2:$A$13,0))*INDEX(Parametros!$B$26:$B$43,MATCH($C322,Parametros!$A$26:$A$43,0))</f>
        <v>47.151</v>
      </c>
      <c r="R322" s="21" t="n">
        <f aca="false">L322*Q322</f>
        <v>6648.291</v>
      </c>
      <c r="S322" s="18" t="n">
        <f aca="false">L322*INDEX(Parametros!$B$20:$B$22,MATCH($E322,Parametros!$A$20:$A$22,0))</f>
        <v>119.85</v>
      </c>
      <c r="T322" s="18" t="n">
        <f aca="false">P322*INDEX(Parametros!$B$13:$B$16,MATCH($F322,Parametros!$A$13:$A$16,0))</f>
        <v>316.404</v>
      </c>
      <c r="U322" s="21" t="n">
        <f aca="false">P322-R322-S322-T322</f>
        <v>3462.255</v>
      </c>
      <c r="V322" s="19" t="n">
        <f aca="false">IFERROR(U322/P322,0)</f>
        <v>0.328275401069519</v>
      </c>
      <c r="W322" s="48" t="n">
        <f aca="false">B322+INDEX(Parametros!$C$13:$C$16,MATCH($F322,Parametros!$A$13:$A$16,0))</f>
        <v>45828</v>
      </c>
      <c r="X322" s="31" t="s">
        <v>67</v>
      </c>
      <c r="Y322" s="53" t="n">
        <f aca="false">IF(COUNTIF($A$2:$A322,A322)=1,1,0)</f>
        <v>1</v>
      </c>
    </row>
    <row r="323" customFormat="false" ht="15" hidden="false" customHeight="false" outlineLevel="0" collapsed="false">
      <c r="A323" s="31" t="s">
        <v>417</v>
      </c>
      <c r="B323" s="36" t="n">
        <v>45768</v>
      </c>
      <c r="C323" s="49" t="n">
        <f aca="false">DATE(YEAR(B323),MONTH(B323),1)</f>
        <v>45748</v>
      </c>
      <c r="D323" s="31" t="s">
        <v>192</v>
      </c>
      <c r="E323" s="31" t="s">
        <v>41</v>
      </c>
      <c r="F323" s="31" t="s">
        <v>45</v>
      </c>
      <c r="G323" s="31" t="s">
        <v>58</v>
      </c>
      <c r="H323" s="31" t="s">
        <v>175</v>
      </c>
      <c r="I323" s="32" t="str">
        <f aca="false">INDEX(Productos!$B$2:$B$13,MATCH($H323,Productos!$A$2:$A$13,0))</f>
        <v>Tirafondo madera 5x60 cabeza plana Torx</v>
      </c>
      <c r="J323" s="32" t="str">
        <f aca="false">INDEX(Productos!$C$2:$C$13,MATCH($H323,Productos!$A$2:$A$13,0))</f>
        <v>Madera</v>
      </c>
      <c r="K323" s="31" t="s">
        <v>246</v>
      </c>
      <c r="L323" s="46" t="n">
        <v>39</v>
      </c>
      <c r="M323" s="50" t="n">
        <f aca="false">INDEX(Productos!$F$2:$F$13,MATCH($H323,Productos!$A$2:$A$13,0))</f>
        <v>26</v>
      </c>
      <c r="N323" s="51" t="n">
        <v>0.204</v>
      </c>
      <c r="O323" s="52" t="n">
        <f aca="false">M323*(1-N323)</f>
        <v>20.696</v>
      </c>
      <c r="P323" s="21" t="n">
        <f aca="false">L323*O323</f>
        <v>807.144</v>
      </c>
      <c r="Q323" s="50" t="n">
        <f aca="false">INDEX(Productos!$E$2:$E$13,MATCH($H323,Productos!$A$2:$A$13,0))*INDEX(Parametros!$B$26:$B$43,MATCH($C323,Parametros!$A$26:$A$43,0))</f>
        <v>13.5876</v>
      </c>
      <c r="R323" s="21" t="n">
        <f aca="false">L323*Q323</f>
        <v>529.9164</v>
      </c>
      <c r="S323" s="18" t="n">
        <f aca="false">L323*INDEX(Parametros!$B$20:$B$22,MATCH($E323,Parametros!$A$20:$A$22,0))</f>
        <v>33.15</v>
      </c>
      <c r="T323" s="18" t="n">
        <f aca="false">P323*INDEX(Parametros!$B$13:$B$16,MATCH($F323,Parametros!$A$13:$A$16,0))</f>
        <v>24.21432</v>
      </c>
      <c r="U323" s="21" t="n">
        <f aca="false">P323-R323-S323-T323</f>
        <v>219.86328</v>
      </c>
      <c r="V323" s="19" t="n">
        <f aca="false">IFERROR(U323/P323,0)</f>
        <v>0.272396598376498</v>
      </c>
      <c r="W323" s="48" t="n">
        <f aca="false">B323+INDEX(Parametros!$C$13:$C$16,MATCH($F323,Parametros!$A$13:$A$16,0))</f>
        <v>45828</v>
      </c>
      <c r="X323" s="31" t="s">
        <v>67</v>
      </c>
      <c r="Y323" s="53" t="n">
        <f aca="false">IF(COUNTIF($A$2:$A323,A323)=1,1,0)</f>
        <v>1</v>
      </c>
    </row>
    <row r="324" customFormat="false" ht="15" hidden="false" customHeight="false" outlineLevel="0" collapsed="false">
      <c r="A324" s="31" t="s">
        <v>417</v>
      </c>
      <c r="B324" s="36" t="n">
        <v>45768</v>
      </c>
      <c r="C324" s="49" t="n">
        <f aca="false">DATE(YEAR(B324),MONTH(B324),1)</f>
        <v>45748</v>
      </c>
      <c r="D324" s="31" t="s">
        <v>192</v>
      </c>
      <c r="E324" s="31" t="s">
        <v>41</v>
      </c>
      <c r="F324" s="31" t="s">
        <v>45</v>
      </c>
      <c r="G324" s="31" t="s">
        <v>58</v>
      </c>
      <c r="H324" s="31" t="s">
        <v>179</v>
      </c>
      <c r="I324" s="32" t="str">
        <f aca="false">INDEX(Productos!$B$2:$B$13,MATCH($H324,Productos!$A$2:$A$13,0))</f>
        <v>Autotaladrante DIN 7504 4,8x38 zincado</v>
      </c>
      <c r="J324" s="32" t="str">
        <f aca="false">INDEX(Productos!$C$2:$C$13,MATCH($H324,Productos!$A$2:$A$13,0))</f>
        <v>Autotaladrante</v>
      </c>
      <c r="K324" s="31" t="s">
        <v>246</v>
      </c>
      <c r="L324" s="46" t="n">
        <v>58</v>
      </c>
      <c r="M324" s="50" t="n">
        <f aca="false">INDEX(Productos!$F$2:$F$13,MATCH($H324,Productos!$A$2:$A$13,0))</f>
        <v>29.5</v>
      </c>
      <c r="N324" s="51" t="n">
        <v>0.159</v>
      </c>
      <c r="O324" s="52" t="n">
        <f aca="false">M324*(1-N324)</f>
        <v>24.8095</v>
      </c>
      <c r="P324" s="21" t="n">
        <f aca="false">L324*O324</f>
        <v>1438.951</v>
      </c>
      <c r="Q324" s="50" t="n">
        <f aca="false">INDEX(Productos!$E$2:$E$13,MATCH($H324,Productos!$A$2:$A$13,0))*INDEX(Parametros!$B$26:$B$43,MATCH($C324,Parametros!$A$26:$A$43,0))</f>
        <v>15.4128</v>
      </c>
      <c r="R324" s="21" t="n">
        <f aca="false">L324*Q324</f>
        <v>893.9424</v>
      </c>
      <c r="S324" s="18" t="n">
        <f aca="false">L324*INDEX(Parametros!$B$20:$B$22,MATCH($E324,Parametros!$A$20:$A$22,0))</f>
        <v>49.3</v>
      </c>
      <c r="T324" s="18" t="n">
        <f aca="false">P324*INDEX(Parametros!$B$13:$B$16,MATCH($F324,Parametros!$A$13:$A$16,0))</f>
        <v>43.16853</v>
      </c>
      <c r="U324" s="21" t="n">
        <f aca="false">P324-R324-S324-T324</f>
        <v>452.54007</v>
      </c>
      <c r="V324" s="19" t="n">
        <f aca="false">IFERROR(U324/P324,0)</f>
        <v>0.314493036941494</v>
      </c>
      <c r="W324" s="48" t="n">
        <f aca="false">B324+INDEX(Parametros!$C$13:$C$16,MATCH($F324,Parametros!$A$13:$A$16,0))</f>
        <v>45828</v>
      </c>
      <c r="X324" s="31" t="s">
        <v>67</v>
      </c>
      <c r="Y324" s="53" t="n">
        <f aca="false">IF(COUNTIF($A$2:$A324,A324)=1,1,0)</f>
        <v>0</v>
      </c>
    </row>
    <row r="325" customFormat="false" ht="15" hidden="false" customHeight="false" outlineLevel="0" collapsed="false">
      <c r="A325" s="31" t="s">
        <v>418</v>
      </c>
      <c r="B325" s="36" t="n">
        <v>45768</v>
      </c>
      <c r="C325" s="49" t="n">
        <f aca="false">DATE(YEAR(B325),MONTH(B325),1)</f>
        <v>45748</v>
      </c>
      <c r="D325" s="31" t="s">
        <v>193</v>
      </c>
      <c r="E325" s="31" t="s">
        <v>41</v>
      </c>
      <c r="F325" s="31" t="s">
        <v>45</v>
      </c>
      <c r="G325" s="31" t="s">
        <v>62</v>
      </c>
      <c r="H325" s="31" t="s">
        <v>177</v>
      </c>
      <c r="I325" s="32" t="str">
        <f aca="false">INDEX(Productos!$B$2:$B$13,MATCH($H325,Productos!$A$2:$A$13,0))</f>
        <v>Tirafondo madera 6x100 cabeza plana Torx</v>
      </c>
      <c r="J325" s="32" t="str">
        <f aca="false">INDEX(Productos!$C$2:$C$13,MATCH($H325,Productos!$A$2:$A$13,0))</f>
        <v>Madera</v>
      </c>
      <c r="K325" s="31" t="s">
        <v>275</v>
      </c>
      <c r="L325" s="46" t="n">
        <v>-5</v>
      </c>
      <c r="M325" s="50" t="n">
        <f aca="false">INDEX(Productos!$F$2:$F$13,MATCH($H325,Productos!$A$2:$A$13,0))</f>
        <v>34</v>
      </c>
      <c r="N325" s="51" t="n">
        <v>0.195</v>
      </c>
      <c r="O325" s="52" t="n">
        <f aca="false">M325*(1-N325)</f>
        <v>27.37</v>
      </c>
      <c r="P325" s="21" t="n">
        <f aca="false">L325*O325</f>
        <v>-136.85</v>
      </c>
      <c r="Q325" s="50" t="n">
        <f aca="false">INDEX(Productos!$E$2:$E$13,MATCH($H325,Productos!$A$2:$A$13,0))*INDEX(Parametros!$B$26:$B$43,MATCH($C325,Parametros!$A$26:$A$43,0))</f>
        <v>18.0492</v>
      </c>
      <c r="R325" s="21" t="n">
        <f aca="false">L325*Q325</f>
        <v>-90.246</v>
      </c>
      <c r="S325" s="18" t="n">
        <f aca="false">L325*INDEX(Parametros!$B$20:$B$22,MATCH($E325,Parametros!$A$20:$A$22,0))</f>
        <v>-4.25</v>
      </c>
      <c r="T325" s="18" t="n">
        <f aca="false">P325*INDEX(Parametros!$B$13:$B$16,MATCH($F325,Parametros!$A$13:$A$16,0))</f>
        <v>-4.1055</v>
      </c>
      <c r="U325" s="21" t="n">
        <f aca="false">P325-R325-S325-T325</f>
        <v>-38.2485</v>
      </c>
      <c r="V325" s="19" t="n">
        <f aca="false">IFERROR(U325/P325,0)</f>
        <v>0.27949214468396</v>
      </c>
      <c r="W325" s="48" t="n">
        <f aca="false">B325+INDEX(Parametros!$C$13:$C$16,MATCH($F325,Parametros!$A$13:$A$16,0))</f>
        <v>45828</v>
      </c>
      <c r="X325" s="31" t="s">
        <v>67</v>
      </c>
      <c r="Y325" s="53" t="n">
        <f aca="false">IF(COUNTIF($A$2:$A325,A325)=1,1,0)</f>
        <v>1</v>
      </c>
    </row>
    <row r="326" customFormat="false" ht="15" hidden="false" customHeight="false" outlineLevel="0" collapsed="false">
      <c r="A326" s="31" t="s">
        <v>419</v>
      </c>
      <c r="B326" s="36" t="n">
        <v>45768</v>
      </c>
      <c r="C326" s="49" t="n">
        <f aca="false">DATE(YEAR(B326),MONTH(B326),1)</f>
        <v>45748</v>
      </c>
      <c r="D326" s="31" t="s">
        <v>226</v>
      </c>
      <c r="E326" s="31" t="s">
        <v>43</v>
      </c>
      <c r="F326" s="31" t="s">
        <v>46</v>
      </c>
      <c r="G326" s="31" t="s">
        <v>59</v>
      </c>
      <c r="H326" s="31" t="s">
        <v>185</v>
      </c>
      <c r="I326" s="32" t="str">
        <f aca="false">INDEX(Productos!$B$2:$B$13,MATCH($H326,Productos!$A$2:$A$13,0))</f>
        <v>Varilla roscada M10 x 1 m zincada</v>
      </c>
      <c r="J326" s="32" t="str">
        <f aca="false">INDEX(Productos!$C$2:$C$13,MATCH($H326,Productos!$A$2:$A$13,0))</f>
        <v>Especial</v>
      </c>
      <c r="K326" s="31" t="s">
        <v>246</v>
      </c>
      <c r="L326" s="46" t="n">
        <v>62</v>
      </c>
      <c r="M326" s="50" t="n">
        <f aca="false">INDEX(Productos!$F$2:$F$13,MATCH($H326,Productos!$A$2:$A$13,0))</f>
        <v>54</v>
      </c>
      <c r="N326" s="51" t="n">
        <v>0.162</v>
      </c>
      <c r="O326" s="52" t="n">
        <f aca="false">M326*(1-N326)</f>
        <v>45.252</v>
      </c>
      <c r="P326" s="21" t="n">
        <f aca="false">L326*O326</f>
        <v>2805.624</v>
      </c>
      <c r="Q326" s="50" t="n">
        <f aca="false">INDEX(Productos!$E$2:$E$13,MATCH($H326,Productos!$A$2:$A$13,0))*INDEX(Parametros!$B$26:$B$43,MATCH($C326,Parametros!$A$26:$A$43,0))</f>
        <v>28.899</v>
      </c>
      <c r="R326" s="21" t="n">
        <f aca="false">L326*Q326</f>
        <v>1791.738</v>
      </c>
      <c r="S326" s="18" t="n">
        <f aca="false">L326*INDEX(Parametros!$B$20:$B$22,MATCH($E326,Parametros!$A$20:$A$22,0))</f>
        <v>117.8</v>
      </c>
      <c r="T326" s="18" t="n">
        <f aca="false">P326*INDEX(Parametros!$B$13:$B$16,MATCH($F326,Parametros!$A$13:$A$16,0))</f>
        <v>112.22496</v>
      </c>
      <c r="U326" s="21" t="n">
        <f aca="false">P326-R326-S326-T326</f>
        <v>783.86104</v>
      </c>
      <c r="V326" s="19" t="n">
        <f aca="false">IFERROR(U326/P326,0)</f>
        <v>0.27938919826748</v>
      </c>
      <c r="W326" s="48" t="n">
        <f aca="false">B326+INDEX(Parametros!$C$13:$C$16,MATCH($F326,Parametros!$A$13:$A$16,0))</f>
        <v>45843</v>
      </c>
      <c r="X326" s="31" t="s">
        <v>67</v>
      </c>
      <c r="Y326" s="53" t="n">
        <f aca="false">IF(COUNTIF($A$2:$A326,A326)=1,1,0)</f>
        <v>1</v>
      </c>
    </row>
    <row r="327" customFormat="false" ht="15" hidden="false" customHeight="false" outlineLevel="0" collapsed="false">
      <c r="A327" s="31" t="s">
        <v>420</v>
      </c>
      <c r="B327" s="36" t="n">
        <v>45768</v>
      </c>
      <c r="C327" s="49" t="n">
        <f aca="false">DATE(YEAR(B327),MONTH(B327),1)</f>
        <v>45748</v>
      </c>
      <c r="D327" s="31" t="s">
        <v>224</v>
      </c>
      <c r="E327" s="31" t="s">
        <v>43</v>
      </c>
      <c r="F327" s="31" t="s">
        <v>45</v>
      </c>
      <c r="G327" s="31" t="s">
        <v>59</v>
      </c>
      <c r="H327" s="31" t="s">
        <v>169</v>
      </c>
      <c r="I327" s="32" t="str">
        <f aca="false">INDEX(Productos!$B$2:$B$13,MATCH($H327,Productos!$A$2:$A$13,0))</f>
        <v>Tornillo DIN 912 M10x60 Allen inox A2</v>
      </c>
      <c r="J327" s="32" t="str">
        <f aca="false">INDEX(Productos!$C$2:$C$13,MATCH($H327,Productos!$A$2:$A$13,0))</f>
        <v>Inoxidable</v>
      </c>
      <c r="K327" s="31" t="s">
        <v>246</v>
      </c>
      <c r="L327" s="46" t="n">
        <v>21</v>
      </c>
      <c r="M327" s="50" t="n">
        <f aca="false">INDEX(Productos!$F$2:$F$13,MATCH($H327,Productos!$A$2:$A$13,0))</f>
        <v>79</v>
      </c>
      <c r="N327" s="51" t="n">
        <v>0.187</v>
      </c>
      <c r="O327" s="52" t="n">
        <f aca="false">M327*(1-N327)</f>
        <v>64.227</v>
      </c>
      <c r="P327" s="21" t="n">
        <f aca="false">L327*O327</f>
        <v>1348.767</v>
      </c>
      <c r="Q327" s="50" t="n">
        <f aca="false">INDEX(Productos!$E$2:$E$13,MATCH($H327,Productos!$A$2:$A$13,0))*INDEX(Parametros!$B$26:$B$43,MATCH($C327,Parametros!$A$26:$A$43,0))</f>
        <v>42.588</v>
      </c>
      <c r="R327" s="21" t="n">
        <f aca="false">L327*Q327</f>
        <v>894.348</v>
      </c>
      <c r="S327" s="18" t="n">
        <f aca="false">L327*INDEX(Parametros!$B$20:$B$22,MATCH($E327,Parametros!$A$20:$A$22,0))</f>
        <v>39.9</v>
      </c>
      <c r="T327" s="18" t="n">
        <f aca="false">P327*INDEX(Parametros!$B$13:$B$16,MATCH($F327,Parametros!$A$13:$A$16,0))</f>
        <v>40.46301</v>
      </c>
      <c r="U327" s="21" t="n">
        <f aca="false">P327-R327-S327-T327</f>
        <v>374.05599</v>
      </c>
      <c r="V327" s="19" t="n">
        <f aca="false">IFERROR(U327/P327,0)</f>
        <v>0.27733180749529</v>
      </c>
      <c r="W327" s="48" t="n">
        <f aca="false">B327+INDEX(Parametros!$C$13:$C$16,MATCH($F327,Parametros!$A$13:$A$16,0))</f>
        <v>45828</v>
      </c>
      <c r="X327" s="31" t="s">
        <v>67</v>
      </c>
      <c r="Y327" s="53" t="n">
        <f aca="false">IF(COUNTIF($A$2:$A327,A327)=1,1,0)</f>
        <v>1</v>
      </c>
    </row>
    <row r="328" customFormat="false" ht="15" hidden="false" customHeight="false" outlineLevel="0" collapsed="false">
      <c r="A328" s="31" t="s">
        <v>420</v>
      </c>
      <c r="B328" s="36" t="n">
        <v>45768</v>
      </c>
      <c r="C328" s="49" t="n">
        <f aca="false">DATE(YEAR(B328),MONTH(B328),1)</f>
        <v>45748</v>
      </c>
      <c r="D328" s="31" t="s">
        <v>224</v>
      </c>
      <c r="E328" s="31" t="s">
        <v>43</v>
      </c>
      <c r="F328" s="31" t="s">
        <v>45</v>
      </c>
      <c r="G328" s="31" t="s">
        <v>59</v>
      </c>
      <c r="H328" s="31" t="s">
        <v>171</v>
      </c>
      <c r="I328" s="32" t="str">
        <f aca="false">INDEX(Productos!$B$2:$B$13,MATCH($H328,Productos!$A$2:$A$13,0))</f>
        <v>Tornillo DIN 7991 M8x30 avellanado inox A2</v>
      </c>
      <c r="J328" s="32" t="str">
        <f aca="false">INDEX(Productos!$C$2:$C$13,MATCH($H328,Productos!$A$2:$A$13,0))</f>
        <v>Inoxidable</v>
      </c>
      <c r="K328" s="31" t="s">
        <v>246</v>
      </c>
      <c r="L328" s="46" t="n">
        <v>106</v>
      </c>
      <c r="M328" s="50" t="n">
        <f aca="false">INDEX(Productos!$F$2:$F$13,MATCH($H328,Productos!$A$2:$A$13,0))</f>
        <v>88</v>
      </c>
      <c r="N328" s="51" t="n">
        <v>0.197</v>
      </c>
      <c r="O328" s="52" t="n">
        <f aca="false">M328*(1-N328)</f>
        <v>70.664</v>
      </c>
      <c r="P328" s="21" t="n">
        <f aca="false">L328*O328</f>
        <v>7490.384</v>
      </c>
      <c r="Q328" s="50" t="n">
        <f aca="false">INDEX(Productos!$E$2:$E$13,MATCH($H328,Productos!$A$2:$A$13,0))*INDEX(Parametros!$B$26:$B$43,MATCH($C328,Parametros!$A$26:$A$43,0))</f>
        <v>47.151</v>
      </c>
      <c r="R328" s="21" t="n">
        <f aca="false">L328*Q328</f>
        <v>4998.006</v>
      </c>
      <c r="S328" s="18" t="n">
        <f aca="false">L328*INDEX(Parametros!$B$20:$B$22,MATCH($E328,Parametros!$A$20:$A$22,0))</f>
        <v>201.4</v>
      </c>
      <c r="T328" s="18" t="n">
        <f aca="false">P328*INDEX(Parametros!$B$13:$B$16,MATCH($F328,Parametros!$A$13:$A$16,0))</f>
        <v>224.71152</v>
      </c>
      <c r="U328" s="21" t="n">
        <f aca="false">P328-R328-S328-T328</f>
        <v>2066.26648</v>
      </c>
      <c r="V328" s="19" t="n">
        <f aca="false">IFERROR(U328/P328,0)</f>
        <v>0.275855881354013</v>
      </c>
      <c r="W328" s="48" t="n">
        <f aca="false">B328+INDEX(Parametros!$C$13:$C$16,MATCH($F328,Parametros!$A$13:$A$16,0))</f>
        <v>45828</v>
      </c>
      <c r="X328" s="31" t="s">
        <v>67</v>
      </c>
      <c r="Y328" s="53" t="n">
        <f aca="false">IF(COUNTIF($A$2:$A328,A328)=1,1,0)</f>
        <v>0</v>
      </c>
    </row>
    <row r="329" customFormat="false" ht="15" hidden="false" customHeight="false" outlineLevel="0" collapsed="false">
      <c r="A329" s="31" t="s">
        <v>421</v>
      </c>
      <c r="B329" s="36" t="n">
        <v>45768</v>
      </c>
      <c r="C329" s="49" t="n">
        <f aca="false">DATE(YEAR(B329),MONTH(B329),1)</f>
        <v>45748</v>
      </c>
      <c r="D329" s="31" t="s">
        <v>218</v>
      </c>
      <c r="E329" s="31" t="s">
        <v>42</v>
      </c>
      <c r="F329" s="31" t="s">
        <v>45</v>
      </c>
      <c r="G329" s="31" t="s">
        <v>61</v>
      </c>
      <c r="H329" s="31" t="s">
        <v>185</v>
      </c>
      <c r="I329" s="32" t="str">
        <f aca="false">INDEX(Productos!$B$2:$B$13,MATCH($H329,Productos!$A$2:$A$13,0))</f>
        <v>Varilla roscada M10 x 1 m zincada</v>
      </c>
      <c r="J329" s="32" t="str">
        <f aca="false">INDEX(Productos!$C$2:$C$13,MATCH($H329,Productos!$A$2:$A$13,0))</f>
        <v>Especial</v>
      </c>
      <c r="K329" s="31" t="s">
        <v>246</v>
      </c>
      <c r="L329" s="46" t="n">
        <v>194</v>
      </c>
      <c r="M329" s="50" t="n">
        <f aca="false">INDEX(Productos!$F$2:$F$13,MATCH($H329,Productos!$A$2:$A$13,0))</f>
        <v>54</v>
      </c>
      <c r="N329" s="51" t="n">
        <v>0.157</v>
      </c>
      <c r="O329" s="52" t="n">
        <f aca="false">M329*(1-N329)</f>
        <v>45.522</v>
      </c>
      <c r="P329" s="21" t="n">
        <f aca="false">L329*O329</f>
        <v>8831.268</v>
      </c>
      <c r="Q329" s="50" t="n">
        <f aca="false">INDEX(Productos!$E$2:$E$13,MATCH($H329,Productos!$A$2:$A$13,0))*INDEX(Parametros!$B$26:$B$43,MATCH($C329,Parametros!$A$26:$A$43,0))</f>
        <v>28.899</v>
      </c>
      <c r="R329" s="21" t="n">
        <f aca="false">L329*Q329</f>
        <v>5606.406</v>
      </c>
      <c r="S329" s="18" t="n">
        <f aca="false">L329*INDEX(Parametros!$B$20:$B$22,MATCH($E329,Parametros!$A$20:$A$22,0))</f>
        <v>465.6</v>
      </c>
      <c r="T329" s="18" t="n">
        <f aca="false">P329*INDEX(Parametros!$B$13:$B$16,MATCH($F329,Parametros!$A$13:$A$16,0))</f>
        <v>264.93804</v>
      </c>
      <c r="U329" s="21" t="n">
        <f aca="false">P329-R329-S329-T329</f>
        <v>2494.32396</v>
      </c>
      <c r="V329" s="19" t="n">
        <f aca="false">IFERROR(U329/P329,0)</f>
        <v>0.282442335574008</v>
      </c>
      <c r="W329" s="48" t="n">
        <f aca="false">B329+INDEX(Parametros!$C$13:$C$16,MATCH($F329,Parametros!$A$13:$A$16,0))</f>
        <v>45828</v>
      </c>
      <c r="X329" s="31" t="s">
        <v>69</v>
      </c>
      <c r="Y329" s="53" t="n">
        <f aca="false">IF(COUNTIF($A$2:$A329,A329)=1,1,0)</f>
        <v>1</v>
      </c>
    </row>
    <row r="330" customFormat="false" ht="15" hidden="false" customHeight="false" outlineLevel="0" collapsed="false">
      <c r="A330" s="31" t="s">
        <v>421</v>
      </c>
      <c r="B330" s="36" t="n">
        <v>45768</v>
      </c>
      <c r="C330" s="49" t="n">
        <f aca="false">DATE(YEAR(B330),MONTH(B330),1)</f>
        <v>45748</v>
      </c>
      <c r="D330" s="31" t="s">
        <v>218</v>
      </c>
      <c r="E330" s="31" t="s">
        <v>42</v>
      </c>
      <c r="F330" s="31" t="s">
        <v>45</v>
      </c>
      <c r="G330" s="31" t="s">
        <v>61</v>
      </c>
      <c r="H330" s="31" t="s">
        <v>177</v>
      </c>
      <c r="I330" s="32" t="str">
        <f aca="false">INDEX(Productos!$B$2:$B$13,MATCH($H330,Productos!$A$2:$A$13,0))</f>
        <v>Tirafondo madera 6x100 cabeza plana Torx</v>
      </c>
      <c r="J330" s="32" t="str">
        <f aca="false">INDEX(Productos!$C$2:$C$13,MATCH($H330,Productos!$A$2:$A$13,0))</f>
        <v>Madera</v>
      </c>
      <c r="K330" s="31" t="s">
        <v>246</v>
      </c>
      <c r="L330" s="46" t="n">
        <v>102</v>
      </c>
      <c r="M330" s="50" t="n">
        <f aca="false">INDEX(Productos!$F$2:$F$13,MATCH($H330,Productos!$A$2:$A$13,0))</f>
        <v>34</v>
      </c>
      <c r="N330" s="51" t="n">
        <v>0.206</v>
      </c>
      <c r="O330" s="52" t="n">
        <f aca="false">M330*(1-N330)</f>
        <v>26.996</v>
      </c>
      <c r="P330" s="21" t="n">
        <f aca="false">L330*O330</f>
        <v>2753.592</v>
      </c>
      <c r="Q330" s="50" t="n">
        <f aca="false">INDEX(Productos!$E$2:$E$13,MATCH($H330,Productos!$A$2:$A$13,0))*INDEX(Parametros!$B$26:$B$43,MATCH($C330,Parametros!$A$26:$A$43,0))</f>
        <v>18.0492</v>
      </c>
      <c r="R330" s="21" t="n">
        <f aca="false">L330*Q330</f>
        <v>1841.0184</v>
      </c>
      <c r="S330" s="18" t="n">
        <f aca="false">L330*INDEX(Parametros!$B$20:$B$22,MATCH($E330,Parametros!$A$20:$A$22,0))</f>
        <v>244.8</v>
      </c>
      <c r="T330" s="18" t="n">
        <f aca="false">P330*INDEX(Parametros!$B$13:$B$16,MATCH($F330,Parametros!$A$13:$A$16,0))</f>
        <v>82.60776</v>
      </c>
      <c r="U330" s="21" t="n">
        <f aca="false">P330-R330-S330-T330</f>
        <v>585.16584</v>
      </c>
      <c r="V330" s="19" t="n">
        <f aca="false">IFERROR(U330/P330,0)</f>
        <v>0.212510001481701</v>
      </c>
      <c r="W330" s="48" t="n">
        <f aca="false">B330+INDEX(Parametros!$C$13:$C$16,MATCH($F330,Parametros!$A$13:$A$16,0))</f>
        <v>45828</v>
      </c>
      <c r="X330" s="31" t="s">
        <v>67</v>
      </c>
      <c r="Y330" s="53" t="n">
        <f aca="false">IF(COUNTIF($A$2:$A330,A330)=1,1,0)</f>
        <v>0</v>
      </c>
    </row>
    <row r="331" customFormat="false" ht="15" hidden="false" customHeight="false" outlineLevel="0" collapsed="false">
      <c r="A331" s="31" t="s">
        <v>422</v>
      </c>
      <c r="B331" s="36" t="n">
        <v>45770</v>
      </c>
      <c r="C331" s="49" t="n">
        <f aca="false">DATE(YEAR(B331),MONTH(B331),1)</f>
        <v>45748</v>
      </c>
      <c r="D331" s="31" t="s">
        <v>200</v>
      </c>
      <c r="E331" s="31" t="s">
        <v>41</v>
      </c>
      <c r="F331" s="31" t="s">
        <v>45</v>
      </c>
      <c r="G331" s="31" t="s">
        <v>62</v>
      </c>
      <c r="H331" s="31" t="s">
        <v>183</v>
      </c>
      <c r="I331" s="32" t="str">
        <f aca="false">INDEX(Productos!$B$2:$B$13,MATCH($H331,Productos!$A$2:$A$13,0))</f>
        <v>Tornillo estructural M16x90 clase 10.9</v>
      </c>
      <c r="J331" s="32" t="str">
        <f aca="false">INDEX(Productos!$C$2:$C$13,MATCH($H331,Productos!$A$2:$A$13,0))</f>
        <v>Especial</v>
      </c>
      <c r="K331" s="31" t="s">
        <v>246</v>
      </c>
      <c r="L331" s="46" t="n">
        <v>83</v>
      </c>
      <c r="M331" s="50" t="n">
        <f aca="false">INDEX(Productos!$F$2:$F$13,MATCH($H331,Productos!$A$2:$A$13,0))</f>
        <v>112</v>
      </c>
      <c r="N331" s="51" t="n">
        <v>0.15</v>
      </c>
      <c r="O331" s="52" t="n">
        <f aca="false">M331*(1-N331)</f>
        <v>95.2</v>
      </c>
      <c r="P331" s="21" t="n">
        <f aca="false">L331*O331</f>
        <v>7901.6</v>
      </c>
      <c r="Q331" s="50" t="n">
        <f aca="false">INDEX(Productos!$E$2:$E$13,MATCH($H331,Productos!$A$2:$A$13,0))*INDEX(Parametros!$B$26:$B$43,MATCH($C331,Parametros!$A$26:$A$43,0))</f>
        <v>60.84</v>
      </c>
      <c r="R331" s="21" t="n">
        <f aca="false">L331*Q331</f>
        <v>5049.72</v>
      </c>
      <c r="S331" s="18" t="n">
        <f aca="false">L331*INDEX(Parametros!$B$20:$B$22,MATCH($E331,Parametros!$A$20:$A$22,0))</f>
        <v>70.55</v>
      </c>
      <c r="T331" s="18" t="n">
        <f aca="false">P331*INDEX(Parametros!$B$13:$B$16,MATCH($F331,Parametros!$A$13:$A$16,0))</f>
        <v>237.048</v>
      </c>
      <c r="U331" s="21" t="n">
        <f aca="false">P331-R331-S331-T331</f>
        <v>2544.282</v>
      </c>
      <c r="V331" s="19" t="n">
        <f aca="false">IFERROR(U331/P331,0)</f>
        <v>0.321995798319328</v>
      </c>
      <c r="W331" s="48" t="n">
        <f aca="false">B331+INDEX(Parametros!$C$13:$C$16,MATCH($F331,Parametros!$A$13:$A$16,0))</f>
        <v>45830</v>
      </c>
      <c r="X331" s="31" t="s">
        <v>67</v>
      </c>
      <c r="Y331" s="53" t="n">
        <f aca="false">IF(COUNTIF($A$2:$A331,A331)=1,1,0)</f>
        <v>1</v>
      </c>
    </row>
    <row r="332" customFormat="false" ht="15" hidden="false" customHeight="false" outlineLevel="0" collapsed="false">
      <c r="A332" s="31" t="s">
        <v>422</v>
      </c>
      <c r="B332" s="36" t="n">
        <v>45770</v>
      </c>
      <c r="C332" s="49" t="n">
        <f aca="false">DATE(YEAR(B332),MONTH(B332),1)</f>
        <v>45748</v>
      </c>
      <c r="D332" s="31" t="s">
        <v>200</v>
      </c>
      <c r="E332" s="31" t="s">
        <v>41</v>
      </c>
      <c r="F332" s="31" t="s">
        <v>45</v>
      </c>
      <c r="G332" s="31" t="s">
        <v>62</v>
      </c>
      <c r="H332" s="31" t="s">
        <v>173</v>
      </c>
      <c r="I332" s="32" t="str">
        <f aca="false">INDEX(Productos!$B$2:$B$13,MATCH($H332,Productos!$A$2:$A$13,0))</f>
        <v>Tornillo DIN 933 M12x70 clase 8.8</v>
      </c>
      <c r="J332" s="32" t="str">
        <f aca="false">INDEX(Productos!$C$2:$C$13,MATCH($H332,Productos!$A$2:$A$13,0))</f>
        <v>Métrica</v>
      </c>
      <c r="K332" s="31" t="s">
        <v>246</v>
      </c>
      <c r="L332" s="46" t="n">
        <v>217</v>
      </c>
      <c r="M332" s="50" t="n">
        <f aca="false">INDEX(Productos!$F$2:$F$13,MATCH($H332,Productos!$A$2:$A$13,0))</f>
        <v>64</v>
      </c>
      <c r="N332" s="51" t="n">
        <v>0.158</v>
      </c>
      <c r="O332" s="52" t="n">
        <f aca="false">M332*(1-N332)</f>
        <v>53.888</v>
      </c>
      <c r="P332" s="21" t="n">
        <f aca="false">L332*O332</f>
        <v>11693.696</v>
      </c>
      <c r="Q332" s="50" t="n">
        <f aca="false">INDEX(Productos!$E$2:$E$13,MATCH($H332,Productos!$A$2:$A$13,0))*INDEX(Parametros!$B$26:$B$43,MATCH($C332,Parametros!$A$26:$A$43,0))</f>
        <v>33.969</v>
      </c>
      <c r="R332" s="21" t="n">
        <f aca="false">L332*Q332</f>
        <v>7371.273</v>
      </c>
      <c r="S332" s="18" t="n">
        <f aca="false">L332*INDEX(Parametros!$B$20:$B$22,MATCH($E332,Parametros!$A$20:$A$22,0))</f>
        <v>184.45</v>
      </c>
      <c r="T332" s="18" t="n">
        <f aca="false">P332*INDEX(Parametros!$B$13:$B$16,MATCH($F332,Parametros!$A$13:$A$16,0))</f>
        <v>350.81088</v>
      </c>
      <c r="U332" s="21" t="n">
        <f aca="false">P332-R332-S332-T332</f>
        <v>3787.16212</v>
      </c>
      <c r="V332" s="19" t="n">
        <f aca="false">IFERROR(U332/P332,0)</f>
        <v>0.32386356888361</v>
      </c>
      <c r="W332" s="48" t="n">
        <f aca="false">B332+INDEX(Parametros!$C$13:$C$16,MATCH($F332,Parametros!$A$13:$A$16,0))</f>
        <v>45830</v>
      </c>
      <c r="X332" s="31" t="s">
        <v>67</v>
      </c>
      <c r="Y332" s="53" t="n">
        <f aca="false">IF(COUNTIF($A$2:$A332,A332)=1,1,0)</f>
        <v>0</v>
      </c>
    </row>
    <row r="333" customFormat="false" ht="15" hidden="false" customHeight="false" outlineLevel="0" collapsed="false">
      <c r="A333" s="31" t="s">
        <v>422</v>
      </c>
      <c r="B333" s="36" t="n">
        <v>45770</v>
      </c>
      <c r="C333" s="49" t="n">
        <f aca="false">DATE(YEAR(B333),MONTH(B333),1)</f>
        <v>45748</v>
      </c>
      <c r="D333" s="31" t="s">
        <v>200</v>
      </c>
      <c r="E333" s="31" t="s">
        <v>41</v>
      </c>
      <c r="F333" s="31" t="s">
        <v>45</v>
      </c>
      <c r="G333" s="31" t="s">
        <v>62</v>
      </c>
      <c r="H333" s="31" t="s">
        <v>171</v>
      </c>
      <c r="I333" s="32" t="str">
        <f aca="false">INDEX(Productos!$B$2:$B$13,MATCH($H333,Productos!$A$2:$A$13,0))</f>
        <v>Tornillo DIN 7991 M8x30 avellanado inox A2</v>
      </c>
      <c r="J333" s="32" t="str">
        <f aca="false">INDEX(Productos!$C$2:$C$13,MATCH($H333,Productos!$A$2:$A$13,0))</f>
        <v>Inoxidable</v>
      </c>
      <c r="K333" s="31" t="s">
        <v>246</v>
      </c>
      <c r="L333" s="46" t="n">
        <v>38</v>
      </c>
      <c r="M333" s="50" t="n">
        <f aca="false">INDEX(Productos!$F$2:$F$13,MATCH($H333,Productos!$A$2:$A$13,0))</f>
        <v>88</v>
      </c>
      <c r="N333" s="51" t="n">
        <v>0.132</v>
      </c>
      <c r="O333" s="52" t="n">
        <f aca="false">M333*(1-N333)</f>
        <v>76.384</v>
      </c>
      <c r="P333" s="21" t="n">
        <f aca="false">L333*O333</f>
        <v>2902.592</v>
      </c>
      <c r="Q333" s="50" t="n">
        <f aca="false">INDEX(Productos!$E$2:$E$13,MATCH($H333,Productos!$A$2:$A$13,0))*INDEX(Parametros!$B$26:$B$43,MATCH($C333,Parametros!$A$26:$A$43,0))</f>
        <v>47.151</v>
      </c>
      <c r="R333" s="21" t="n">
        <f aca="false">L333*Q333</f>
        <v>1791.738</v>
      </c>
      <c r="S333" s="18" t="n">
        <f aca="false">L333*INDEX(Parametros!$B$20:$B$22,MATCH($E333,Parametros!$A$20:$A$22,0))</f>
        <v>32.3</v>
      </c>
      <c r="T333" s="18" t="n">
        <f aca="false">P333*INDEX(Parametros!$B$13:$B$16,MATCH($F333,Parametros!$A$13:$A$16,0))</f>
        <v>87.07776</v>
      </c>
      <c r="U333" s="21" t="n">
        <f aca="false">P333-R333-S333-T333</f>
        <v>991.47624</v>
      </c>
      <c r="V333" s="19" t="n">
        <f aca="false">IFERROR(U333/P333,0)</f>
        <v>0.341583054042732</v>
      </c>
      <c r="W333" s="48" t="n">
        <f aca="false">B333+INDEX(Parametros!$C$13:$C$16,MATCH($F333,Parametros!$A$13:$A$16,0))</f>
        <v>45830</v>
      </c>
      <c r="X333" s="31" t="s">
        <v>67</v>
      </c>
      <c r="Y333" s="53" t="n">
        <f aca="false">IF(COUNTIF($A$2:$A333,A333)=1,1,0)</f>
        <v>0</v>
      </c>
    </row>
    <row r="334" customFormat="false" ht="15" hidden="false" customHeight="false" outlineLevel="0" collapsed="false">
      <c r="A334" s="31" t="s">
        <v>422</v>
      </c>
      <c r="B334" s="36" t="n">
        <v>45770</v>
      </c>
      <c r="C334" s="49" t="n">
        <f aca="false">DATE(YEAR(B334),MONTH(B334),1)</f>
        <v>45748</v>
      </c>
      <c r="D334" s="31" t="s">
        <v>200</v>
      </c>
      <c r="E334" s="31" t="s">
        <v>41</v>
      </c>
      <c r="F334" s="31" t="s">
        <v>45</v>
      </c>
      <c r="G334" s="31" t="s">
        <v>62</v>
      </c>
      <c r="H334" s="31" t="s">
        <v>163</v>
      </c>
      <c r="I334" s="32" t="str">
        <f aca="false">INDEX(Productos!$B$2:$B$13,MATCH($H334,Productos!$A$2:$A$13,0))</f>
        <v>Tornillo DIN 933 M6x30 rosca completa zincado</v>
      </c>
      <c r="J334" s="32" t="str">
        <f aca="false">INDEX(Productos!$C$2:$C$13,MATCH($H334,Productos!$A$2:$A$13,0))</f>
        <v>Métrica</v>
      </c>
      <c r="K334" s="31" t="s">
        <v>246</v>
      </c>
      <c r="L334" s="46" t="n">
        <v>91</v>
      </c>
      <c r="M334" s="50" t="n">
        <f aca="false">INDEX(Productos!$F$2:$F$13,MATCH($H334,Productos!$A$2:$A$13,0))</f>
        <v>32</v>
      </c>
      <c r="N334" s="51" t="n">
        <v>0.125</v>
      </c>
      <c r="O334" s="52" t="n">
        <f aca="false">M334*(1-N334)</f>
        <v>28</v>
      </c>
      <c r="P334" s="21" t="n">
        <f aca="false">L334*O334</f>
        <v>2548</v>
      </c>
      <c r="Q334" s="50" t="n">
        <f aca="false">INDEX(Productos!$E$2:$E$13,MATCH($H334,Productos!$A$2:$A$13,0))*INDEX(Parametros!$B$26:$B$43,MATCH($C334,Parametros!$A$26:$A$43,0))</f>
        <v>16.8324</v>
      </c>
      <c r="R334" s="21" t="n">
        <f aca="false">L334*Q334</f>
        <v>1531.7484</v>
      </c>
      <c r="S334" s="18" t="n">
        <f aca="false">L334*INDEX(Parametros!$B$20:$B$22,MATCH($E334,Parametros!$A$20:$A$22,0))</f>
        <v>77.35</v>
      </c>
      <c r="T334" s="18" t="n">
        <f aca="false">P334*INDEX(Parametros!$B$13:$B$16,MATCH($F334,Parametros!$A$13:$A$16,0))</f>
        <v>76.44</v>
      </c>
      <c r="U334" s="21" t="n">
        <f aca="false">P334-R334-S334-T334</f>
        <v>862.4616</v>
      </c>
      <c r="V334" s="19" t="n">
        <f aca="false">IFERROR(U334/P334,0)</f>
        <v>0.338485714285714</v>
      </c>
      <c r="W334" s="48" t="n">
        <f aca="false">B334+INDEX(Parametros!$C$13:$C$16,MATCH($F334,Parametros!$A$13:$A$16,0))</f>
        <v>45830</v>
      </c>
      <c r="X334" s="31" t="s">
        <v>67</v>
      </c>
      <c r="Y334" s="53" t="n">
        <f aca="false">IF(COUNTIF($A$2:$A334,A334)=1,1,0)</f>
        <v>0</v>
      </c>
    </row>
    <row r="335" customFormat="false" ht="15" hidden="false" customHeight="false" outlineLevel="0" collapsed="false">
      <c r="A335" s="31" t="s">
        <v>423</v>
      </c>
      <c r="B335" s="36" t="n">
        <v>45770</v>
      </c>
      <c r="C335" s="49" t="n">
        <f aca="false">DATE(YEAR(B335),MONTH(B335),1)</f>
        <v>45748</v>
      </c>
      <c r="D335" s="31" t="s">
        <v>216</v>
      </c>
      <c r="E335" s="31" t="s">
        <v>42</v>
      </c>
      <c r="F335" s="31" t="s">
        <v>45</v>
      </c>
      <c r="G335" s="31" t="s">
        <v>61</v>
      </c>
      <c r="H335" s="31" t="s">
        <v>175</v>
      </c>
      <c r="I335" s="32" t="str">
        <f aca="false">INDEX(Productos!$B$2:$B$13,MATCH($H335,Productos!$A$2:$A$13,0))</f>
        <v>Tirafondo madera 5x60 cabeza plana Torx</v>
      </c>
      <c r="J335" s="32" t="str">
        <f aca="false">INDEX(Productos!$C$2:$C$13,MATCH($H335,Productos!$A$2:$A$13,0))</f>
        <v>Madera</v>
      </c>
      <c r="K335" s="31" t="s">
        <v>246</v>
      </c>
      <c r="L335" s="46" t="n">
        <v>78</v>
      </c>
      <c r="M335" s="50" t="n">
        <f aca="false">INDEX(Productos!$F$2:$F$13,MATCH($H335,Productos!$A$2:$A$13,0))</f>
        <v>26</v>
      </c>
      <c r="N335" s="51" t="n">
        <v>0.188</v>
      </c>
      <c r="O335" s="52" t="n">
        <f aca="false">M335*(1-N335)</f>
        <v>21.112</v>
      </c>
      <c r="P335" s="21" t="n">
        <f aca="false">L335*O335</f>
        <v>1646.736</v>
      </c>
      <c r="Q335" s="50" t="n">
        <f aca="false">INDEX(Productos!$E$2:$E$13,MATCH($H335,Productos!$A$2:$A$13,0))*INDEX(Parametros!$B$26:$B$43,MATCH($C335,Parametros!$A$26:$A$43,0))</f>
        <v>13.5876</v>
      </c>
      <c r="R335" s="21" t="n">
        <f aca="false">L335*Q335</f>
        <v>1059.8328</v>
      </c>
      <c r="S335" s="18" t="n">
        <f aca="false">L335*INDEX(Parametros!$B$20:$B$22,MATCH($E335,Parametros!$A$20:$A$22,0))</f>
        <v>187.2</v>
      </c>
      <c r="T335" s="18" t="n">
        <f aca="false">P335*INDEX(Parametros!$B$13:$B$16,MATCH($F335,Parametros!$A$13:$A$16,0))</f>
        <v>49.40208</v>
      </c>
      <c r="U335" s="21" t="n">
        <f aca="false">P335-R335-S335-T335</f>
        <v>350.30112</v>
      </c>
      <c r="V335" s="19" t="n">
        <f aca="false">IFERROR(U335/P335,0)</f>
        <v>0.212724516862448</v>
      </c>
      <c r="W335" s="48" t="n">
        <f aca="false">B335+INDEX(Parametros!$C$13:$C$16,MATCH($F335,Parametros!$A$13:$A$16,0))</f>
        <v>45830</v>
      </c>
      <c r="X335" s="31" t="s">
        <v>67</v>
      </c>
      <c r="Y335" s="53" t="n">
        <f aca="false">IF(COUNTIF($A$2:$A335,A335)=1,1,0)</f>
        <v>1</v>
      </c>
    </row>
    <row r="336" customFormat="false" ht="15" hidden="false" customHeight="false" outlineLevel="0" collapsed="false">
      <c r="A336" s="31" t="s">
        <v>423</v>
      </c>
      <c r="B336" s="36" t="n">
        <v>45770</v>
      </c>
      <c r="C336" s="49" t="n">
        <f aca="false">DATE(YEAR(B336),MONTH(B336),1)</f>
        <v>45748</v>
      </c>
      <c r="D336" s="31" t="s">
        <v>216</v>
      </c>
      <c r="E336" s="31" t="s">
        <v>42</v>
      </c>
      <c r="F336" s="31" t="s">
        <v>45</v>
      </c>
      <c r="G336" s="31" t="s">
        <v>61</v>
      </c>
      <c r="H336" s="31" t="s">
        <v>169</v>
      </c>
      <c r="I336" s="32" t="str">
        <f aca="false">INDEX(Productos!$B$2:$B$13,MATCH($H336,Productos!$A$2:$A$13,0))</f>
        <v>Tornillo DIN 912 M10x60 Allen inox A2</v>
      </c>
      <c r="J336" s="32" t="str">
        <f aca="false">INDEX(Productos!$C$2:$C$13,MATCH($H336,Productos!$A$2:$A$13,0))</f>
        <v>Inoxidable</v>
      </c>
      <c r="K336" s="31" t="s">
        <v>246</v>
      </c>
      <c r="L336" s="46" t="n">
        <v>106</v>
      </c>
      <c r="M336" s="50" t="n">
        <f aca="false">INDEX(Productos!$F$2:$F$13,MATCH($H336,Productos!$A$2:$A$13,0))</f>
        <v>79</v>
      </c>
      <c r="N336" s="51" t="n">
        <v>0.187</v>
      </c>
      <c r="O336" s="52" t="n">
        <f aca="false">M336*(1-N336)</f>
        <v>64.227</v>
      </c>
      <c r="P336" s="21" t="n">
        <f aca="false">L336*O336</f>
        <v>6808.062</v>
      </c>
      <c r="Q336" s="50" t="n">
        <f aca="false">INDEX(Productos!$E$2:$E$13,MATCH($H336,Productos!$A$2:$A$13,0))*INDEX(Parametros!$B$26:$B$43,MATCH($C336,Parametros!$A$26:$A$43,0))</f>
        <v>42.588</v>
      </c>
      <c r="R336" s="21" t="n">
        <f aca="false">L336*Q336</f>
        <v>4514.328</v>
      </c>
      <c r="S336" s="18" t="n">
        <f aca="false">L336*INDEX(Parametros!$B$20:$B$22,MATCH($E336,Parametros!$A$20:$A$22,0))</f>
        <v>254.4</v>
      </c>
      <c r="T336" s="18" t="n">
        <f aca="false">P336*INDEX(Parametros!$B$13:$B$16,MATCH($F336,Parametros!$A$13:$A$16,0))</f>
        <v>204.24186</v>
      </c>
      <c r="U336" s="21" t="n">
        <f aca="false">P336-R336-S336-T336</f>
        <v>1835.09214</v>
      </c>
      <c r="V336" s="19" t="n">
        <f aca="false">IFERROR(U336/P336,0)</f>
        <v>0.269546919519828</v>
      </c>
      <c r="W336" s="48" t="n">
        <f aca="false">B336+INDEX(Parametros!$C$13:$C$16,MATCH($F336,Parametros!$A$13:$A$16,0))</f>
        <v>45830</v>
      </c>
      <c r="X336" s="31" t="s">
        <v>67</v>
      </c>
      <c r="Y336" s="53" t="n">
        <f aca="false">IF(COUNTIF($A$2:$A336,A336)=1,1,0)</f>
        <v>0</v>
      </c>
    </row>
    <row r="337" customFormat="false" ht="15" hidden="false" customHeight="false" outlineLevel="0" collapsed="false">
      <c r="A337" s="31" t="s">
        <v>423</v>
      </c>
      <c r="B337" s="36" t="n">
        <v>45770</v>
      </c>
      <c r="C337" s="49" t="n">
        <f aca="false">DATE(YEAR(B337),MONTH(B337),1)</f>
        <v>45748</v>
      </c>
      <c r="D337" s="31" t="s">
        <v>216</v>
      </c>
      <c r="E337" s="31" t="s">
        <v>42</v>
      </c>
      <c r="F337" s="31" t="s">
        <v>45</v>
      </c>
      <c r="G337" s="31" t="s">
        <v>61</v>
      </c>
      <c r="H337" s="31" t="s">
        <v>167</v>
      </c>
      <c r="I337" s="32" t="str">
        <f aca="false">INDEX(Productos!$B$2:$B$13,MATCH($H337,Productos!$A$2:$A$13,0))</f>
        <v>Tornillo DIN 912 M6x25 Allen zincado</v>
      </c>
      <c r="J337" s="32" t="str">
        <f aca="false">INDEX(Productos!$C$2:$C$13,MATCH($H337,Productos!$A$2:$A$13,0))</f>
        <v>Métrica</v>
      </c>
      <c r="K337" s="31" t="s">
        <v>246</v>
      </c>
      <c r="L337" s="46" t="n">
        <v>259</v>
      </c>
      <c r="M337" s="50" t="n">
        <f aca="false">INDEX(Productos!$F$2:$F$13,MATCH($H337,Productos!$A$2:$A$13,0))</f>
        <v>42</v>
      </c>
      <c r="N337" s="51" t="n">
        <v>0.185</v>
      </c>
      <c r="O337" s="52" t="n">
        <f aca="false">M337*(1-N337)</f>
        <v>34.23</v>
      </c>
      <c r="P337" s="21" t="n">
        <f aca="false">L337*O337</f>
        <v>8865.57</v>
      </c>
      <c r="Q337" s="50" t="n">
        <f aca="false">INDEX(Productos!$E$2:$E$13,MATCH($H337,Productos!$A$2:$A$13,0))*INDEX(Parametros!$B$26:$B$43,MATCH($C337,Parametros!$A$26:$A$43,0))</f>
        <v>22.1052</v>
      </c>
      <c r="R337" s="21" t="n">
        <f aca="false">L337*Q337</f>
        <v>5725.2468</v>
      </c>
      <c r="S337" s="18" t="n">
        <f aca="false">L337*INDEX(Parametros!$B$20:$B$22,MATCH($E337,Parametros!$A$20:$A$22,0))</f>
        <v>621.6</v>
      </c>
      <c r="T337" s="18" t="n">
        <f aca="false">P337*INDEX(Parametros!$B$13:$B$16,MATCH($F337,Parametros!$A$13:$A$16,0))</f>
        <v>265.9671</v>
      </c>
      <c r="U337" s="21" t="n">
        <f aca="false">P337-R337-S337-T337</f>
        <v>2252.7561</v>
      </c>
      <c r="V337" s="19" t="n">
        <f aca="false">IFERROR(U337/P337,0)</f>
        <v>0.25410166520596</v>
      </c>
      <c r="W337" s="48" t="n">
        <f aca="false">B337+INDEX(Parametros!$C$13:$C$16,MATCH($F337,Parametros!$A$13:$A$16,0))</f>
        <v>45830</v>
      </c>
      <c r="X337" s="31" t="s">
        <v>67</v>
      </c>
      <c r="Y337" s="53" t="n">
        <f aca="false">IF(COUNTIF($A$2:$A337,A337)=1,1,0)</f>
        <v>0</v>
      </c>
    </row>
    <row r="338" customFormat="false" ht="15" hidden="false" customHeight="false" outlineLevel="0" collapsed="false">
      <c r="A338" s="31" t="s">
        <v>424</v>
      </c>
      <c r="B338" s="36" t="n">
        <v>45771</v>
      </c>
      <c r="C338" s="49" t="n">
        <f aca="false">DATE(YEAR(B338),MONTH(B338),1)</f>
        <v>45748</v>
      </c>
      <c r="D338" s="31" t="s">
        <v>196</v>
      </c>
      <c r="E338" s="31" t="s">
        <v>41</v>
      </c>
      <c r="F338" s="31" t="s">
        <v>47</v>
      </c>
      <c r="G338" s="31" t="s">
        <v>58</v>
      </c>
      <c r="H338" s="31" t="s">
        <v>167</v>
      </c>
      <c r="I338" s="32" t="str">
        <f aca="false">INDEX(Productos!$B$2:$B$13,MATCH($H338,Productos!$A$2:$A$13,0))</f>
        <v>Tornillo DIN 912 M6x25 Allen zincado</v>
      </c>
      <c r="J338" s="32" t="str">
        <f aca="false">INDEX(Productos!$C$2:$C$13,MATCH($H338,Productos!$A$2:$A$13,0))</f>
        <v>Métrica</v>
      </c>
      <c r="K338" s="31" t="s">
        <v>246</v>
      </c>
      <c r="L338" s="46" t="n">
        <v>57</v>
      </c>
      <c r="M338" s="50" t="n">
        <f aca="false">INDEX(Productos!$F$2:$F$13,MATCH($H338,Productos!$A$2:$A$13,0))</f>
        <v>42</v>
      </c>
      <c r="N338" s="51" t="n">
        <v>0.095</v>
      </c>
      <c r="O338" s="52" t="n">
        <f aca="false">M338*(1-N338)</f>
        <v>38.01</v>
      </c>
      <c r="P338" s="21" t="n">
        <f aca="false">L338*O338</f>
        <v>2166.57</v>
      </c>
      <c r="Q338" s="50" t="n">
        <f aca="false">INDEX(Productos!$E$2:$E$13,MATCH($H338,Productos!$A$2:$A$13,0))*INDEX(Parametros!$B$26:$B$43,MATCH($C338,Parametros!$A$26:$A$43,0))</f>
        <v>22.1052</v>
      </c>
      <c r="R338" s="21" t="n">
        <f aca="false">L338*Q338</f>
        <v>1259.9964</v>
      </c>
      <c r="S338" s="18" t="n">
        <f aca="false">L338*INDEX(Parametros!$B$20:$B$22,MATCH($E338,Parametros!$A$20:$A$22,0))</f>
        <v>48.45</v>
      </c>
      <c r="T338" s="18" t="n">
        <f aca="false">P338*INDEX(Parametros!$B$13:$B$16,MATCH($F338,Parametros!$A$13:$A$16,0))</f>
        <v>75.82995</v>
      </c>
      <c r="U338" s="21" t="n">
        <f aca="false">P338-R338-S338-T338</f>
        <v>782.29365</v>
      </c>
      <c r="V338" s="19" t="n">
        <f aca="false">IFERROR(U338/P338,0)</f>
        <v>0.361074717179689</v>
      </c>
      <c r="W338" s="48" t="n">
        <f aca="false">B338+INDEX(Parametros!$C$13:$C$16,MATCH($F338,Parametros!$A$13:$A$16,0))</f>
        <v>45816</v>
      </c>
      <c r="X338" s="31" t="s">
        <v>67</v>
      </c>
      <c r="Y338" s="53" t="n">
        <f aca="false">IF(COUNTIF($A$2:$A338,A338)=1,1,0)</f>
        <v>1</v>
      </c>
    </row>
    <row r="339" customFormat="false" ht="15" hidden="false" customHeight="false" outlineLevel="0" collapsed="false">
      <c r="A339" s="31" t="s">
        <v>424</v>
      </c>
      <c r="B339" s="36" t="n">
        <v>45771</v>
      </c>
      <c r="C339" s="49" t="n">
        <f aca="false">DATE(YEAR(B339),MONTH(B339),1)</f>
        <v>45748</v>
      </c>
      <c r="D339" s="31" t="s">
        <v>196</v>
      </c>
      <c r="E339" s="31" t="s">
        <v>41</v>
      </c>
      <c r="F339" s="31" t="s">
        <v>47</v>
      </c>
      <c r="G339" s="31" t="s">
        <v>58</v>
      </c>
      <c r="H339" s="31" t="s">
        <v>177</v>
      </c>
      <c r="I339" s="32" t="str">
        <f aca="false">INDEX(Productos!$B$2:$B$13,MATCH($H339,Productos!$A$2:$A$13,0))</f>
        <v>Tirafondo madera 6x100 cabeza plana Torx</v>
      </c>
      <c r="J339" s="32" t="str">
        <f aca="false">INDEX(Productos!$C$2:$C$13,MATCH($H339,Productos!$A$2:$A$13,0))</f>
        <v>Madera</v>
      </c>
      <c r="K339" s="31" t="s">
        <v>246</v>
      </c>
      <c r="L339" s="46" t="n">
        <v>69</v>
      </c>
      <c r="M339" s="50" t="n">
        <f aca="false">INDEX(Productos!$F$2:$F$13,MATCH($H339,Productos!$A$2:$A$13,0))</f>
        <v>34</v>
      </c>
      <c r="N339" s="51" t="n">
        <v>0.099</v>
      </c>
      <c r="O339" s="52" t="n">
        <f aca="false">M339*(1-N339)</f>
        <v>30.634</v>
      </c>
      <c r="P339" s="21" t="n">
        <f aca="false">L339*O339</f>
        <v>2113.746</v>
      </c>
      <c r="Q339" s="50" t="n">
        <f aca="false">INDEX(Productos!$E$2:$E$13,MATCH($H339,Productos!$A$2:$A$13,0))*INDEX(Parametros!$B$26:$B$43,MATCH($C339,Parametros!$A$26:$A$43,0))</f>
        <v>18.0492</v>
      </c>
      <c r="R339" s="21" t="n">
        <f aca="false">L339*Q339</f>
        <v>1245.3948</v>
      </c>
      <c r="S339" s="18" t="n">
        <f aca="false">L339*INDEX(Parametros!$B$20:$B$22,MATCH($E339,Parametros!$A$20:$A$22,0))</f>
        <v>58.65</v>
      </c>
      <c r="T339" s="18" t="n">
        <f aca="false">P339*INDEX(Parametros!$B$13:$B$16,MATCH($F339,Parametros!$A$13:$A$16,0))</f>
        <v>73.98111</v>
      </c>
      <c r="U339" s="21" t="n">
        <f aca="false">P339-R339-S339-T339</f>
        <v>735.72009</v>
      </c>
      <c r="V339" s="19" t="n">
        <f aca="false">IFERROR(U339/P339,0)</f>
        <v>0.348064568779787</v>
      </c>
      <c r="W339" s="48" t="n">
        <f aca="false">B339+INDEX(Parametros!$C$13:$C$16,MATCH($F339,Parametros!$A$13:$A$16,0))</f>
        <v>45816</v>
      </c>
      <c r="X339" s="31" t="s">
        <v>67</v>
      </c>
      <c r="Y339" s="53" t="n">
        <f aca="false">IF(COUNTIF($A$2:$A339,A339)=1,1,0)</f>
        <v>0</v>
      </c>
    </row>
    <row r="340" customFormat="false" ht="15" hidden="false" customHeight="false" outlineLevel="0" collapsed="false">
      <c r="A340" s="31" t="s">
        <v>425</v>
      </c>
      <c r="B340" s="36" t="n">
        <v>45771</v>
      </c>
      <c r="C340" s="49" t="n">
        <f aca="false">DATE(YEAR(B340),MONTH(B340),1)</f>
        <v>45748</v>
      </c>
      <c r="D340" s="31" t="s">
        <v>219</v>
      </c>
      <c r="E340" s="31" t="s">
        <v>42</v>
      </c>
      <c r="F340" s="31" t="s">
        <v>45</v>
      </c>
      <c r="G340" s="31" t="s">
        <v>61</v>
      </c>
      <c r="H340" s="31" t="s">
        <v>175</v>
      </c>
      <c r="I340" s="32" t="str">
        <f aca="false">INDEX(Productos!$B$2:$B$13,MATCH($H340,Productos!$A$2:$A$13,0))</f>
        <v>Tirafondo madera 5x60 cabeza plana Torx</v>
      </c>
      <c r="J340" s="32" t="str">
        <f aca="false">INDEX(Productos!$C$2:$C$13,MATCH($H340,Productos!$A$2:$A$13,0))</f>
        <v>Madera</v>
      </c>
      <c r="K340" s="31" t="s">
        <v>246</v>
      </c>
      <c r="L340" s="46" t="n">
        <v>206</v>
      </c>
      <c r="M340" s="50" t="n">
        <f aca="false">INDEX(Productos!$F$2:$F$13,MATCH($H340,Productos!$A$2:$A$13,0))</f>
        <v>26</v>
      </c>
      <c r="N340" s="51" t="n">
        <v>0.157</v>
      </c>
      <c r="O340" s="52" t="n">
        <f aca="false">M340*(1-N340)</f>
        <v>21.918</v>
      </c>
      <c r="P340" s="21" t="n">
        <f aca="false">L340*O340</f>
        <v>4515.108</v>
      </c>
      <c r="Q340" s="50" t="n">
        <f aca="false">INDEX(Productos!$E$2:$E$13,MATCH($H340,Productos!$A$2:$A$13,0))*INDEX(Parametros!$B$26:$B$43,MATCH($C340,Parametros!$A$26:$A$43,0))</f>
        <v>13.5876</v>
      </c>
      <c r="R340" s="21" t="n">
        <f aca="false">L340*Q340</f>
        <v>2799.0456</v>
      </c>
      <c r="S340" s="18" t="n">
        <f aca="false">L340*INDEX(Parametros!$B$20:$B$22,MATCH($E340,Parametros!$A$20:$A$22,0))</f>
        <v>494.4</v>
      </c>
      <c r="T340" s="18" t="n">
        <f aca="false">P340*INDEX(Parametros!$B$13:$B$16,MATCH($F340,Parametros!$A$13:$A$16,0))</f>
        <v>135.45324</v>
      </c>
      <c r="U340" s="21" t="n">
        <f aca="false">P340-R340-S340-T340</f>
        <v>1086.20916</v>
      </c>
      <c r="V340" s="19" t="n">
        <f aca="false">IFERROR(U340/P340,0)</f>
        <v>0.240572132493841</v>
      </c>
      <c r="W340" s="48" t="n">
        <f aca="false">B340+INDEX(Parametros!$C$13:$C$16,MATCH($F340,Parametros!$A$13:$A$16,0))</f>
        <v>45831</v>
      </c>
      <c r="X340" s="31" t="s">
        <v>67</v>
      </c>
      <c r="Y340" s="53" t="n">
        <f aca="false">IF(COUNTIF($A$2:$A340,A340)=1,1,0)</f>
        <v>1</v>
      </c>
    </row>
    <row r="341" customFormat="false" ht="15" hidden="false" customHeight="false" outlineLevel="0" collapsed="false">
      <c r="A341" s="31" t="s">
        <v>425</v>
      </c>
      <c r="B341" s="36" t="n">
        <v>45771</v>
      </c>
      <c r="C341" s="49" t="n">
        <f aca="false">DATE(YEAR(B341),MONTH(B341),1)</f>
        <v>45748</v>
      </c>
      <c r="D341" s="31" t="s">
        <v>219</v>
      </c>
      <c r="E341" s="31" t="s">
        <v>42</v>
      </c>
      <c r="F341" s="31" t="s">
        <v>45</v>
      </c>
      <c r="G341" s="31" t="s">
        <v>61</v>
      </c>
      <c r="H341" s="31" t="s">
        <v>171</v>
      </c>
      <c r="I341" s="32" t="str">
        <f aca="false">INDEX(Productos!$B$2:$B$13,MATCH($H341,Productos!$A$2:$A$13,0))</f>
        <v>Tornillo DIN 7991 M8x30 avellanado inox A2</v>
      </c>
      <c r="J341" s="32" t="str">
        <f aca="false">INDEX(Productos!$C$2:$C$13,MATCH($H341,Productos!$A$2:$A$13,0))</f>
        <v>Inoxidable</v>
      </c>
      <c r="K341" s="31" t="s">
        <v>246</v>
      </c>
      <c r="L341" s="46" t="n">
        <v>60</v>
      </c>
      <c r="M341" s="50" t="n">
        <f aca="false">INDEX(Productos!$F$2:$F$13,MATCH($H341,Productos!$A$2:$A$13,0))</f>
        <v>88</v>
      </c>
      <c r="N341" s="51" t="n">
        <v>0.158</v>
      </c>
      <c r="O341" s="52" t="n">
        <f aca="false">M341*(1-N341)</f>
        <v>74.096</v>
      </c>
      <c r="P341" s="21" t="n">
        <f aca="false">L341*O341</f>
        <v>4445.76</v>
      </c>
      <c r="Q341" s="50" t="n">
        <f aca="false">INDEX(Productos!$E$2:$E$13,MATCH($H341,Productos!$A$2:$A$13,0))*INDEX(Parametros!$B$26:$B$43,MATCH($C341,Parametros!$A$26:$A$43,0))</f>
        <v>47.151</v>
      </c>
      <c r="R341" s="21" t="n">
        <f aca="false">L341*Q341</f>
        <v>2829.06</v>
      </c>
      <c r="S341" s="18" t="n">
        <f aca="false">L341*INDEX(Parametros!$B$20:$B$22,MATCH($E341,Parametros!$A$20:$A$22,0))</f>
        <v>144</v>
      </c>
      <c r="T341" s="18" t="n">
        <f aca="false">P341*INDEX(Parametros!$B$13:$B$16,MATCH($F341,Parametros!$A$13:$A$16,0))</f>
        <v>133.3728</v>
      </c>
      <c r="U341" s="21" t="n">
        <f aca="false">P341-R341-S341-T341</f>
        <v>1339.3272</v>
      </c>
      <c r="V341" s="19" t="n">
        <f aca="false">IFERROR(U341/P341,0)</f>
        <v>0.301259447203628</v>
      </c>
      <c r="W341" s="48" t="n">
        <f aca="false">B341+INDEX(Parametros!$C$13:$C$16,MATCH($F341,Parametros!$A$13:$A$16,0))</f>
        <v>45831</v>
      </c>
      <c r="X341" s="31" t="s">
        <v>67</v>
      </c>
      <c r="Y341" s="53" t="n">
        <f aca="false">IF(COUNTIF($A$2:$A341,A341)=1,1,0)</f>
        <v>0</v>
      </c>
    </row>
    <row r="342" customFormat="false" ht="15" hidden="false" customHeight="false" outlineLevel="0" collapsed="false">
      <c r="A342" s="31" t="s">
        <v>426</v>
      </c>
      <c r="B342" s="36" t="n">
        <v>45771</v>
      </c>
      <c r="C342" s="49" t="n">
        <f aca="false">DATE(YEAR(B342),MONTH(B342),1)</f>
        <v>45748</v>
      </c>
      <c r="D342" s="31" t="s">
        <v>192</v>
      </c>
      <c r="E342" s="31" t="s">
        <v>41</v>
      </c>
      <c r="F342" s="31" t="s">
        <v>45</v>
      </c>
      <c r="G342" s="31" t="s">
        <v>58</v>
      </c>
      <c r="H342" s="31" t="s">
        <v>183</v>
      </c>
      <c r="I342" s="32" t="str">
        <f aca="false">INDEX(Productos!$B$2:$B$13,MATCH($H342,Productos!$A$2:$A$13,0))</f>
        <v>Tornillo estructural M16x90 clase 10.9</v>
      </c>
      <c r="J342" s="32" t="str">
        <f aca="false">INDEX(Productos!$C$2:$C$13,MATCH($H342,Productos!$A$2:$A$13,0))</f>
        <v>Especial</v>
      </c>
      <c r="K342" s="31" t="s">
        <v>246</v>
      </c>
      <c r="L342" s="46" t="n">
        <v>263</v>
      </c>
      <c r="M342" s="50" t="n">
        <f aca="false">INDEX(Productos!$F$2:$F$13,MATCH($H342,Productos!$A$2:$A$13,0))</f>
        <v>112</v>
      </c>
      <c r="N342" s="51" t="n">
        <v>0.166</v>
      </c>
      <c r="O342" s="52" t="n">
        <f aca="false">M342*(1-N342)</f>
        <v>93.408</v>
      </c>
      <c r="P342" s="21" t="n">
        <f aca="false">L342*O342</f>
        <v>24566.304</v>
      </c>
      <c r="Q342" s="50" t="n">
        <f aca="false">INDEX(Productos!$E$2:$E$13,MATCH($H342,Productos!$A$2:$A$13,0))*INDEX(Parametros!$B$26:$B$43,MATCH($C342,Parametros!$A$26:$A$43,0))</f>
        <v>60.84</v>
      </c>
      <c r="R342" s="21" t="n">
        <f aca="false">L342*Q342</f>
        <v>16000.92</v>
      </c>
      <c r="S342" s="18" t="n">
        <f aca="false">L342*INDEX(Parametros!$B$20:$B$22,MATCH($E342,Parametros!$A$20:$A$22,0))</f>
        <v>223.55</v>
      </c>
      <c r="T342" s="18" t="n">
        <f aca="false">P342*INDEX(Parametros!$B$13:$B$16,MATCH($F342,Parametros!$A$13:$A$16,0))</f>
        <v>736.98912</v>
      </c>
      <c r="U342" s="21" t="n">
        <f aca="false">P342-R342-S342-T342</f>
        <v>7604.84488</v>
      </c>
      <c r="V342" s="19" t="n">
        <f aca="false">IFERROR(U342/P342,0)</f>
        <v>0.309564063035286</v>
      </c>
      <c r="W342" s="48" t="n">
        <f aca="false">B342+INDEX(Parametros!$C$13:$C$16,MATCH($F342,Parametros!$A$13:$A$16,0))</f>
        <v>45831</v>
      </c>
      <c r="X342" s="31" t="s">
        <v>67</v>
      </c>
      <c r="Y342" s="53" t="n">
        <f aca="false">IF(COUNTIF($A$2:$A342,A342)=1,1,0)</f>
        <v>1</v>
      </c>
    </row>
    <row r="343" customFormat="false" ht="15" hidden="false" customHeight="false" outlineLevel="0" collapsed="false">
      <c r="A343" s="31" t="s">
        <v>427</v>
      </c>
      <c r="B343" s="36" t="n">
        <v>45772</v>
      </c>
      <c r="C343" s="49" t="n">
        <f aca="false">DATE(YEAR(B343),MONTH(B343),1)</f>
        <v>45748</v>
      </c>
      <c r="D343" s="31" t="s">
        <v>201</v>
      </c>
      <c r="E343" s="31" t="s">
        <v>41</v>
      </c>
      <c r="F343" s="31" t="s">
        <v>46</v>
      </c>
      <c r="G343" s="31" t="s">
        <v>62</v>
      </c>
      <c r="H343" s="31" t="s">
        <v>163</v>
      </c>
      <c r="I343" s="32" t="str">
        <f aca="false">INDEX(Productos!$B$2:$B$13,MATCH($H343,Productos!$A$2:$A$13,0))</f>
        <v>Tornillo DIN 933 M6x30 rosca completa zincado</v>
      </c>
      <c r="J343" s="32" t="str">
        <f aca="false">INDEX(Productos!$C$2:$C$13,MATCH($H343,Productos!$A$2:$A$13,0))</f>
        <v>Métrica</v>
      </c>
      <c r="K343" s="31" t="s">
        <v>246</v>
      </c>
      <c r="L343" s="46" t="n">
        <v>128</v>
      </c>
      <c r="M343" s="50" t="n">
        <f aca="false">INDEX(Productos!$F$2:$F$13,MATCH($H343,Productos!$A$2:$A$13,0))</f>
        <v>32</v>
      </c>
      <c r="N343" s="51" t="n">
        <v>0.139</v>
      </c>
      <c r="O343" s="52" t="n">
        <f aca="false">M343*(1-N343)</f>
        <v>27.552</v>
      </c>
      <c r="P343" s="21" t="n">
        <f aca="false">L343*O343</f>
        <v>3526.656</v>
      </c>
      <c r="Q343" s="50" t="n">
        <f aca="false">INDEX(Productos!$E$2:$E$13,MATCH($H343,Productos!$A$2:$A$13,0))*INDEX(Parametros!$B$26:$B$43,MATCH($C343,Parametros!$A$26:$A$43,0))</f>
        <v>16.8324</v>
      </c>
      <c r="R343" s="21" t="n">
        <f aca="false">L343*Q343</f>
        <v>2154.5472</v>
      </c>
      <c r="S343" s="18" t="n">
        <f aca="false">L343*INDEX(Parametros!$B$20:$B$22,MATCH($E343,Parametros!$A$20:$A$22,0))</f>
        <v>108.8</v>
      </c>
      <c r="T343" s="18" t="n">
        <f aca="false">P343*INDEX(Parametros!$B$13:$B$16,MATCH($F343,Parametros!$A$13:$A$16,0))</f>
        <v>141.06624</v>
      </c>
      <c r="U343" s="21" t="n">
        <f aca="false">P343-R343-S343-T343</f>
        <v>1122.24256</v>
      </c>
      <c r="V343" s="19" t="n">
        <f aca="false">IFERROR(U343/P343,0)</f>
        <v>0.31821718931475</v>
      </c>
      <c r="W343" s="48" t="n">
        <f aca="false">B343+INDEX(Parametros!$C$13:$C$16,MATCH($F343,Parametros!$A$13:$A$16,0))</f>
        <v>45847</v>
      </c>
      <c r="X343" s="31" t="s">
        <v>69</v>
      </c>
      <c r="Y343" s="53" t="n">
        <f aca="false">IF(COUNTIF($A$2:$A343,A343)=1,1,0)</f>
        <v>1</v>
      </c>
    </row>
    <row r="344" customFormat="false" ht="15" hidden="false" customHeight="false" outlineLevel="0" collapsed="false">
      <c r="A344" s="31" t="s">
        <v>427</v>
      </c>
      <c r="B344" s="36" t="n">
        <v>45772</v>
      </c>
      <c r="C344" s="49" t="n">
        <f aca="false">DATE(YEAR(B344),MONTH(B344),1)</f>
        <v>45748</v>
      </c>
      <c r="D344" s="31" t="s">
        <v>201</v>
      </c>
      <c r="E344" s="31" t="s">
        <v>41</v>
      </c>
      <c r="F344" s="31" t="s">
        <v>46</v>
      </c>
      <c r="G344" s="31" t="s">
        <v>62</v>
      </c>
      <c r="H344" s="31" t="s">
        <v>183</v>
      </c>
      <c r="I344" s="32" t="str">
        <f aca="false">INDEX(Productos!$B$2:$B$13,MATCH($H344,Productos!$A$2:$A$13,0))</f>
        <v>Tornillo estructural M16x90 clase 10.9</v>
      </c>
      <c r="J344" s="32" t="str">
        <f aca="false">INDEX(Productos!$C$2:$C$13,MATCH($H344,Productos!$A$2:$A$13,0))</f>
        <v>Especial</v>
      </c>
      <c r="K344" s="31" t="s">
        <v>246</v>
      </c>
      <c r="L344" s="46" t="n">
        <v>139</v>
      </c>
      <c r="M344" s="50" t="n">
        <f aca="false">INDEX(Productos!$F$2:$F$13,MATCH($H344,Productos!$A$2:$A$13,0))</f>
        <v>112</v>
      </c>
      <c r="N344" s="51" t="n">
        <v>0.095</v>
      </c>
      <c r="O344" s="52" t="n">
        <f aca="false">M344*(1-N344)</f>
        <v>101.36</v>
      </c>
      <c r="P344" s="21" t="n">
        <f aca="false">L344*O344</f>
        <v>14089.04</v>
      </c>
      <c r="Q344" s="50" t="n">
        <f aca="false">INDEX(Productos!$E$2:$E$13,MATCH($H344,Productos!$A$2:$A$13,0))*INDEX(Parametros!$B$26:$B$43,MATCH($C344,Parametros!$A$26:$A$43,0))</f>
        <v>60.84</v>
      </c>
      <c r="R344" s="21" t="n">
        <f aca="false">L344*Q344</f>
        <v>8456.76</v>
      </c>
      <c r="S344" s="18" t="n">
        <f aca="false">L344*INDEX(Parametros!$B$20:$B$22,MATCH($E344,Parametros!$A$20:$A$22,0))</f>
        <v>118.15</v>
      </c>
      <c r="T344" s="18" t="n">
        <f aca="false">P344*INDEX(Parametros!$B$13:$B$16,MATCH($F344,Parametros!$A$13:$A$16,0))</f>
        <v>563.5616</v>
      </c>
      <c r="U344" s="21" t="n">
        <f aca="false">P344-R344-S344-T344</f>
        <v>4950.5684</v>
      </c>
      <c r="V344" s="19" t="n">
        <f aca="false">IFERROR(U344/P344,0)</f>
        <v>0.3513772691397</v>
      </c>
      <c r="W344" s="48" t="n">
        <f aca="false">B344+INDEX(Parametros!$C$13:$C$16,MATCH($F344,Parametros!$A$13:$A$16,0))</f>
        <v>45847</v>
      </c>
      <c r="X344" s="31" t="s">
        <v>69</v>
      </c>
      <c r="Y344" s="53" t="n">
        <f aca="false">IF(COUNTIF($A$2:$A344,A344)=1,1,0)</f>
        <v>0</v>
      </c>
    </row>
    <row r="345" customFormat="false" ht="15" hidden="false" customHeight="false" outlineLevel="0" collapsed="false">
      <c r="A345" s="31" t="s">
        <v>427</v>
      </c>
      <c r="B345" s="36" t="n">
        <v>45772</v>
      </c>
      <c r="C345" s="49" t="n">
        <f aca="false">DATE(YEAR(B345),MONTH(B345),1)</f>
        <v>45748</v>
      </c>
      <c r="D345" s="31" t="s">
        <v>201</v>
      </c>
      <c r="E345" s="31" t="s">
        <v>41</v>
      </c>
      <c r="F345" s="31" t="s">
        <v>46</v>
      </c>
      <c r="G345" s="31" t="s">
        <v>62</v>
      </c>
      <c r="H345" s="31" t="s">
        <v>165</v>
      </c>
      <c r="I345" s="32" t="str">
        <f aca="false">INDEX(Productos!$B$2:$B$13,MATCH($H345,Productos!$A$2:$A$13,0))</f>
        <v>Tornillo DIN 933 M8x40 rosca completa zincado</v>
      </c>
      <c r="J345" s="32" t="str">
        <f aca="false">INDEX(Productos!$C$2:$C$13,MATCH($H345,Productos!$A$2:$A$13,0))</f>
        <v>Métrica</v>
      </c>
      <c r="K345" s="31" t="s">
        <v>246</v>
      </c>
      <c r="L345" s="46" t="n">
        <v>26</v>
      </c>
      <c r="M345" s="50" t="n">
        <f aca="false">INDEX(Productos!$F$2:$F$13,MATCH($H345,Productos!$A$2:$A$13,0))</f>
        <v>37.5</v>
      </c>
      <c r="N345" s="51" t="n">
        <v>0.155</v>
      </c>
      <c r="O345" s="52" t="n">
        <f aca="false">M345*(1-N345)</f>
        <v>31.6875</v>
      </c>
      <c r="P345" s="21" t="n">
        <f aca="false">L345*O345</f>
        <v>823.875</v>
      </c>
      <c r="Q345" s="50" t="n">
        <f aca="false">INDEX(Productos!$E$2:$E$13,MATCH($H345,Productos!$A$2:$A$13,0))*INDEX(Parametros!$B$26:$B$43,MATCH($C345,Parametros!$A$26:$A$43,0))</f>
        <v>19.6716</v>
      </c>
      <c r="R345" s="21" t="n">
        <f aca="false">L345*Q345</f>
        <v>511.4616</v>
      </c>
      <c r="S345" s="18" t="n">
        <f aca="false">L345*INDEX(Parametros!$B$20:$B$22,MATCH($E345,Parametros!$A$20:$A$22,0))</f>
        <v>22.1</v>
      </c>
      <c r="T345" s="18" t="n">
        <f aca="false">P345*INDEX(Parametros!$B$13:$B$16,MATCH($F345,Parametros!$A$13:$A$16,0))</f>
        <v>32.955</v>
      </c>
      <c r="U345" s="21" t="n">
        <f aca="false">P345-R345-S345-T345</f>
        <v>257.3584</v>
      </c>
      <c r="V345" s="19" t="n">
        <f aca="false">IFERROR(U345/P345,0)</f>
        <v>0.312375542406312</v>
      </c>
      <c r="W345" s="48" t="n">
        <f aca="false">B345+INDEX(Parametros!$C$13:$C$16,MATCH($F345,Parametros!$A$13:$A$16,0))</f>
        <v>45847</v>
      </c>
      <c r="X345" s="31" t="s">
        <v>67</v>
      </c>
      <c r="Y345" s="53" t="n">
        <f aca="false">IF(COUNTIF($A$2:$A345,A345)=1,1,0)</f>
        <v>0</v>
      </c>
    </row>
    <row r="346" customFormat="false" ht="15" hidden="false" customHeight="false" outlineLevel="0" collapsed="false">
      <c r="A346" s="31" t="s">
        <v>428</v>
      </c>
      <c r="B346" s="36" t="n">
        <v>45775</v>
      </c>
      <c r="C346" s="49" t="n">
        <f aca="false">DATE(YEAR(B346),MONTH(B346),1)</f>
        <v>45748</v>
      </c>
      <c r="D346" s="31" t="s">
        <v>193</v>
      </c>
      <c r="E346" s="31" t="s">
        <v>41</v>
      </c>
      <c r="F346" s="31" t="s">
        <v>45</v>
      </c>
      <c r="G346" s="31" t="s">
        <v>62</v>
      </c>
      <c r="H346" s="31" t="s">
        <v>163</v>
      </c>
      <c r="I346" s="32" t="str">
        <f aca="false">INDEX(Productos!$B$2:$B$13,MATCH($H346,Productos!$A$2:$A$13,0))</f>
        <v>Tornillo DIN 933 M6x30 rosca completa zincado</v>
      </c>
      <c r="J346" s="32" t="str">
        <f aca="false">INDEX(Productos!$C$2:$C$13,MATCH($H346,Productos!$A$2:$A$13,0))</f>
        <v>Métrica</v>
      </c>
      <c r="K346" s="31" t="s">
        <v>246</v>
      </c>
      <c r="L346" s="46" t="n">
        <v>284</v>
      </c>
      <c r="M346" s="50" t="n">
        <f aca="false">INDEX(Productos!$F$2:$F$13,MATCH($H346,Productos!$A$2:$A$13,0))</f>
        <v>32</v>
      </c>
      <c r="N346" s="51" t="n">
        <v>0.12</v>
      </c>
      <c r="O346" s="52" t="n">
        <f aca="false">M346*(1-N346)</f>
        <v>28.16</v>
      </c>
      <c r="P346" s="21" t="n">
        <f aca="false">L346*O346</f>
        <v>7997.44</v>
      </c>
      <c r="Q346" s="50" t="n">
        <f aca="false">INDEX(Productos!$E$2:$E$13,MATCH($H346,Productos!$A$2:$A$13,0))*INDEX(Parametros!$B$26:$B$43,MATCH($C346,Parametros!$A$26:$A$43,0))</f>
        <v>16.8324</v>
      </c>
      <c r="R346" s="21" t="n">
        <f aca="false">L346*Q346</f>
        <v>4780.4016</v>
      </c>
      <c r="S346" s="18" t="n">
        <f aca="false">L346*INDEX(Parametros!$B$20:$B$22,MATCH($E346,Parametros!$A$20:$A$22,0))</f>
        <v>241.4</v>
      </c>
      <c r="T346" s="18" t="n">
        <f aca="false">P346*INDEX(Parametros!$B$13:$B$16,MATCH($F346,Parametros!$A$13:$A$16,0))</f>
        <v>239.9232</v>
      </c>
      <c r="U346" s="21" t="n">
        <f aca="false">P346-R346-S346-T346</f>
        <v>2735.7152</v>
      </c>
      <c r="V346" s="19" t="n">
        <f aca="false">IFERROR(U346/P346,0)</f>
        <v>0.342073863636363</v>
      </c>
      <c r="W346" s="48" t="n">
        <f aca="false">B346+INDEX(Parametros!$C$13:$C$16,MATCH($F346,Parametros!$A$13:$A$16,0))</f>
        <v>45835</v>
      </c>
      <c r="X346" s="31" t="s">
        <v>67</v>
      </c>
      <c r="Y346" s="53" t="n">
        <f aca="false">IF(COUNTIF($A$2:$A346,A346)=1,1,0)</f>
        <v>1</v>
      </c>
    </row>
    <row r="347" customFormat="false" ht="15" hidden="false" customHeight="false" outlineLevel="0" collapsed="false">
      <c r="A347" s="31" t="s">
        <v>429</v>
      </c>
      <c r="B347" s="36" t="n">
        <v>45775</v>
      </c>
      <c r="C347" s="49" t="n">
        <f aca="false">DATE(YEAR(B347),MONTH(B347),1)</f>
        <v>45748</v>
      </c>
      <c r="D347" s="31" t="s">
        <v>216</v>
      </c>
      <c r="E347" s="31" t="s">
        <v>42</v>
      </c>
      <c r="F347" s="31" t="s">
        <v>45</v>
      </c>
      <c r="G347" s="31" t="s">
        <v>61</v>
      </c>
      <c r="H347" s="31" t="s">
        <v>165</v>
      </c>
      <c r="I347" s="32" t="str">
        <f aca="false">INDEX(Productos!$B$2:$B$13,MATCH($H347,Productos!$A$2:$A$13,0))</f>
        <v>Tornillo DIN 933 M8x40 rosca completa zincado</v>
      </c>
      <c r="J347" s="32" t="str">
        <f aca="false">INDEX(Productos!$C$2:$C$13,MATCH($H347,Productos!$A$2:$A$13,0))</f>
        <v>Métrica</v>
      </c>
      <c r="K347" s="31" t="s">
        <v>246</v>
      </c>
      <c r="L347" s="46" t="n">
        <v>34</v>
      </c>
      <c r="M347" s="50" t="n">
        <f aca="false">INDEX(Productos!$F$2:$F$13,MATCH($H347,Productos!$A$2:$A$13,0))</f>
        <v>37.5</v>
      </c>
      <c r="N347" s="51" t="n">
        <v>0.125</v>
      </c>
      <c r="O347" s="52" t="n">
        <f aca="false">M347*(1-N347)</f>
        <v>32.8125</v>
      </c>
      <c r="P347" s="21" t="n">
        <f aca="false">L347*O347</f>
        <v>1115.625</v>
      </c>
      <c r="Q347" s="50" t="n">
        <f aca="false">INDEX(Productos!$E$2:$E$13,MATCH($H347,Productos!$A$2:$A$13,0))*INDEX(Parametros!$B$26:$B$43,MATCH($C347,Parametros!$A$26:$A$43,0))</f>
        <v>19.6716</v>
      </c>
      <c r="R347" s="21" t="n">
        <f aca="false">L347*Q347</f>
        <v>668.8344</v>
      </c>
      <c r="S347" s="18" t="n">
        <f aca="false">L347*INDEX(Parametros!$B$20:$B$22,MATCH($E347,Parametros!$A$20:$A$22,0))</f>
        <v>81.6</v>
      </c>
      <c r="T347" s="18" t="n">
        <f aca="false">P347*INDEX(Parametros!$B$13:$B$16,MATCH($F347,Parametros!$A$13:$A$16,0))</f>
        <v>33.46875</v>
      </c>
      <c r="U347" s="21" t="n">
        <f aca="false">P347-R347-S347-T347</f>
        <v>331.72185</v>
      </c>
      <c r="V347" s="19" t="n">
        <f aca="false">IFERROR(U347/P347,0)</f>
        <v>0.297341714285714</v>
      </c>
      <c r="W347" s="48" t="n">
        <f aca="false">B347+INDEX(Parametros!$C$13:$C$16,MATCH($F347,Parametros!$A$13:$A$16,0))</f>
        <v>45835</v>
      </c>
      <c r="X347" s="31" t="s">
        <v>67</v>
      </c>
      <c r="Y347" s="53" t="n">
        <f aca="false">IF(COUNTIF($A$2:$A347,A347)=1,1,0)</f>
        <v>1</v>
      </c>
    </row>
    <row r="348" customFormat="false" ht="15" hidden="false" customHeight="false" outlineLevel="0" collapsed="false">
      <c r="A348" s="31" t="s">
        <v>429</v>
      </c>
      <c r="B348" s="36" t="n">
        <v>45775</v>
      </c>
      <c r="C348" s="49" t="n">
        <f aca="false">DATE(YEAR(B348),MONTH(B348),1)</f>
        <v>45748</v>
      </c>
      <c r="D348" s="31" t="s">
        <v>216</v>
      </c>
      <c r="E348" s="31" t="s">
        <v>42</v>
      </c>
      <c r="F348" s="31" t="s">
        <v>45</v>
      </c>
      <c r="G348" s="31" t="s">
        <v>61</v>
      </c>
      <c r="H348" s="31" t="s">
        <v>167</v>
      </c>
      <c r="I348" s="32" t="str">
        <f aca="false">INDEX(Productos!$B$2:$B$13,MATCH($H348,Productos!$A$2:$A$13,0))</f>
        <v>Tornillo DIN 912 M6x25 Allen zincado</v>
      </c>
      <c r="J348" s="32" t="str">
        <f aca="false">INDEX(Productos!$C$2:$C$13,MATCH($H348,Productos!$A$2:$A$13,0))</f>
        <v>Métrica</v>
      </c>
      <c r="K348" s="31" t="s">
        <v>246</v>
      </c>
      <c r="L348" s="46" t="n">
        <v>290</v>
      </c>
      <c r="M348" s="50" t="n">
        <f aca="false">INDEX(Productos!$F$2:$F$13,MATCH($H348,Productos!$A$2:$A$13,0))</f>
        <v>42</v>
      </c>
      <c r="N348" s="51" t="n">
        <v>0.147</v>
      </c>
      <c r="O348" s="52" t="n">
        <f aca="false">M348*(1-N348)</f>
        <v>35.826</v>
      </c>
      <c r="P348" s="21" t="n">
        <f aca="false">L348*O348</f>
        <v>10389.54</v>
      </c>
      <c r="Q348" s="50" t="n">
        <f aca="false">INDEX(Productos!$E$2:$E$13,MATCH($H348,Productos!$A$2:$A$13,0))*INDEX(Parametros!$B$26:$B$43,MATCH($C348,Parametros!$A$26:$A$43,0))</f>
        <v>22.1052</v>
      </c>
      <c r="R348" s="21" t="n">
        <f aca="false">L348*Q348</f>
        <v>6410.508</v>
      </c>
      <c r="S348" s="18" t="n">
        <f aca="false">L348*INDEX(Parametros!$B$20:$B$22,MATCH($E348,Parametros!$A$20:$A$22,0))</f>
        <v>696</v>
      </c>
      <c r="T348" s="18" t="n">
        <f aca="false">P348*INDEX(Parametros!$B$13:$B$16,MATCH($F348,Parametros!$A$13:$A$16,0))</f>
        <v>311.6862</v>
      </c>
      <c r="U348" s="21" t="n">
        <f aca="false">P348-R348-S348-T348</f>
        <v>2971.3458</v>
      </c>
      <c r="V348" s="19" t="n">
        <f aca="false">IFERROR(U348/P348,0)</f>
        <v>0.285993970859153</v>
      </c>
      <c r="W348" s="48" t="n">
        <f aca="false">B348+INDEX(Parametros!$C$13:$C$16,MATCH($F348,Parametros!$A$13:$A$16,0))</f>
        <v>45835</v>
      </c>
      <c r="X348" s="31" t="s">
        <v>69</v>
      </c>
      <c r="Y348" s="53" t="n">
        <f aca="false">IF(COUNTIF($A$2:$A348,A348)=1,1,0)</f>
        <v>0</v>
      </c>
    </row>
    <row r="349" customFormat="false" ht="15" hidden="false" customHeight="false" outlineLevel="0" collapsed="false">
      <c r="A349" s="31" t="s">
        <v>430</v>
      </c>
      <c r="B349" s="36" t="n">
        <v>45775</v>
      </c>
      <c r="C349" s="49" t="n">
        <f aca="false">DATE(YEAR(B349),MONTH(B349),1)</f>
        <v>45748</v>
      </c>
      <c r="D349" s="31" t="s">
        <v>219</v>
      </c>
      <c r="E349" s="31" t="s">
        <v>42</v>
      </c>
      <c r="F349" s="31" t="s">
        <v>45</v>
      </c>
      <c r="G349" s="31" t="s">
        <v>61</v>
      </c>
      <c r="H349" s="31" t="s">
        <v>179</v>
      </c>
      <c r="I349" s="32" t="str">
        <f aca="false">INDEX(Productos!$B$2:$B$13,MATCH($H349,Productos!$A$2:$A$13,0))</f>
        <v>Autotaladrante DIN 7504 4,8x38 zincado</v>
      </c>
      <c r="J349" s="32" t="str">
        <f aca="false">INDEX(Productos!$C$2:$C$13,MATCH($H349,Productos!$A$2:$A$13,0))</f>
        <v>Autotaladrante</v>
      </c>
      <c r="K349" s="31" t="s">
        <v>246</v>
      </c>
      <c r="L349" s="46" t="n">
        <v>103</v>
      </c>
      <c r="M349" s="50" t="n">
        <f aca="false">INDEX(Productos!$F$2:$F$13,MATCH($H349,Productos!$A$2:$A$13,0))</f>
        <v>29.5</v>
      </c>
      <c r="N349" s="51" t="n">
        <v>0.139</v>
      </c>
      <c r="O349" s="52" t="n">
        <f aca="false">M349*(1-N349)</f>
        <v>25.3995</v>
      </c>
      <c r="P349" s="21" t="n">
        <f aca="false">L349*O349</f>
        <v>2616.1485</v>
      </c>
      <c r="Q349" s="50" t="n">
        <f aca="false">INDEX(Productos!$E$2:$E$13,MATCH($H349,Productos!$A$2:$A$13,0))*INDEX(Parametros!$B$26:$B$43,MATCH($C349,Parametros!$A$26:$A$43,0))</f>
        <v>15.4128</v>
      </c>
      <c r="R349" s="21" t="n">
        <f aca="false">L349*Q349</f>
        <v>1587.5184</v>
      </c>
      <c r="S349" s="18" t="n">
        <f aca="false">L349*INDEX(Parametros!$B$20:$B$22,MATCH($E349,Parametros!$A$20:$A$22,0))</f>
        <v>247.2</v>
      </c>
      <c r="T349" s="18" t="n">
        <f aca="false">P349*INDEX(Parametros!$B$13:$B$16,MATCH($F349,Parametros!$A$13:$A$16,0))</f>
        <v>78.484455</v>
      </c>
      <c r="U349" s="21" t="n">
        <f aca="false">P349-R349-S349-T349</f>
        <v>702.945645</v>
      </c>
      <c r="V349" s="19" t="n">
        <f aca="false">IFERROR(U349/P349,0)</f>
        <v>0.268694856197957</v>
      </c>
      <c r="W349" s="48" t="n">
        <f aca="false">B349+INDEX(Parametros!$C$13:$C$16,MATCH($F349,Parametros!$A$13:$A$16,0))</f>
        <v>45835</v>
      </c>
      <c r="X349" s="31" t="s">
        <v>67</v>
      </c>
      <c r="Y349" s="53" t="n">
        <f aca="false">IF(COUNTIF($A$2:$A349,A349)=1,1,0)</f>
        <v>1</v>
      </c>
    </row>
    <row r="350" customFormat="false" ht="15" hidden="false" customHeight="false" outlineLevel="0" collapsed="false">
      <c r="A350" s="31" t="s">
        <v>431</v>
      </c>
      <c r="B350" s="36" t="n">
        <v>45775</v>
      </c>
      <c r="C350" s="49" t="n">
        <f aca="false">DATE(YEAR(B350),MONTH(B350),1)</f>
        <v>45748</v>
      </c>
      <c r="D350" s="31" t="s">
        <v>209</v>
      </c>
      <c r="E350" s="31" t="s">
        <v>41</v>
      </c>
      <c r="F350" s="31" t="s">
        <v>45</v>
      </c>
      <c r="G350" s="31" t="s">
        <v>62</v>
      </c>
      <c r="H350" s="31" t="s">
        <v>185</v>
      </c>
      <c r="I350" s="32" t="str">
        <f aca="false">INDEX(Productos!$B$2:$B$13,MATCH($H350,Productos!$A$2:$A$13,0))</f>
        <v>Varilla roscada M10 x 1 m zincada</v>
      </c>
      <c r="J350" s="32" t="str">
        <f aca="false">INDEX(Productos!$C$2:$C$13,MATCH($H350,Productos!$A$2:$A$13,0))</f>
        <v>Especial</v>
      </c>
      <c r="K350" s="31" t="s">
        <v>246</v>
      </c>
      <c r="L350" s="46" t="n">
        <v>120</v>
      </c>
      <c r="M350" s="50" t="n">
        <f aca="false">INDEX(Productos!$F$2:$F$13,MATCH($H350,Productos!$A$2:$A$13,0))</f>
        <v>54</v>
      </c>
      <c r="N350" s="51" t="n">
        <v>0.22</v>
      </c>
      <c r="O350" s="52" t="n">
        <f aca="false">M350*(1-N350)</f>
        <v>42.12</v>
      </c>
      <c r="P350" s="21" t="n">
        <f aca="false">L350*O350</f>
        <v>5054.4</v>
      </c>
      <c r="Q350" s="50" t="n">
        <f aca="false">INDEX(Productos!$E$2:$E$13,MATCH($H350,Productos!$A$2:$A$13,0))*INDEX(Parametros!$B$26:$B$43,MATCH($C350,Parametros!$A$26:$A$43,0))</f>
        <v>28.899</v>
      </c>
      <c r="R350" s="21" t="n">
        <f aca="false">L350*Q350</f>
        <v>3467.88</v>
      </c>
      <c r="S350" s="18" t="n">
        <f aca="false">L350*INDEX(Parametros!$B$20:$B$22,MATCH($E350,Parametros!$A$20:$A$22,0))</f>
        <v>102</v>
      </c>
      <c r="T350" s="18" t="n">
        <f aca="false">P350*INDEX(Parametros!$B$13:$B$16,MATCH($F350,Parametros!$A$13:$A$16,0))</f>
        <v>151.632</v>
      </c>
      <c r="U350" s="21" t="n">
        <f aca="false">P350-R350-S350-T350</f>
        <v>1332.888</v>
      </c>
      <c r="V350" s="19" t="n">
        <f aca="false">IFERROR(U350/P350,0)</f>
        <v>0.263708452041785</v>
      </c>
      <c r="W350" s="48" t="n">
        <f aca="false">B350+INDEX(Parametros!$C$13:$C$16,MATCH($F350,Parametros!$A$13:$A$16,0))</f>
        <v>45835</v>
      </c>
      <c r="X350" s="31" t="s">
        <v>67</v>
      </c>
      <c r="Y350" s="53" t="n">
        <f aca="false">IF(COUNTIF($A$2:$A350,A350)=1,1,0)</f>
        <v>1</v>
      </c>
    </row>
    <row r="351" customFormat="false" ht="15" hidden="false" customHeight="false" outlineLevel="0" collapsed="false">
      <c r="A351" s="31" t="s">
        <v>432</v>
      </c>
      <c r="B351" s="36" t="n">
        <v>45775</v>
      </c>
      <c r="C351" s="49" t="n">
        <f aca="false">DATE(YEAR(B351),MONTH(B351),1)</f>
        <v>45748</v>
      </c>
      <c r="D351" s="31" t="s">
        <v>204</v>
      </c>
      <c r="E351" s="31" t="s">
        <v>41</v>
      </c>
      <c r="F351" s="31" t="s">
        <v>47</v>
      </c>
      <c r="G351" s="31" t="s">
        <v>62</v>
      </c>
      <c r="H351" s="31" t="s">
        <v>179</v>
      </c>
      <c r="I351" s="32" t="str">
        <f aca="false">INDEX(Productos!$B$2:$B$13,MATCH($H351,Productos!$A$2:$A$13,0))</f>
        <v>Autotaladrante DIN 7504 4,8x38 zincado</v>
      </c>
      <c r="J351" s="32" t="str">
        <f aca="false">INDEX(Productos!$C$2:$C$13,MATCH($H351,Productos!$A$2:$A$13,0))</f>
        <v>Autotaladrante</v>
      </c>
      <c r="K351" s="31" t="s">
        <v>246</v>
      </c>
      <c r="L351" s="46" t="n">
        <v>40</v>
      </c>
      <c r="M351" s="50" t="n">
        <f aca="false">INDEX(Productos!$F$2:$F$13,MATCH($H351,Productos!$A$2:$A$13,0))</f>
        <v>29.5</v>
      </c>
      <c r="N351" s="51" t="n">
        <v>0.087</v>
      </c>
      <c r="O351" s="52" t="n">
        <f aca="false">M351*(1-N351)</f>
        <v>26.9335</v>
      </c>
      <c r="P351" s="21" t="n">
        <f aca="false">L351*O351</f>
        <v>1077.34</v>
      </c>
      <c r="Q351" s="50" t="n">
        <f aca="false">INDEX(Productos!$E$2:$E$13,MATCH($H351,Productos!$A$2:$A$13,0))*INDEX(Parametros!$B$26:$B$43,MATCH($C351,Parametros!$A$26:$A$43,0))</f>
        <v>15.4128</v>
      </c>
      <c r="R351" s="21" t="n">
        <f aca="false">L351*Q351</f>
        <v>616.512</v>
      </c>
      <c r="S351" s="18" t="n">
        <f aca="false">L351*INDEX(Parametros!$B$20:$B$22,MATCH($E351,Parametros!$A$20:$A$22,0))</f>
        <v>34</v>
      </c>
      <c r="T351" s="18" t="n">
        <f aca="false">P351*INDEX(Parametros!$B$13:$B$16,MATCH($F351,Parametros!$A$13:$A$16,0))</f>
        <v>37.7069</v>
      </c>
      <c r="U351" s="21" t="n">
        <f aca="false">P351-R351-S351-T351</f>
        <v>389.1211</v>
      </c>
      <c r="V351" s="19" t="n">
        <f aca="false">IFERROR(U351/P351,0)</f>
        <v>0.361186904784005</v>
      </c>
      <c r="W351" s="48" t="n">
        <f aca="false">B351+INDEX(Parametros!$C$13:$C$16,MATCH($F351,Parametros!$A$13:$A$16,0))</f>
        <v>45820</v>
      </c>
      <c r="X351" s="31" t="s">
        <v>67</v>
      </c>
      <c r="Y351" s="53" t="n">
        <f aca="false">IF(COUNTIF($A$2:$A351,A351)=1,1,0)</f>
        <v>1</v>
      </c>
    </row>
    <row r="352" customFormat="false" ht="15" hidden="false" customHeight="false" outlineLevel="0" collapsed="false">
      <c r="A352" s="31" t="s">
        <v>432</v>
      </c>
      <c r="B352" s="36" t="n">
        <v>45775</v>
      </c>
      <c r="C352" s="49" t="n">
        <f aca="false">DATE(YEAR(B352),MONTH(B352),1)</f>
        <v>45748</v>
      </c>
      <c r="D352" s="31" t="s">
        <v>204</v>
      </c>
      <c r="E352" s="31" t="s">
        <v>41</v>
      </c>
      <c r="F352" s="31" t="s">
        <v>47</v>
      </c>
      <c r="G352" s="31" t="s">
        <v>62</v>
      </c>
      <c r="H352" s="31" t="s">
        <v>173</v>
      </c>
      <c r="I352" s="32" t="str">
        <f aca="false">INDEX(Productos!$B$2:$B$13,MATCH($H352,Productos!$A$2:$A$13,0))</f>
        <v>Tornillo DIN 933 M12x70 clase 8.8</v>
      </c>
      <c r="J352" s="32" t="str">
        <f aca="false">INDEX(Productos!$C$2:$C$13,MATCH($H352,Productos!$A$2:$A$13,0))</f>
        <v>Métrica</v>
      </c>
      <c r="K352" s="31" t="s">
        <v>246</v>
      </c>
      <c r="L352" s="46" t="n">
        <v>28</v>
      </c>
      <c r="M352" s="50" t="n">
        <f aca="false">INDEX(Productos!$F$2:$F$13,MATCH($H352,Productos!$A$2:$A$13,0))</f>
        <v>64</v>
      </c>
      <c r="N352" s="51" t="n">
        <v>0.045</v>
      </c>
      <c r="O352" s="52" t="n">
        <f aca="false">M352*(1-N352)</f>
        <v>61.12</v>
      </c>
      <c r="P352" s="21" t="n">
        <f aca="false">L352*O352</f>
        <v>1711.36</v>
      </c>
      <c r="Q352" s="50" t="n">
        <f aca="false">INDEX(Productos!$E$2:$E$13,MATCH($H352,Productos!$A$2:$A$13,0))*INDEX(Parametros!$B$26:$B$43,MATCH($C352,Parametros!$A$26:$A$43,0))</f>
        <v>33.969</v>
      </c>
      <c r="R352" s="21" t="n">
        <f aca="false">L352*Q352</f>
        <v>951.132</v>
      </c>
      <c r="S352" s="18" t="n">
        <f aca="false">L352*INDEX(Parametros!$B$20:$B$22,MATCH($E352,Parametros!$A$20:$A$22,0))</f>
        <v>23.8</v>
      </c>
      <c r="T352" s="18" t="n">
        <f aca="false">P352*INDEX(Parametros!$B$13:$B$16,MATCH($F352,Parametros!$A$13:$A$16,0))</f>
        <v>59.8976</v>
      </c>
      <c r="U352" s="21" t="n">
        <f aca="false">P352-R352-S352-T352</f>
        <v>676.5304</v>
      </c>
      <c r="V352" s="19" t="n">
        <f aca="false">IFERROR(U352/P352,0)</f>
        <v>0.395317408376963</v>
      </c>
      <c r="W352" s="48" t="n">
        <f aca="false">B352+INDEX(Parametros!$C$13:$C$16,MATCH($F352,Parametros!$A$13:$A$16,0))</f>
        <v>45820</v>
      </c>
      <c r="X352" s="31" t="s">
        <v>67</v>
      </c>
      <c r="Y352" s="53" t="n">
        <f aca="false">IF(COUNTIF($A$2:$A352,A352)=1,1,0)</f>
        <v>0</v>
      </c>
    </row>
    <row r="353" customFormat="false" ht="15" hidden="false" customHeight="false" outlineLevel="0" collapsed="false">
      <c r="A353" s="31" t="s">
        <v>433</v>
      </c>
      <c r="B353" s="36" t="n">
        <v>45775</v>
      </c>
      <c r="C353" s="49" t="n">
        <f aca="false">DATE(YEAR(B353),MONTH(B353),1)</f>
        <v>45748</v>
      </c>
      <c r="D353" s="31" t="s">
        <v>201</v>
      </c>
      <c r="E353" s="31" t="s">
        <v>41</v>
      </c>
      <c r="F353" s="31" t="s">
        <v>46</v>
      </c>
      <c r="G353" s="31" t="s">
        <v>62</v>
      </c>
      <c r="H353" s="31" t="s">
        <v>185</v>
      </c>
      <c r="I353" s="32" t="str">
        <f aca="false">INDEX(Productos!$B$2:$B$13,MATCH($H353,Productos!$A$2:$A$13,0))</f>
        <v>Varilla roscada M10 x 1 m zincada</v>
      </c>
      <c r="J353" s="32" t="str">
        <f aca="false">INDEX(Productos!$C$2:$C$13,MATCH($H353,Productos!$A$2:$A$13,0))</f>
        <v>Especial</v>
      </c>
      <c r="K353" s="31" t="s">
        <v>246</v>
      </c>
      <c r="L353" s="46" t="n">
        <v>127</v>
      </c>
      <c r="M353" s="50" t="n">
        <f aca="false">INDEX(Productos!$F$2:$F$13,MATCH($H353,Productos!$A$2:$A$13,0))</f>
        <v>54</v>
      </c>
      <c r="N353" s="51" t="n">
        <v>0.163</v>
      </c>
      <c r="O353" s="52" t="n">
        <f aca="false">M353*(1-N353)</f>
        <v>45.198</v>
      </c>
      <c r="P353" s="21" t="n">
        <f aca="false">L353*O353</f>
        <v>5740.146</v>
      </c>
      <c r="Q353" s="50" t="n">
        <f aca="false">INDEX(Productos!$E$2:$E$13,MATCH($H353,Productos!$A$2:$A$13,0))*INDEX(Parametros!$B$26:$B$43,MATCH($C353,Parametros!$A$26:$A$43,0))</f>
        <v>28.899</v>
      </c>
      <c r="R353" s="21" t="n">
        <f aca="false">L353*Q353</f>
        <v>3670.173</v>
      </c>
      <c r="S353" s="18" t="n">
        <f aca="false">L353*INDEX(Parametros!$B$20:$B$22,MATCH($E353,Parametros!$A$20:$A$22,0))</f>
        <v>107.95</v>
      </c>
      <c r="T353" s="18" t="n">
        <f aca="false">P353*INDEX(Parametros!$B$13:$B$16,MATCH($F353,Parametros!$A$13:$A$16,0))</f>
        <v>229.60584</v>
      </c>
      <c r="U353" s="21" t="n">
        <f aca="false">P353-R353-S353-T353</f>
        <v>1732.41716</v>
      </c>
      <c r="V353" s="19" t="n">
        <f aca="false">IFERROR(U353/P353,0)</f>
        <v>0.301807159608832</v>
      </c>
      <c r="W353" s="48" t="n">
        <f aca="false">B353+INDEX(Parametros!$C$13:$C$16,MATCH($F353,Parametros!$A$13:$A$16,0))</f>
        <v>45850</v>
      </c>
      <c r="X353" s="31" t="s">
        <v>67</v>
      </c>
      <c r="Y353" s="53" t="n">
        <f aca="false">IF(COUNTIF($A$2:$A353,A353)=1,1,0)</f>
        <v>1</v>
      </c>
    </row>
    <row r="354" customFormat="false" ht="15" hidden="false" customHeight="false" outlineLevel="0" collapsed="false">
      <c r="A354" s="31" t="s">
        <v>433</v>
      </c>
      <c r="B354" s="36" t="n">
        <v>45775</v>
      </c>
      <c r="C354" s="49" t="n">
        <f aca="false">DATE(YEAR(B354),MONTH(B354),1)</f>
        <v>45748</v>
      </c>
      <c r="D354" s="31" t="s">
        <v>201</v>
      </c>
      <c r="E354" s="31" t="s">
        <v>41</v>
      </c>
      <c r="F354" s="31" t="s">
        <v>46</v>
      </c>
      <c r="G354" s="31" t="s">
        <v>62</v>
      </c>
      <c r="H354" s="31" t="s">
        <v>167</v>
      </c>
      <c r="I354" s="32" t="str">
        <f aca="false">INDEX(Productos!$B$2:$B$13,MATCH($H354,Productos!$A$2:$A$13,0))</f>
        <v>Tornillo DIN 912 M6x25 Allen zincado</v>
      </c>
      <c r="J354" s="32" t="str">
        <f aca="false">INDEX(Productos!$C$2:$C$13,MATCH($H354,Productos!$A$2:$A$13,0))</f>
        <v>Métrica</v>
      </c>
      <c r="K354" s="31" t="s">
        <v>246</v>
      </c>
      <c r="L354" s="46" t="n">
        <v>114</v>
      </c>
      <c r="M354" s="50" t="n">
        <f aca="false">INDEX(Productos!$F$2:$F$13,MATCH($H354,Productos!$A$2:$A$13,0))</f>
        <v>42</v>
      </c>
      <c r="N354" s="51" t="n">
        <v>0.125</v>
      </c>
      <c r="O354" s="52" t="n">
        <f aca="false">M354*(1-N354)</f>
        <v>36.75</v>
      </c>
      <c r="P354" s="21" t="n">
        <f aca="false">L354*O354</f>
        <v>4189.5</v>
      </c>
      <c r="Q354" s="50" t="n">
        <f aca="false">INDEX(Productos!$E$2:$E$13,MATCH($H354,Productos!$A$2:$A$13,0))*INDEX(Parametros!$B$26:$B$43,MATCH($C354,Parametros!$A$26:$A$43,0))</f>
        <v>22.1052</v>
      </c>
      <c r="R354" s="21" t="n">
        <f aca="false">L354*Q354</f>
        <v>2519.9928</v>
      </c>
      <c r="S354" s="18" t="n">
        <f aca="false">L354*INDEX(Parametros!$B$20:$B$22,MATCH($E354,Parametros!$A$20:$A$22,0))</f>
        <v>96.9</v>
      </c>
      <c r="T354" s="18" t="n">
        <f aca="false">P354*INDEX(Parametros!$B$13:$B$16,MATCH($F354,Parametros!$A$13:$A$16,0))</f>
        <v>167.58</v>
      </c>
      <c r="U354" s="21" t="n">
        <f aca="false">P354-R354-S354-T354</f>
        <v>1405.0272</v>
      </c>
      <c r="V354" s="19" t="n">
        <f aca="false">IFERROR(U354/P354,0)</f>
        <v>0.335368707482993</v>
      </c>
      <c r="W354" s="48" t="n">
        <f aca="false">B354+INDEX(Parametros!$C$13:$C$16,MATCH($F354,Parametros!$A$13:$A$16,0))</f>
        <v>45850</v>
      </c>
      <c r="X354" s="31" t="s">
        <v>67</v>
      </c>
      <c r="Y354" s="53" t="n">
        <f aca="false">IF(COUNTIF($A$2:$A354,A354)=1,1,0)</f>
        <v>0</v>
      </c>
    </row>
    <row r="355" customFormat="false" ht="15" hidden="false" customHeight="false" outlineLevel="0" collapsed="false">
      <c r="A355" s="31" t="s">
        <v>433</v>
      </c>
      <c r="B355" s="36" t="n">
        <v>45775</v>
      </c>
      <c r="C355" s="49" t="n">
        <f aca="false">DATE(YEAR(B355),MONTH(B355),1)</f>
        <v>45748</v>
      </c>
      <c r="D355" s="31" t="s">
        <v>201</v>
      </c>
      <c r="E355" s="31" t="s">
        <v>41</v>
      </c>
      <c r="F355" s="31" t="s">
        <v>46</v>
      </c>
      <c r="G355" s="31" t="s">
        <v>62</v>
      </c>
      <c r="H355" s="31" t="s">
        <v>179</v>
      </c>
      <c r="I355" s="32" t="str">
        <f aca="false">INDEX(Productos!$B$2:$B$13,MATCH($H355,Productos!$A$2:$A$13,0))</f>
        <v>Autotaladrante DIN 7504 4,8x38 zincado</v>
      </c>
      <c r="J355" s="32" t="str">
        <f aca="false">INDEX(Productos!$C$2:$C$13,MATCH($H355,Productos!$A$2:$A$13,0))</f>
        <v>Autotaladrante</v>
      </c>
      <c r="K355" s="31" t="s">
        <v>246</v>
      </c>
      <c r="L355" s="46" t="n">
        <v>36</v>
      </c>
      <c r="M355" s="50" t="n">
        <f aca="false">INDEX(Productos!$F$2:$F$13,MATCH($H355,Productos!$A$2:$A$13,0))</f>
        <v>29.5</v>
      </c>
      <c r="N355" s="51" t="n">
        <v>0.117</v>
      </c>
      <c r="O355" s="52" t="n">
        <f aca="false">M355*(1-N355)</f>
        <v>26.0485</v>
      </c>
      <c r="P355" s="21" t="n">
        <f aca="false">L355*O355</f>
        <v>937.746</v>
      </c>
      <c r="Q355" s="50" t="n">
        <f aca="false">INDEX(Productos!$E$2:$E$13,MATCH($H355,Productos!$A$2:$A$13,0))*INDEX(Parametros!$B$26:$B$43,MATCH($C355,Parametros!$A$26:$A$43,0))</f>
        <v>15.4128</v>
      </c>
      <c r="R355" s="21" t="n">
        <f aca="false">L355*Q355</f>
        <v>554.8608</v>
      </c>
      <c r="S355" s="18" t="n">
        <f aca="false">L355*INDEX(Parametros!$B$20:$B$22,MATCH($E355,Parametros!$A$20:$A$22,0))</f>
        <v>30.6</v>
      </c>
      <c r="T355" s="18" t="n">
        <f aca="false">P355*INDEX(Parametros!$B$13:$B$16,MATCH($F355,Parametros!$A$13:$A$16,0))</f>
        <v>37.50984</v>
      </c>
      <c r="U355" s="21" t="n">
        <f aca="false">P355-R355-S355-T355</f>
        <v>314.77536</v>
      </c>
      <c r="V355" s="19" t="n">
        <f aca="false">IFERROR(U355/P355,0)</f>
        <v>0.335672303587539</v>
      </c>
      <c r="W355" s="48" t="n">
        <f aca="false">B355+INDEX(Parametros!$C$13:$C$16,MATCH($F355,Parametros!$A$13:$A$16,0))</f>
        <v>45850</v>
      </c>
      <c r="X355" s="31" t="s">
        <v>67</v>
      </c>
      <c r="Y355" s="53" t="n">
        <f aca="false">IF(COUNTIF($A$2:$A355,A355)=1,1,0)</f>
        <v>0</v>
      </c>
    </row>
    <row r="356" customFormat="false" ht="15" hidden="false" customHeight="false" outlineLevel="0" collapsed="false">
      <c r="A356" s="31" t="s">
        <v>434</v>
      </c>
      <c r="B356" s="36" t="n">
        <v>45775</v>
      </c>
      <c r="C356" s="49" t="n">
        <f aca="false">DATE(YEAR(B356),MONTH(B356),1)</f>
        <v>45748</v>
      </c>
      <c r="D356" s="31" t="s">
        <v>218</v>
      </c>
      <c r="E356" s="31" t="s">
        <v>42</v>
      </c>
      <c r="F356" s="31" t="s">
        <v>45</v>
      </c>
      <c r="G356" s="31" t="s">
        <v>61</v>
      </c>
      <c r="H356" s="31" t="s">
        <v>167</v>
      </c>
      <c r="I356" s="32" t="str">
        <f aca="false">INDEX(Productos!$B$2:$B$13,MATCH($H356,Productos!$A$2:$A$13,0))</f>
        <v>Tornillo DIN 912 M6x25 Allen zincado</v>
      </c>
      <c r="J356" s="32" t="str">
        <f aca="false">INDEX(Productos!$C$2:$C$13,MATCH($H356,Productos!$A$2:$A$13,0))</f>
        <v>Métrica</v>
      </c>
      <c r="K356" s="31" t="s">
        <v>246</v>
      </c>
      <c r="L356" s="46" t="n">
        <v>69</v>
      </c>
      <c r="M356" s="50" t="n">
        <f aca="false">INDEX(Productos!$F$2:$F$13,MATCH($H356,Productos!$A$2:$A$13,0))</f>
        <v>42</v>
      </c>
      <c r="N356" s="51" t="n">
        <v>0.143</v>
      </c>
      <c r="O356" s="52" t="n">
        <f aca="false">M356*(1-N356)</f>
        <v>35.994</v>
      </c>
      <c r="P356" s="21" t="n">
        <f aca="false">L356*O356</f>
        <v>2483.586</v>
      </c>
      <c r="Q356" s="50" t="n">
        <f aca="false">INDEX(Productos!$E$2:$E$13,MATCH($H356,Productos!$A$2:$A$13,0))*INDEX(Parametros!$B$26:$B$43,MATCH($C356,Parametros!$A$26:$A$43,0))</f>
        <v>22.1052</v>
      </c>
      <c r="R356" s="21" t="n">
        <f aca="false">L356*Q356</f>
        <v>1525.2588</v>
      </c>
      <c r="S356" s="18" t="n">
        <f aca="false">L356*INDEX(Parametros!$B$20:$B$22,MATCH($E356,Parametros!$A$20:$A$22,0))</f>
        <v>165.6</v>
      </c>
      <c r="T356" s="18" t="n">
        <f aca="false">P356*INDEX(Parametros!$B$13:$B$16,MATCH($F356,Parametros!$A$13:$A$16,0))</f>
        <v>74.50758</v>
      </c>
      <c r="U356" s="21" t="n">
        <f aca="false">P356-R356-S356-T356</f>
        <v>718.21962</v>
      </c>
      <c r="V356" s="19" t="n">
        <f aca="false">IFERROR(U356/P356,0)</f>
        <v>0.289186531088515</v>
      </c>
      <c r="W356" s="48" t="n">
        <f aca="false">B356+INDEX(Parametros!$C$13:$C$16,MATCH($F356,Parametros!$A$13:$A$16,0))</f>
        <v>45835</v>
      </c>
      <c r="X356" s="31" t="s">
        <v>67</v>
      </c>
      <c r="Y356" s="53" t="n">
        <f aca="false">IF(COUNTIF($A$2:$A356,A356)=1,1,0)</f>
        <v>1</v>
      </c>
    </row>
    <row r="357" customFormat="false" ht="15" hidden="false" customHeight="false" outlineLevel="0" collapsed="false">
      <c r="A357" s="31" t="s">
        <v>435</v>
      </c>
      <c r="B357" s="36" t="n">
        <v>45779</v>
      </c>
      <c r="C357" s="49" t="n">
        <f aca="false">DATE(YEAR(B357),MONTH(B357),1)</f>
        <v>45778</v>
      </c>
      <c r="D357" s="31" t="s">
        <v>198</v>
      </c>
      <c r="E357" s="31" t="s">
        <v>41</v>
      </c>
      <c r="F357" s="31" t="s">
        <v>46</v>
      </c>
      <c r="G357" s="31" t="s">
        <v>58</v>
      </c>
      <c r="H357" s="31" t="s">
        <v>163</v>
      </c>
      <c r="I357" s="32" t="str">
        <f aca="false">INDEX(Productos!$B$2:$B$13,MATCH($H357,Productos!$A$2:$A$13,0))</f>
        <v>Tornillo DIN 933 M6x30 rosca completa zincado</v>
      </c>
      <c r="J357" s="32" t="str">
        <f aca="false">INDEX(Productos!$C$2:$C$13,MATCH($H357,Productos!$A$2:$A$13,0))</f>
        <v>Métrica</v>
      </c>
      <c r="K357" s="31" t="s">
        <v>246</v>
      </c>
      <c r="L357" s="46" t="n">
        <v>45</v>
      </c>
      <c r="M357" s="50" t="n">
        <f aca="false">INDEX(Productos!$F$2:$F$13,MATCH($H357,Productos!$A$2:$A$13,0))</f>
        <v>32</v>
      </c>
      <c r="N357" s="51" t="n">
        <v>0.12</v>
      </c>
      <c r="O357" s="52" t="n">
        <f aca="false">M357*(1-N357)</f>
        <v>28.16</v>
      </c>
      <c r="P357" s="21" t="n">
        <f aca="false">L357*O357</f>
        <v>1267.2</v>
      </c>
      <c r="Q357" s="50" t="n">
        <f aca="false">INDEX(Productos!$E$2:$E$13,MATCH($H357,Productos!$A$2:$A$13,0))*INDEX(Parametros!$B$26:$B$43,MATCH($C357,Parametros!$A$26:$A$43,0))</f>
        <v>17.098</v>
      </c>
      <c r="R357" s="21" t="n">
        <f aca="false">L357*Q357</f>
        <v>769.41</v>
      </c>
      <c r="S357" s="18" t="n">
        <f aca="false">L357*INDEX(Parametros!$B$20:$B$22,MATCH($E357,Parametros!$A$20:$A$22,0))</f>
        <v>38.25</v>
      </c>
      <c r="T357" s="18" t="n">
        <f aca="false">P357*INDEX(Parametros!$B$13:$B$16,MATCH($F357,Parametros!$A$13:$A$16,0))</f>
        <v>50.688</v>
      </c>
      <c r="U357" s="21" t="n">
        <f aca="false">P357-R357-S357-T357</f>
        <v>408.852</v>
      </c>
      <c r="V357" s="19" t="n">
        <f aca="false">IFERROR(U357/P357,0)</f>
        <v>0.322642045454545</v>
      </c>
      <c r="W357" s="48" t="n">
        <f aca="false">B357+INDEX(Parametros!$C$13:$C$16,MATCH($F357,Parametros!$A$13:$A$16,0))</f>
        <v>45854</v>
      </c>
      <c r="X357" s="31" t="s">
        <v>67</v>
      </c>
      <c r="Y357" s="53" t="n">
        <f aca="false">IF(COUNTIF($A$2:$A357,A357)=1,1,0)</f>
        <v>1</v>
      </c>
    </row>
    <row r="358" customFormat="false" ht="15" hidden="false" customHeight="false" outlineLevel="0" collapsed="false">
      <c r="A358" s="31" t="s">
        <v>435</v>
      </c>
      <c r="B358" s="36" t="n">
        <v>45779</v>
      </c>
      <c r="C358" s="49" t="n">
        <f aca="false">DATE(YEAR(B358),MONTH(B358),1)</f>
        <v>45778</v>
      </c>
      <c r="D358" s="31" t="s">
        <v>198</v>
      </c>
      <c r="E358" s="31" t="s">
        <v>41</v>
      </c>
      <c r="F358" s="31" t="s">
        <v>46</v>
      </c>
      <c r="G358" s="31" t="s">
        <v>58</v>
      </c>
      <c r="H358" s="31" t="s">
        <v>183</v>
      </c>
      <c r="I358" s="32" t="str">
        <f aca="false">INDEX(Productos!$B$2:$B$13,MATCH($H358,Productos!$A$2:$A$13,0))</f>
        <v>Tornillo estructural M16x90 clase 10.9</v>
      </c>
      <c r="J358" s="32" t="str">
        <f aca="false">INDEX(Productos!$C$2:$C$13,MATCH($H358,Productos!$A$2:$A$13,0))</f>
        <v>Especial</v>
      </c>
      <c r="K358" s="31" t="s">
        <v>246</v>
      </c>
      <c r="L358" s="46" t="n">
        <v>50</v>
      </c>
      <c r="M358" s="50" t="n">
        <f aca="false">INDEX(Productos!$F$2:$F$13,MATCH($H358,Productos!$A$2:$A$13,0))</f>
        <v>112</v>
      </c>
      <c r="N358" s="51" t="n">
        <v>0.102</v>
      </c>
      <c r="O358" s="52" t="n">
        <f aca="false">M358*(1-N358)</f>
        <v>100.576</v>
      </c>
      <c r="P358" s="21" t="n">
        <f aca="false">L358*O358</f>
        <v>5028.8</v>
      </c>
      <c r="Q358" s="50" t="n">
        <f aca="false">INDEX(Productos!$E$2:$E$13,MATCH($H358,Productos!$A$2:$A$13,0))*INDEX(Parametros!$B$26:$B$43,MATCH($C358,Parametros!$A$26:$A$43,0))</f>
        <v>61.8</v>
      </c>
      <c r="R358" s="21" t="n">
        <f aca="false">L358*Q358</f>
        <v>3090</v>
      </c>
      <c r="S358" s="18" t="n">
        <f aca="false">L358*INDEX(Parametros!$B$20:$B$22,MATCH($E358,Parametros!$A$20:$A$22,0))</f>
        <v>42.5</v>
      </c>
      <c r="T358" s="18" t="n">
        <f aca="false">P358*INDEX(Parametros!$B$13:$B$16,MATCH($F358,Parametros!$A$13:$A$16,0))</f>
        <v>201.152</v>
      </c>
      <c r="U358" s="21" t="n">
        <f aca="false">P358-R358-S358-T358</f>
        <v>1695.148</v>
      </c>
      <c r="V358" s="19" t="n">
        <f aca="false">IFERROR(U358/P358,0)</f>
        <v>0.337087973273942</v>
      </c>
      <c r="W358" s="48" t="n">
        <f aca="false">B358+INDEX(Parametros!$C$13:$C$16,MATCH($F358,Parametros!$A$13:$A$16,0))</f>
        <v>45854</v>
      </c>
      <c r="X358" s="31" t="s">
        <v>67</v>
      </c>
      <c r="Y358" s="53" t="n">
        <f aca="false">IF(COUNTIF($A$2:$A358,A358)=1,1,0)</f>
        <v>0</v>
      </c>
    </row>
    <row r="359" customFormat="false" ht="15" hidden="false" customHeight="false" outlineLevel="0" collapsed="false">
      <c r="A359" s="31" t="s">
        <v>436</v>
      </c>
      <c r="B359" s="36" t="n">
        <v>45779</v>
      </c>
      <c r="C359" s="49" t="n">
        <f aca="false">DATE(YEAR(B359),MONTH(B359),1)</f>
        <v>45778</v>
      </c>
      <c r="D359" s="31" t="s">
        <v>201</v>
      </c>
      <c r="E359" s="31" t="s">
        <v>41</v>
      </c>
      <c r="F359" s="31" t="s">
        <v>46</v>
      </c>
      <c r="G359" s="31" t="s">
        <v>62</v>
      </c>
      <c r="H359" s="31" t="s">
        <v>175</v>
      </c>
      <c r="I359" s="32" t="str">
        <f aca="false">INDEX(Productos!$B$2:$B$13,MATCH($H359,Productos!$A$2:$A$13,0))</f>
        <v>Tirafondo madera 5x60 cabeza plana Torx</v>
      </c>
      <c r="J359" s="32" t="str">
        <f aca="false">INDEX(Productos!$C$2:$C$13,MATCH($H359,Productos!$A$2:$A$13,0))</f>
        <v>Madera</v>
      </c>
      <c r="K359" s="31" t="s">
        <v>246</v>
      </c>
      <c r="L359" s="46" t="n">
        <v>130</v>
      </c>
      <c r="M359" s="50" t="n">
        <f aca="false">INDEX(Productos!$F$2:$F$13,MATCH($H359,Productos!$A$2:$A$13,0))</f>
        <v>26</v>
      </c>
      <c r="N359" s="51" t="n">
        <v>0.084</v>
      </c>
      <c r="O359" s="52" t="n">
        <f aca="false">M359*(1-N359)</f>
        <v>23.816</v>
      </c>
      <c r="P359" s="21" t="n">
        <f aca="false">L359*O359</f>
        <v>3096.08</v>
      </c>
      <c r="Q359" s="50" t="n">
        <f aca="false">INDEX(Productos!$E$2:$E$13,MATCH($H359,Productos!$A$2:$A$13,0))*INDEX(Parametros!$B$26:$B$43,MATCH($C359,Parametros!$A$26:$A$43,0))</f>
        <v>13.802</v>
      </c>
      <c r="R359" s="21" t="n">
        <f aca="false">L359*Q359</f>
        <v>1794.26</v>
      </c>
      <c r="S359" s="18" t="n">
        <f aca="false">L359*INDEX(Parametros!$B$20:$B$22,MATCH($E359,Parametros!$A$20:$A$22,0))</f>
        <v>110.5</v>
      </c>
      <c r="T359" s="18" t="n">
        <f aca="false">P359*INDEX(Parametros!$B$13:$B$16,MATCH($F359,Parametros!$A$13:$A$16,0))</f>
        <v>123.8432</v>
      </c>
      <c r="U359" s="21" t="n">
        <f aca="false">P359-R359-S359-T359</f>
        <v>1067.4768</v>
      </c>
      <c r="V359" s="19" t="n">
        <f aca="false">IFERROR(U359/P359,0)</f>
        <v>0.344783338931811</v>
      </c>
      <c r="W359" s="48" t="n">
        <f aca="false">B359+INDEX(Parametros!$C$13:$C$16,MATCH($F359,Parametros!$A$13:$A$16,0))</f>
        <v>45854</v>
      </c>
      <c r="X359" s="31" t="s">
        <v>67</v>
      </c>
      <c r="Y359" s="53" t="n">
        <f aca="false">IF(COUNTIF($A$2:$A359,A359)=1,1,0)</f>
        <v>1</v>
      </c>
    </row>
    <row r="360" customFormat="false" ht="15" hidden="false" customHeight="false" outlineLevel="0" collapsed="false">
      <c r="A360" s="31" t="s">
        <v>437</v>
      </c>
      <c r="B360" s="36" t="n">
        <v>45779</v>
      </c>
      <c r="C360" s="49" t="n">
        <f aca="false">DATE(YEAR(B360),MONTH(B360),1)</f>
        <v>45778</v>
      </c>
      <c r="D360" s="31" t="s">
        <v>204</v>
      </c>
      <c r="E360" s="31" t="s">
        <v>41</v>
      </c>
      <c r="F360" s="31" t="s">
        <v>47</v>
      </c>
      <c r="G360" s="31" t="s">
        <v>62</v>
      </c>
      <c r="H360" s="31" t="s">
        <v>173</v>
      </c>
      <c r="I360" s="32" t="str">
        <f aca="false">INDEX(Productos!$B$2:$B$13,MATCH($H360,Productos!$A$2:$A$13,0))</f>
        <v>Tornillo DIN 933 M12x70 clase 8.8</v>
      </c>
      <c r="J360" s="32" t="str">
        <f aca="false">INDEX(Productos!$C$2:$C$13,MATCH($H360,Productos!$A$2:$A$13,0))</f>
        <v>Métrica</v>
      </c>
      <c r="K360" s="31" t="s">
        <v>246</v>
      </c>
      <c r="L360" s="46" t="n">
        <v>62</v>
      </c>
      <c r="M360" s="50" t="n">
        <f aca="false">INDEX(Productos!$F$2:$F$13,MATCH($H360,Productos!$A$2:$A$13,0))</f>
        <v>64</v>
      </c>
      <c r="N360" s="51" t="n">
        <v>0.039</v>
      </c>
      <c r="O360" s="52" t="n">
        <f aca="false">M360*(1-N360)</f>
        <v>61.504</v>
      </c>
      <c r="P360" s="21" t="n">
        <f aca="false">L360*O360</f>
        <v>3813.248</v>
      </c>
      <c r="Q360" s="50" t="n">
        <f aca="false">INDEX(Productos!$E$2:$E$13,MATCH($H360,Productos!$A$2:$A$13,0))*INDEX(Parametros!$B$26:$B$43,MATCH($C360,Parametros!$A$26:$A$43,0))</f>
        <v>34.505</v>
      </c>
      <c r="R360" s="21" t="n">
        <f aca="false">L360*Q360</f>
        <v>2139.31</v>
      </c>
      <c r="S360" s="18" t="n">
        <f aca="false">L360*INDEX(Parametros!$B$20:$B$22,MATCH($E360,Parametros!$A$20:$A$22,0))</f>
        <v>52.7</v>
      </c>
      <c r="T360" s="18" t="n">
        <f aca="false">P360*INDEX(Parametros!$B$13:$B$16,MATCH($F360,Parametros!$A$13:$A$16,0))</f>
        <v>133.46368</v>
      </c>
      <c r="U360" s="21" t="n">
        <f aca="false">P360-R360-S360-T360</f>
        <v>1487.77432</v>
      </c>
      <c r="V360" s="19" t="n">
        <f aca="false">IFERROR(U360/P360,0)</f>
        <v>0.390159339229969</v>
      </c>
      <c r="W360" s="48" t="n">
        <f aca="false">B360+INDEX(Parametros!$C$13:$C$16,MATCH($F360,Parametros!$A$13:$A$16,0))</f>
        <v>45824</v>
      </c>
      <c r="X360" s="31" t="s">
        <v>67</v>
      </c>
      <c r="Y360" s="53" t="n">
        <f aca="false">IF(COUNTIF($A$2:$A360,A360)=1,1,0)</f>
        <v>1</v>
      </c>
    </row>
    <row r="361" customFormat="false" ht="15" hidden="false" customHeight="false" outlineLevel="0" collapsed="false">
      <c r="A361" s="31" t="s">
        <v>438</v>
      </c>
      <c r="B361" s="36" t="n">
        <v>45782</v>
      </c>
      <c r="C361" s="49" t="n">
        <f aca="false">DATE(YEAR(B361),MONTH(B361),1)</f>
        <v>45778</v>
      </c>
      <c r="D361" s="31" t="s">
        <v>222</v>
      </c>
      <c r="E361" s="31" t="s">
        <v>43</v>
      </c>
      <c r="F361" s="31" t="s">
        <v>45</v>
      </c>
      <c r="G361" s="31" t="s">
        <v>59</v>
      </c>
      <c r="H361" s="31" t="s">
        <v>169</v>
      </c>
      <c r="I361" s="32" t="str">
        <f aca="false">INDEX(Productos!$B$2:$B$13,MATCH($H361,Productos!$A$2:$A$13,0))</f>
        <v>Tornillo DIN 912 M10x60 Allen inox A2</v>
      </c>
      <c r="J361" s="32" t="str">
        <f aca="false">INDEX(Productos!$C$2:$C$13,MATCH($H361,Productos!$A$2:$A$13,0))</f>
        <v>Inoxidable</v>
      </c>
      <c r="K361" s="31" t="s">
        <v>246</v>
      </c>
      <c r="L361" s="46" t="n">
        <v>60</v>
      </c>
      <c r="M361" s="50" t="n">
        <f aca="false">INDEX(Productos!$F$2:$F$13,MATCH($H361,Productos!$A$2:$A$13,0))</f>
        <v>79</v>
      </c>
      <c r="N361" s="51" t="n">
        <v>0.148</v>
      </c>
      <c r="O361" s="52" t="n">
        <f aca="false">M361*(1-N361)</f>
        <v>67.308</v>
      </c>
      <c r="P361" s="21" t="n">
        <f aca="false">L361*O361</f>
        <v>4038.48</v>
      </c>
      <c r="Q361" s="50" t="n">
        <f aca="false">INDEX(Productos!$E$2:$E$13,MATCH($H361,Productos!$A$2:$A$13,0))*INDEX(Parametros!$B$26:$B$43,MATCH($C361,Parametros!$A$26:$A$43,0))</f>
        <v>43.26</v>
      </c>
      <c r="R361" s="21" t="n">
        <f aca="false">L361*Q361</f>
        <v>2595.6</v>
      </c>
      <c r="S361" s="18" t="n">
        <f aca="false">L361*INDEX(Parametros!$B$20:$B$22,MATCH($E361,Parametros!$A$20:$A$22,0))</f>
        <v>114</v>
      </c>
      <c r="T361" s="18" t="n">
        <f aca="false">P361*INDEX(Parametros!$B$13:$B$16,MATCH($F361,Parametros!$A$13:$A$16,0))</f>
        <v>121.1544</v>
      </c>
      <c r="U361" s="21" t="n">
        <f aca="false">P361-R361-S361-T361</f>
        <v>1207.7256</v>
      </c>
      <c r="V361" s="19" t="n">
        <f aca="false">IFERROR(U361/P361,0)</f>
        <v>0.299054495750877</v>
      </c>
      <c r="W361" s="48" t="n">
        <f aca="false">B361+INDEX(Parametros!$C$13:$C$16,MATCH($F361,Parametros!$A$13:$A$16,0))</f>
        <v>45842</v>
      </c>
      <c r="X361" s="31" t="s">
        <v>67</v>
      </c>
      <c r="Y361" s="53" t="n">
        <f aca="false">IF(COUNTIF($A$2:$A361,A361)=1,1,0)</f>
        <v>1</v>
      </c>
    </row>
    <row r="362" customFormat="false" ht="15" hidden="false" customHeight="false" outlineLevel="0" collapsed="false">
      <c r="A362" s="31" t="s">
        <v>438</v>
      </c>
      <c r="B362" s="36" t="n">
        <v>45782</v>
      </c>
      <c r="C362" s="49" t="n">
        <f aca="false">DATE(YEAR(B362),MONTH(B362),1)</f>
        <v>45778</v>
      </c>
      <c r="D362" s="31" t="s">
        <v>222</v>
      </c>
      <c r="E362" s="31" t="s">
        <v>43</v>
      </c>
      <c r="F362" s="31" t="s">
        <v>45</v>
      </c>
      <c r="G362" s="31" t="s">
        <v>59</v>
      </c>
      <c r="H362" s="31" t="s">
        <v>165</v>
      </c>
      <c r="I362" s="32" t="str">
        <f aca="false">INDEX(Productos!$B$2:$B$13,MATCH($H362,Productos!$A$2:$A$13,0))</f>
        <v>Tornillo DIN 933 M8x40 rosca completa zincado</v>
      </c>
      <c r="J362" s="32" t="str">
        <f aca="false">INDEX(Productos!$C$2:$C$13,MATCH($H362,Productos!$A$2:$A$13,0))</f>
        <v>Métrica</v>
      </c>
      <c r="K362" s="31" t="s">
        <v>246</v>
      </c>
      <c r="L362" s="46" t="n">
        <v>111</v>
      </c>
      <c r="M362" s="50" t="n">
        <f aca="false">INDEX(Productos!$F$2:$F$13,MATCH($H362,Productos!$A$2:$A$13,0))</f>
        <v>37.5</v>
      </c>
      <c r="N362" s="51" t="n">
        <v>0.124</v>
      </c>
      <c r="O362" s="52" t="n">
        <f aca="false">M362*(1-N362)</f>
        <v>32.85</v>
      </c>
      <c r="P362" s="21" t="n">
        <f aca="false">L362*O362</f>
        <v>3646.35</v>
      </c>
      <c r="Q362" s="50" t="n">
        <f aca="false">INDEX(Productos!$E$2:$E$13,MATCH($H362,Productos!$A$2:$A$13,0))*INDEX(Parametros!$B$26:$B$43,MATCH($C362,Parametros!$A$26:$A$43,0))</f>
        <v>19.982</v>
      </c>
      <c r="R362" s="21" t="n">
        <f aca="false">L362*Q362</f>
        <v>2218.002</v>
      </c>
      <c r="S362" s="18" t="n">
        <f aca="false">L362*INDEX(Parametros!$B$20:$B$22,MATCH($E362,Parametros!$A$20:$A$22,0))</f>
        <v>210.9</v>
      </c>
      <c r="T362" s="18" t="n">
        <f aca="false">P362*INDEX(Parametros!$B$13:$B$16,MATCH($F362,Parametros!$A$13:$A$16,0))</f>
        <v>109.3905</v>
      </c>
      <c r="U362" s="21" t="n">
        <f aca="false">P362-R362-S362-T362</f>
        <v>1108.0575</v>
      </c>
      <c r="V362" s="19" t="n">
        <f aca="false">IFERROR(U362/P362,0)</f>
        <v>0.303881278538813</v>
      </c>
      <c r="W362" s="48" t="n">
        <f aca="false">B362+INDEX(Parametros!$C$13:$C$16,MATCH($F362,Parametros!$A$13:$A$16,0))</f>
        <v>45842</v>
      </c>
      <c r="X362" s="31" t="s">
        <v>67</v>
      </c>
      <c r="Y362" s="53" t="n">
        <f aca="false">IF(COUNTIF($A$2:$A362,A362)=1,1,0)</f>
        <v>0</v>
      </c>
    </row>
    <row r="363" customFormat="false" ht="15" hidden="false" customHeight="false" outlineLevel="0" collapsed="false">
      <c r="A363" s="31" t="s">
        <v>439</v>
      </c>
      <c r="B363" s="36" t="n">
        <v>45782</v>
      </c>
      <c r="C363" s="49" t="n">
        <f aca="false">DATE(YEAR(B363),MONTH(B363),1)</f>
        <v>45778</v>
      </c>
      <c r="D363" s="31" t="s">
        <v>214</v>
      </c>
      <c r="E363" s="31" t="s">
        <v>42</v>
      </c>
      <c r="F363" s="31" t="s">
        <v>46</v>
      </c>
      <c r="G363" s="31" t="s">
        <v>61</v>
      </c>
      <c r="H363" s="31" t="s">
        <v>181</v>
      </c>
      <c r="I363" s="32" t="str">
        <f aca="false">INDEX(Productos!$B$2:$B$13,MATCH($H363,Productos!$A$2:$A$13,0))</f>
        <v>Autotaladrante 5,5x55 punta broca</v>
      </c>
      <c r="J363" s="32" t="str">
        <f aca="false">INDEX(Productos!$C$2:$C$13,MATCH($H363,Productos!$A$2:$A$13,0))</f>
        <v>Autotaladrante</v>
      </c>
      <c r="K363" s="31" t="s">
        <v>246</v>
      </c>
      <c r="L363" s="46" t="n">
        <v>23</v>
      </c>
      <c r="M363" s="50" t="n">
        <f aca="false">INDEX(Productos!$F$2:$F$13,MATCH($H363,Productos!$A$2:$A$13,0))</f>
        <v>39</v>
      </c>
      <c r="N363" s="51" t="n">
        <v>0.084</v>
      </c>
      <c r="O363" s="52" t="n">
        <f aca="false">M363*(1-N363)</f>
        <v>35.724</v>
      </c>
      <c r="P363" s="21" t="n">
        <f aca="false">L363*O363</f>
        <v>821.652</v>
      </c>
      <c r="Q363" s="50" t="n">
        <f aca="false">INDEX(Productos!$E$2:$E$13,MATCH($H363,Productos!$A$2:$A$13,0))*INDEX(Parametros!$B$26:$B$43,MATCH($C363,Parametros!$A$26:$A$43,0))</f>
        <v>20.909</v>
      </c>
      <c r="R363" s="21" t="n">
        <f aca="false">L363*Q363</f>
        <v>480.907</v>
      </c>
      <c r="S363" s="18" t="n">
        <f aca="false">L363*INDEX(Parametros!$B$20:$B$22,MATCH($E363,Parametros!$A$20:$A$22,0))</f>
        <v>55.2</v>
      </c>
      <c r="T363" s="18" t="n">
        <f aca="false">P363*INDEX(Parametros!$B$13:$B$16,MATCH($F363,Parametros!$A$13:$A$16,0))</f>
        <v>32.86608</v>
      </c>
      <c r="U363" s="21" t="n">
        <f aca="false">P363-R363-S363-T363</f>
        <v>252.67892</v>
      </c>
      <c r="V363" s="19" t="n">
        <f aca="false">IFERROR(U363/P363,0)</f>
        <v>0.307525473071325</v>
      </c>
      <c r="W363" s="48" t="n">
        <f aca="false">B363+INDEX(Parametros!$C$13:$C$16,MATCH($F363,Parametros!$A$13:$A$16,0))</f>
        <v>45857</v>
      </c>
      <c r="X363" s="31" t="s">
        <v>67</v>
      </c>
      <c r="Y363" s="53" t="n">
        <f aca="false">IF(COUNTIF($A$2:$A363,A363)=1,1,0)</f>
        <v>1</v>
      </c>
    </row>
    <row r="364" customFormat="false" ht="15" hidden="false" customHeight="false" outlineLevel="0" collapsed="false">
      <c r="A364" s="31" t="s">
        <v>439</v>
      </c>
      <c r="B364" s="36" t="n">
        <v>45782</v>
      </c>
      <c r="C364" s="49" t="n">
        <f aca="false">DATE(YEAR(B364),MONTH(B364),1)</f>
        <v>45778</v>
      </c>
      <c r="D364" s="31" t="s">
        <v>214</v>
      </c>
      <c r="E364" s="31" t="s">
        <v>42</v>
      </c>
      <c r="F364" s="31" t="s">
        <v>46</v>
      </c>
      <c r="G364" s="31" t="s">
        <v>61</v>
      </c>
      <c r="H364" s="31" t="s">
        <v>171</v>
      </c>
      <c r="I364" s="32" t="str">
        <f aca="false">INDEX(Productos!$B$2:$B$13,MATCH($H364,Productos!$A$2:$A$13,0))</f>
        <v>Tornillo DIN 7991 M8x30 avellanado inox A2</v>
      </c>
      <c r="J364" s="32" t="str">
        <f aca="false">INDEX(Productos!$C$2:$C$13,MATCH($H364,Productos!$A$2:$A$13,0))</f>
        <v>Inoxidable</v>
      </c>
      <c r="K364" s="31" t="s">
        <v>246</v>
      </c>
      <c r="L364" s="46" t="n">
        <v>43</v>
      </c>
      <c r="M364" s="50" t="n">
        <f aca="false">INDEX(Productos!$F$2:$F$13,MATCH($H364,Productos!$A$2:$A$13,0))</f>
        <v>88</v>
      </c>
      <c r="N364" s="51" t="n">
        <v>0.14</v>
      </c>
      <c r="O364" s="52" t="n">
        <f aca="false">M364*(1-N364)</f>
        <v>75.68</v>
      </c>
      <c r="P364" s="21" t="n">
        <f aca="false">L364*O364</f>
        <v>3254.24</v>
      </c>
      <c r="Q364" s="50" t="n">
        <f aca="false">INDEX(Productos!$E$2:$E$13,MATCH($H364,Productos!$A$2:$A$13,0))*INDEX(Parametros!$B$26:$B$43,MATCH($C364,Parametros!$A$26:$A$43,0))</f>
        <v>47.895</v>
      </c>
      <c r="R364" s="21" t="n">
        <f aca="false">L364*Q364</f>
        <v>2059.485</v>
      </c>
      <c r="S364" s="18" t="n">
        <f aca="false">L364*INDEX(Parametros!$B$20:$B$22,MATCH($E364,Parametros!$A$20:$A$22,0))</f>
        <v>103.2</v>
      </c>
      <c r="T364" s="18" t="n">
        <f aca="false">P364*INDEX(Parametros!$B$13:$B$16,MATCH($F364,Parametros!$A$13:$A$16,0))</f>
        <v>130.1696</v>
      </c>
      <c r="U364" s="21" t="n">
        <f aca="false">P364-R364-S364-T364</f>
        <v>961.3854</v>
      </c>
      <c r="V364" s="19" t="n">
        <f aca="false">IFERROR(U364/P364,0)</f>
        <v>0.295425475687104</v>
      </c>
      <c r="W364" s="48" t="n">
        <f aca="false">B364+INDEX(Parametros!$C$13:$C$16,MATCH($F364,Parametros!$A$13:$A$16,0))</f>
        <v>45857</v>
      </c>
      <c r="X364" s="31" t="s">
        <v>67</v>
      </c>
      <c r="Y364" s="53" t="n">
        <f aca="false">IF(COUNTIF($A$2:$A364,A364)=1,1,0)</f>
        <v>0</v>
      </c>
    </row>
    <row r="365" customFormat="false" ht="15" hidden="false" customHeight="false" outlineLevel="0" collapsed="false">
      <c r="A365" s="31" t="s">
        <v>440</v>
      </c>
      <c r="B365" s="36" t="n">
        <v>45782</v>
      </c>
      <c r="C365" s="49" t="n">
        <f aca="false">DATE(YEAR(B365),MONTH(B365),1)</f>
        <v>45778</v>
      </c>
      <c r="D365" s="31" t="s">
        <v>199</v>
      </c>
      <c r="E365" s="31" t="s">
        <v>41</v>
      </c>
      <c r="F365" s="31" t="s">
        <v>45</v>
      </c>
      <c r="G365" s="31" t="s">
        <v>58</v>
      </c>
      <c r="H365" s="31" t="s">
        <v>177</v>
      </c>
      <c r="I365" s="32" t="str">
        <f aca="false">INDEX(Productos!$B$2:$B$13,MATCH($H365,Productos!$A$2:$A$13,0))</f>
        <v>Tirafondo madera 6x100 cabeza plana Torx</v>
      </c>
      <c r="J365" s="32" t="str">
        <f aca="false">INDEX(Productos!$C$2:$C$13,MATCH($H365,Productos!$A$2:$A$13,0))</f>
        <v>Madera</v>
      </c>
      <c r="K365" s="31" t="s">
        <v>246</v>
      </c>
      <c r="L365" s="46" t="n">
        <v>92</v>
      </c>
      <c r="M365" s="50" t="n">
        <f aca="false">INDEX(Productos!$F$2:$F$13,MATCH($H365,Productos!$A$2:$A$13,0))</f>
        <v>34</v>
      </c>
      <c r="N365" s="51" t="n">
        <v>0.164</v>
      </c>
      <c r="O365" s="52" t="n">
        <f aca="false">M365*(1-N365)</f>
        <v>28.424</v>
      </c>
      <c r="P365" s="21" t="n">
        <f aca="false">L365*O365</f>
        <v>2615.008</v>
      </c>
      <c r="Q365" s="50" t="n">
        <f aca="false">INDEX(Productos!$E$2:$E$13,MATCH($H365,Productos!$A$2:$A$13,0))*INDEX(Parametros!$B$26:$B$43,MATCH($C365,Parametros!$A$26:$A$43,0))</f>
        <v>18.334</v>
      </c>
      <c r="R365" s="21" t="n">
        <f aca="false">L365*Q365</f>
        <v>1686.728</v>
      </c>
      <c r="S365" s="18" t="n">
        <f aca="false">L365*INDEX(Parametros!$B$20:$B$22,MATCH($E365,Parametros!$A$20:$A$22,0))</f>
        <v>78.2</v>
      </c>
      <c r="T365" s="18" t="n">
        <f aca="false">P365*INDEX(Parametros!$B$13:$B$16,MATCH($F365,Parametros!$A$13:$A$16,0))</f>
        <v>78.45024</v>
      </c>
      <c r="U365" s="21" t="n">
        <f aca="false">P365-R365-S365-T365</f>
        <v>771.62976</v>
      </c>
      <c r="V365" s="19" t="n">
        <f aca="false">IFERROR(U365/P365,0)</f>
        <v>0.295077399380805</v>
      </c>
      <c r="W365" s="48" t="n">
        <f aca="false">B365+INDEX(Parametros!$C$13:$C$16,MATCH($F365,Parametros!$A$13:$A$16,0))</f>
        <v>45842</v>
      </c>
      <c r="X365" s="31" t="s">
        <v>67</v>
      </c>
      <c r="Y365" s="53" t="n">
        <f aca="false">IF(COUNTIF($A$2:$A365,A365)=1,1,0)</f>
        <v>1</v>
      </c>
    </row>
    <row r="366" customFormat="false" ht="15" hidden="false" customHeight="false" outlineLevel="0" collapsed="false">
      <c r="A366" s="31" t="s">
        <v>440</v>
      </c>
      <c r="B366" s="36" t="n">
        <v>45782</v>
      </c>
      <c r="C366" s="49" t="n">
        <f aca="false">DATE(YEAR(B366),MONTH(B366),1)</f>
        <v>45778</v>
      </c>
      <c r="D366" s="31" t="s">
        <v>199</v>
      </c>
      <c r="E366" s="31" t="s">
        <v>41</v>
      </c>
      <c r="F366" s="31" t="s">
        <v>45</v>
      </c>
      <c r="G366" s="31" t="s">
        <v>58</v>
      </c>
      <c r="H366" s="31" t="s">
        <v>171</v>
      </c>
      <c r="I366" s="32" t="str">
        <f aca="false">INDEX(Productos!$B$2:$B$13,MATCH($H366,Productos!$A$2:$A$13,0))</f>
        <v>Tornillo DIN 7991 M8x30 avellanado inox A2</v>
      </c>
      <c r="J366" s="32" t="str">
        <f aca="false">INDEX(Productos!$C$2:$C$13,MATCH($H366,Productos!$A$2:$A$13,0))</f>
        <v>Inoxidable</v>
      </c>
      <c r="K366" s="31" t="s">
        <v>246</v>
      </c>
      <c r="L366" s="46" t="n">
        <v>98</v>
      </c>
      <c r="M366" s="50" t="n">
        <f aca="false">INDEX(Productos!$F$2:$F$13,MATCH($H366,Productos!$A$2:$A$13,0))</f>
        <v>88</v>
      </c>
      <c r="N366" s="51" t="n">
        <v>0.131</v>
      </c>
      <c r="O366" s="52" t="n">
        <f aca="false">M366*(1-N366)</f>
        <v>76.472</v>
      </c>
      <c r="P366" s="21" t="n">
        <f aca="false">L366*O366</f>
        <v>7494.256</v>
      </c>
      <c r="Q366" s="50" t="n">
        <f aca="false">INDEX(Productos!$E$2:$E$13,MATCH($H366,Productos!$A$2:$A$13,0))*INDEX(Parametros!$B$26:$B$43,MATCH($C366,Parametros!$A$26:$A$43,0))</f>
        <v>47.895</v>
      </c>
      <c r="R366" s="21" t="n">
        <f aca="false">L366*Q366</f>
        <v>4693.71</v>
      </c>
      <c r="S366" s="18" t="n">
        <f aca="false">L366*INDEX(Parametros!$B$20:$B$22,MATCH($E366,Parametros!$A$20:$A$22,0))</f>
        <v>83.3</v>
      </c>
      <c r="T366" s="18" t="n">
        <f aca="false">P366*INDEX(Parametros!$B$13:$B$16,MATCH($F366,Parametros!$A$13:$A$16,0))</f>
        <v>224.82768</v>
      </c>
      <c r="U366" s="21" t="n">
        <f aca="false">P366-R366-S366-T366</f>
        <v>2492.41832</v>
      </c>
      <c r="V366" s="19" t="n">
        <f aca="false">IFERROR(U366/P366,0)</f>
        <v>0.332577152421801</v>
      </c>
      <c r="W366" s="48" t="n">
        <f aca="false">B366+INDEX(Parametros!$C$13:$C$16,MATCH($F366,Parametros!$A$13:$A$16,0))</f>
        <v>45842</v>
      </c>
      <c r="X366" s="31" t="s">
        <v>67</v>
      </c>
      <c r="Y366" s="53" t="n">
        <f aca="false">IF(COUNTIF($A$2:$A366,A366)=1,1,0)</f>
        <v>0</v>
      </c>
    </row>
    <row r="367" customFormat="false" ht="15" hidden="false" customHeight="false" outlineLevel="0" collapsed="false">
      <c r="A367" s="31" t="s">
        <v>441</v>
      </c>
      <c r="B367" s="36" t="n">
        <v>45782</v>
      </c>
      <c r="C367" s="49" t="n">
        <f aca="false">DATE(YEAR(B367),MONTH(B367),1)</f>
        <v>45778</v>
      </c>
      <c r="D367" s="31" t="s">
        <v>228</v>
      </c>
      <c r="E367" s="31" t="s">
        <v>43</v>
      </c>
      <c r="F367" s="31" t="s">
        <v>47</v>
      </c>
      <c r="G367" s="31" t="s">
        <v>59</v>
      </c>
      <c r="H367" s="31" t="s">
        <v>179</v>
      </c>
      <c r="I367" s="32" t="str">
        <f aca="false">INDEX(Productos!$B$2:$B$13,MATCH($H367,Productos!$A$2:$A$13,0))</f>
        <v>Autotaladrante DIN 7504 4,8x38 zincado</v>
      </c>
      <c r="J367" s="32" t="str">
        <f aca="false">INDEX(Productos!$C$2:$C$13,MATCH($H367,Productos!$A$2:$A$13,0))</f>
        <v>Autotaladrante</v>
      </c>
      <c r="K367" s="31" t="s">
        <v>246</v>
      </c>
      <c r="L367" s="46" t="n">
        <v>18</v>
      </c>
      <c r="M367" s="50" t="n">
        <f aca="false">INDEX(Productos!$F$2:$F$13,MATCH($H367,Productos!$A$2:$A$13,0))</f>
        <v>29.5</v>
      </c>
      <c r="N367" s="51" t="n">
        <v>0.057</v>
      </c>
      <c r="O367" s="52" t="n">
        <f aca="false">M367*(1-N367)</f>
        <v>27.8185</v>
      </c>
      <c r="P367" s="21" t="n">
        <f aca="false">L367*O367</f>
        <v>500.733</v>
      </c>
      <c r="Q367" s="50" t="n">
        <f aca="false">INDEX(Productos!$E$2:$E$13,MATCH($H367,Productos!$A$2:$A$13,0))*INDEX(Parametros!$B$26:$B$43,MATCH($C367,Parametros!$A$26:$A$43,0))</f>
        <v>15.656</v>
      </c>
      <c r="R367" s="21" t="n">
        <f aca="false">L367*Q367</f>
        <v>281.808</v>
      </c>
      <c r="S367" s="18" t="n">
        <f aca="false">L367*INDEX(Parametros!$B$20:$B$22,MATCH($E367,Parametros!$A$20:$A$22,0))</f>
        <v>34.2</v>
      </c>
      <c r="T367" s="18" t="n">
        <f aca="false">P367*INDEX(Parametros!$B$13:$B$16,MATCH($F367,Parametros!$A$13:$A$16,0))</f>
        <v>17.525655</v>
      </c>
      <c r="U367" s="21" t="n">
        <f aca="false">P367-R367-S367-T367</f>
        <v>167.199345</v>
      </c>
      <c r="V367" s="19" t="n">
        <f aca="false">IFERROR(U367/P367,0)</f>
        <v>0.333909179143376</v>
      </c>
      <c r="W367" s="48" t="n">
        <f aca="false">B367+INDEX(Parametros!$C$13:$C$16,MATCH($F367,Parametros!$A$13:$A$16,0))</f>
        <v>45827</v>
      </c>
      <c r="X367" s="31" t="s">
        <v>67</v>
      </c>
      <c r="Y367" s="53" t="n">
        <f aca="false">IF(COUNTIF($A$2:$A367,A367)=1,1,0)</f>
        <v>1</v>
      </c>
    </row>
    <row r="368" customFormat="false" ht="15" hidden="false" customHeight="false" outlineLevel="0" collapsed="false">
      <c r="A368" s="31" t="s">
        <v>441</v>
      </c>
      <c r="B368" s="36" t="n">
        <v>45782</v>
      </c>
      <c r="C368" s="49" t="n">
        <f aca="false">DATE(YEAR(B368),MONTH(B368),1)</f>
        <v>45778</v>
      </c>
      <c r="D368" s="31" t="s">
        <v>228</v>
      </c>
      <c r="E368" s="31" t="s">
        <v>43</v>
      </c>
      <c r="F368" s="31" t="s">
        <v>47</v>
      </c>
      <c r="G368" s="31" t="s">
        <v>59</v>
      </c>
      <c r="H368" s="31" t="s">
        <v>169</v>
      </c>
      <c r="I368" s="32" t="str">
        <f aca="false">INDEX(Productos!$B$2:$B$13,MATCH($H368,Productos!$A$2:$A$13,0))</f>
        <v>Tornillo DIN 912 M10x60 Allen inox A2</v>
      </c>
      <c r="J368" s="32" t="str">
        <f aca="false">INDEX(Productos!$C$2:$C$13,MATCH($H368,Productos!$A$2:$A$13,0))</f>
        <v>Inoxidable</v>
      </c>
      <c r="K368" s="31" t="s">
        <v>246</v>
      </c>
      <c r="L368" s="46" t="n">
        <v>21</v>
      </c>
      <c r="M368" s="50" t="n">
        <f aca="false">INDEX(Productos!$F$2:$F$13,MATCH($H368,Productos!$A$2:$A$13,0))</f>
        <v>79</v>
      </c>
      <c r="N368" s="51" t="n">
        <v>0.073</v>
      </c>
      <c r="O368" s="52" t="n">
        <f aca="false">M368*(1-N368)</f>
        <v>73.233</v>
      </c>
      <c r="P368" s="21" t="n">
        <f aca="false">L368*O368</f>
        <v>1537.893</v>
      </c>
      <c r="Q368" s="50" t="n">
        <f aca="false">INDEX(Productos!$E$2:$E$13,MATCH($H368,Productos!$A$2:$A$13,0))*INDEX(Parametros!$B$26:$B$43,MATCH($C368,Parametros!$A$26:$A$43,0))</f>
        <v>43.26</v>
      </c>
      <c r="R368" s="21" t="n">
        <f aca="false">L368*Q368</f>
        <v>908.46</v>
      </c>
      <c r="S368" s="18" t="n">
        <f aca="false">L368*INDEX(Parametros!$B$20:$B$22,MATCH($E368,Parametros!$A$20:$A$22,0))</f>
        <v>39.9</v>
      </c>
      <c r="T368" s="18" t="n">
        <f aca="false">P368*INDEX(Parametros!$B$13:$B$16,MATCH($F368,Parametros!$A$13:$A$16,0))</f>
        <v>53.826255</v>
      </c>
      <c r="U368" s="21" t="n">
        <f aca="false">P368-R368-S368-T368</f>
        <v>535.706745</v>
      </c>
      <c r="V368" s="19" t="n">
        <f aca="false">IFERROR(U368/P368,0)</f>
        <v>0.348338112599511</v>
      </c>
      <c r="W368" s="48" t="n">
        <f aca="false">B368+INDEX(Parametros!$C$13:$C$16,MATCH($F368,Parametros!$A$13:$A$16,0))</f>
        <v>45827</v>
      </c>
      <c r="X368" s="31" t="s">
        <v>67</v>
      </c>
      <c r="Y368" s="53" t="n">
        <f aca="false">IF(COUNTIF($A$2:$A368,A368)=1,1,0)</f>
        <v>0</v>
      </c>
    </row>
    <row r="369" customFormat="false" ht="15" hidden="false" customHeight="false" outlineLevel="0" collapsed="false">
      <c r="A369" s="31" t="s">
        <v>442</v>
      </c>
      <c r="B369" s="36" t="n">
        <v>45782</v>
      </c>
      <c r="C369" s="49" t="n">
        <f aca="false">DATE(YEAR(B369),MONTH(B369),1)</f>
        <v>45778</v>
      </c>
      <c r="D369" s="31" t="s">
        <v>203</v>
      </c>
      <c r="E369" s="31" t="s">
        <v>41</v>
      </c>
      <c r="F369" s="31" t="s">
        <v>46</v>
      </c>
      <c r="G369" s="31" t="s">
        <v>58</v>
      </c>
      <c r="H369" s="31" t="s">
        <v>175</v>
      </c>
      <c r="I369" s="32" t="str">
        <f aca="false">INDEX(Productos!$B$2:$B$13,MATCH($H369,Productos!$A$2:$A$13,0))</f>
        <v>Tirafondo madera 5x60 cabeza plana Torx</v>
      </c>
      <c r="J369" s="32" t="str">
        <f aca="false">INDEX(Productos!$C$2:$C$13,MATCH($H369,Productos!$A$2:$A$13,0))</f>
        <v>Madera</v>
      </c>
      <c r="K369" s="31" t="s">
        <v>246</v>
      </c>
      <c r="L369" s="46" t="n">
        <v>26</v>
      </c>
      <c r="M369" s="50" t="n">
        <f aca="false">INDEX(Productos!$F$2:$F$13,MATCH($H369,Productos!$A$2:$A$13,0))</f>
        <v>26</v>
      </c>
      <c r="N369" s="51" t="n">
        <v>0.157</v>
      </c>
      <c r="O369" s="52" t="n">
        <f aca="false">M369*(1-N369)</f>
        <v>21.918</v>
      </c>
      <c r="P369" s="21" t="n">
        <f aca="false">L369*O369</f>
        <v>569.868</v>
      </c>
      <c r="Q369" s="50" t="n">
        <f aca="false">INDEX(Productos!$E$2:$E$13,MATCH($H369,Productos!$A$2:$A$13,0))*INDEX(Parametros!$B$26:$B$43,MATCH($C369,Parametros!$A$26:$A$43,0))</f>
        <v>13.802</v>
      </c>
      <c r="R369" s="21" t="n">
        <f aca="false">L369*Q369</f>
        <v>358.852</v>
      </c>
      <c r="S369" s="18" t="n">
        <f aca="false">L369*INDEX(Parametros!$B$20:$B$22,MATCH($E369,Parametros!$A$20:$A$22,0))</f>
        <v>22.1</v>
      </c>
      <c r="T369" s="18" t="n">
        <f aca="false">P369*INDEX(Parametros!$B$13:$B$16,MATCH($F369,Parametros!$A$13:$A$16,0))</f>
        <v>22.79472</v>
      </c>
      <c r="U369" s="21" t="n">
        <f aca="false">P369-R369-S369-T369</f>
        <v>166.12128</v>
      </c>
      <c r="V369" s="19" t="n">
        <f aca="false">IFERROR(U369/P369,0)</f>
        <v>0.291508349301943</v>
      </c>
      <c r="W369" s="48" t="n">
        <f aca="false">B369+INDEX(Parametros!$C$13:$C$16,MATCH($F369,Parametros!$A$13:$A$16,0))</f>
        <v>45857</v>
      </c>
      <c r="X369" s="31" t="s">
        <v>67</v>
      </c>
      <c r="Y369" s="53" t="n">
        <f aca="false">IF(COUNTIF($A$2:$A369,A369)=1,1,0)</f>
        <v>1</v>
      </c>
    </row>
    <row r="370" customFormat="false" ht="15" hidden="false" customHeight="false" outlineLevel="0" collapsed="false">
      <c r="A370" s="31" t="s">
        <v>442</v>
      </c>
      <c r="B370" s="36" t="n">
        <v>45782</v>
      </c>
      <c r="C370" s="49" t="n">
        <f aca="false">DATE(YEAR(B370),MONTH(B370),1)</f>
        <v>45778</v>
      </c>
      <c r="D370" s="31" t="s">
        <v>203</v>
      </c>
      <c r="E370" s="31" t="s">
        <v>41</v>
      </c>
      <c r="F370" s="31" t="s">
        <v>46</v>
      </c>
      <c r="G370" s="31" t="s">
        <v>58</v>
      </c>
      <c r="H370" s="31" t="s">
        <v>173</v>
      </c>
      <c r="I370" s="32" t="str">
        <f aca="false">INDEX(Productos!$B$2:$B$13,MATCH($H370,Productos!$A$2:$A$13,0))</f>
        <v>Tornillo DIN 933 M12x70 clase 8.8</v>
      </c>
      <c r="J370" s="32" t="str">
        <f aca="false">INDEX(Productos!$C$2:$C$13,MATCH($H370,Productos!$A$2:$A$13,0))</f>
        <v>Métrica</v>
      </c>
      <c r="K370" s="31" t="s">
        <v>246</v>
      </c>
      <c r="L370" s="46" t="n">
        <v>51</v>
      </c>
      <c r="M370" s="50" t="n">
        <f aca="false">INDEX(Productos!$F$2:$F$13,MATCH($H370,Productos!$A$2:$A$13,0))</f>
        <v>64</v>
      </c>
      <c r="N370" s="51" t="n">
        <v>0.149</v>
      </c>
      <c r="O370" s="52" t="n">
        <f aca="false">M370*(1-N370)</f>
        <v>54.464</v>
      </c>
      <c r="P370" s="21" t="n">
        <f aca="false">L370*O370</f>
        <v>2777.664</v>
      </c>
      <c r="Q370" s="50" t="n">
        <f aca="false">INDEX(Productos!$E$2:$E$13,MATCH($H370,Productos!$A$2:$A$13,0))*INDEX(Parametros!$B$26:$B$43,MATCH($C370,Parametros!$A$26:$A$43,0))</f>
        <v>34.505</v>
      </c>
      <c r="R370" s="21" t="n">
        <f aca="false">L370*Q370</f>
        <v>1759.755</v>
      </c>
      <c r="S370" s="18" t="n">
        <f aca="false">L370*INDEX(Parametros!$B$20:$B$22,MATCH($E370,Parametros!$A$20:$A$22,0))</f>
        <v>43.35</v>
      </c>
      <c r="T370" s="18" t="n">
        <f aca="false">P370*INDEX(Parametros!$B$13:$B$16,MATCH($F370,Parametros!$A$13:$A$16,0))</f>
        <v>111.10656</v>
      </c>
      <c r="U370" s="21" t="n">
        <f aca="false">P370-R370-S370-T370</f>
        <v>863.45244</v>
      </c>
      <c r="V370" s="19" t="n">
        <f aca="false">IFERROR(U370/P370,0)</f>
        <v>0.310855611045828</v>
      </c>
      <c r="W370" s="48" t="n">
        <f aca="false">B370+INDEX(Parametros!$C$13:$C$16,MATCH($F370,Parametros!$A$13:$A$16,0))</f>
        <v>45857</v>
      </c>
      <c r="X370" s="31" t="s">
        <v>67</v>
      </c>
      <c r="Y370" s="53" t="n">
        <f aca="false">IF(COUNTIF($A$2:$A370,A370)=1,1,0)</f>
        <v>0</v>
      </c>
    </row>
    <row r="371" customFormat="false" ht="15" hidden="false" customHeight="false" outlineLevel="0" collapsed="false">
      <c r="A371" s="31" t="s">
        <v>443</v>
      </c>
      <c r="B371" s="36" t="n">
        <v>45782</v>
      </c>
      <c r="C371" s="49" t="n">
        <f aca="false">DATE(YEAR(B371),MONTH(B371),1)</f>
        <v>45778</v>
      </c>
      <c r="D371" s="31" t="s">
        <v>193</v>
      </c>
      <c r="E371" s="31" t="s">
        <v>41</v>
      </c>
      <c r="F371" s="31" t="s">
        <v>45</v>
      </c>
      <c r="G371" s="31" t="s">
        <v>62</v>
      </c>
      <c r="H371" s="31" t="s">
        <v>177</v>
      </c>
      <c r="I371" s="32" t="str">
        <f aca="false">INDEX(Productos!$B$2:$B$13,MATCH($H371,Productos!$A$2:$A$13,0))</f>
        <v>Tirafondo madera 6x100 cabeza plana Torx</v>
      </c>
      <c r="J371" s="32" t="str">
        <f aca="false">INDEX(Productos!$C$2:$C$13,MATCH($H371,Productos!$A$2:$A$13,0))</f>
        <v>Madera</v>
      </c>
      <c r="K371" s="31" t="s">
        <v>246</v>
      </c>
      <c r="L371" s="46" t="n">
        <v>48</v>
      </c>
      <c r="M371" s="50" t="n">
        <f aca="false">INDEX(Productos!$F$2:$F$13,MATCH($H371,Productos!$A$2:$A$13,0))</f>
        <v>34</v>
      </c>
      <c r="N371" s="51" t="n">
        <v>0.155</v>
      </c>
      <c r="O371" s="52" t="n">
        <f aca="false">M371*(1-N371)</f>
        <v>28.73</v>
      </c>
      <c r="P371" s="21" t="n">
        <f aca="false">L371*O371</f>
        <v>1379.04</v>
      </c>
      <c r="Q371" s="50" t="n">
        <f aca="false">INDEX(Productos!$E$2:$E$13,MATCH($H371,Productos!$A$2:$A$13,0))*INDEX(Parametros!$B$26:$B$43,MATCH($C371,Parametros!$A$26:$A$43,0))</f>
        <v>18.334</v>
      </c>
      <c r="R371" s="21" t="n">
        <f aca="false">L371*Q371</f>
        <v>880.032</v>
      </c>
      <c r="S371" s="18" t="n">
        <f aca="false">L371*INDEX(Parametros!$B$20:$B$22,MATCH($E371,Parametros!$A$20:$A$22,0))</f>
        <v>40.8</v>
      </c>
      <c r="T371" s="18" t="n">
        <f aca="false">P371*INDEX(Parametros!$B$13:$B$16,MATCH($F371,Parametros!$A$13:$A$16,0))</f>
        <v>41.3712</v>
      </c>
      <c r="U371" s="21" t="n">
        <f aca="false">P371-R371-S371-T371</f>
        <v>416.8368</v>
      </c>
      <c r="V371" s="19" t="n">
        <f aca="false">IFERROR(U371/P371,0)</f>
        <v>0.302265924121128</v>
      </c>
      <c r="W371" s="48" t="n">
        <f aca="false">B371+INDEX(Parametros!$C$13:$C$16,MATCH($F371,Parametros!$A$13:$A$16,0))</f>
        <v>45842</v>
      </c>
      <c r="X371" s="31" t="s">
        <v>67</v>
      </c>
      <c r="Y371" s="53" t="n">
        <f aca="false">IF(COUNTIF($A$2:$A371,A371)=1,1,0)</f>
        <v>1</v>
      </c>
    </row>
    <row r="372" customFormat="false" ht="15" hidden="false" customHeight="false" outlineLevel="0" collapsed="false">
      <c r="A372" s="31" t="s">
        <v>443</v>
      </c>
      <c r="B372" s="36" t="n">
        <v>45782</v>
      </c>
      <c r="C372" s="49" t="n">
        <f aca="false">DATE(YEAR(B372),MONTH(B372),1)</f>
        <v>45778</v>
      </c>
      <c r="D372" s="31" t="s">
        <v>193</v>
      </c>
      <c r="E372" s="31" t="s">
        <v>41</v>
      </c>
      <c r="F372" s="31" t="s">
        <v>45</v>
      </c>
      <c r="G372" s="31" t="s">
        <v>62</v>
      </c>
      <c r="H372" s="31" t="s">
        <v>171</v>
      </c>
      <c r="I372" s="32" t="str">
        <f aca="false">INDEX(Productos!$B$2:$B$13,MATCH($H372,Productos!$A$2:$A$13,0))</f>
        <v>Tornillo DIN 7991 M8x30 avellanado inox A2</v>
      </c>
      <c r="J372" s="32" t="str">
        <f aca="false">INDEX(Productos!$C$2:$C$13,MATCH($H372,Productos!$A$2:$A$13,0))</f>
        <v>Inoxidable</v>
      </c>
      <c r="K372" s="31" t="s">
        <v>246</v>
      </c>
      <c r="L372" s="46" t="n">
        <v>75</v>
      </c>
      <c r="M372" s="50" t="n">
        <f aca="false">INDEX(Productos!$F$2:$F$13,MATCH($H372,Productos!$A$2:$A$13,0))</f>
        <v>88</v>
      </c>
      <c r="N372" s="51" t="n">
        <v>0.129</v>
      </c>
      <c r="O372" s="52" t="n">
        <f aca="false">M372*(1-N372)</f>
        <v>76.648</v>
      </c>
      <c r="P372" s="21" t="n">
        <f aca="false">L372*O372</f>
        <v>5748.6</v>
      </c>
      <c r="Q372" s="50" t="n">
        <f aca="false">INDEX(Productos!$E$2:$E$13,MATCH($H372,Productos!$A$2:$A$13,0))*INDEX(Parametros!$B$26:$B$43,MATCH($C372,Parametros!$A$26:$A$43,0))</f>
        <v>47.895</v>
      </c>
      <c r="R372" s="21" t="n">
        <f aca="false">L372*Q372</f>
        <v>3592.125</v>
      </c>
      <c r="S372" s="18" t="n">
        <f aca="false">L372*INDEX(Parametros!$B$20:$B$22,MATCH($E372,Parametros!$A$20:$A$22,0))</f>
        <v>63.75</v>
      </c>
      <c r="T372" s="18" t="n">
        <f aca="false">P372*INDEX(Parametros!$B$13:$B$16,MATCH($F372,Parametros!$A$13:$A$16,0))</f>
        <v>172.458</v>
      </c>
      <c r="U372" s="21" t="n">
        <f aca="false">P372-R372-S372-T372</f>
        <v>1920.267</v>
      </c>
      <c r="V372" s="19" t="n">
        <f aca="false">IFERROR(U372/P372,0)</f>
        <v>0.334040809936332</v>
      </c>
      <c r="W372" s="48" t="n">
        <f aca="false">B372+INDEX(Parametros!$C$13:$C$16,MATCH($F372,Parametros!$A$13:$A$16,0))</f>
        <v>45842</v>
      </c>
      <c r="X372" s="31" t="s">
        <v>69</v>
      </c>
      <c r="Y372" s="53" t="n">
        <f aca="false">IF(COUNTIF($A$2:$A372,A372)=1,1,0)</f>
        <v>0</v>
      </c>
    </row>
    <row r="373" customFormat="false" ht="15" hidden="false" customHeight="false" outlineLevel="0" collapsed="false">
      <c r="A373" s="31" t="s">
        <v>444</v>
      </c>
      <c r="B373" s="36" t="n">
        <v>45783</v>
      </c>
      <c r="C373" s="49" t="n">
        <f aca="false">DATE(YEAR(B373),MONTH(B373),1)</f>
        <v>45778</v>
      </c>
      <c r="D373" s="31" t="s">
        <v>210</v>
      </c>
      <c r="E373" s="31" t="s">
        <v>41</v>
      </c>
      <c r="F373" s="31" t="s">
        <v>48</v>
      </c>
      <c r="G373" s="31" t="s">
        <v>60</v>
      </c>
      <c r="H373" s="31" t="s">
        <v>183</v>
      </c>
      <c r="I373" s="32" t="str">
        <f aca="false">INDEX(Productos!$B$2:$B$13,MATCH($H373,Productos!$A$2:$A$13,0))</f>
        <v>Tornillo estructural M16x90 clase 10.9</v>
      </c>
      <c r="J373" s="32" t="str">
        <f aca="false">INDEX(Productos!$C$2:$C$13,MATCH($H373,Productos!$A$2:$A$13,0))</f>
        <v>Especial</v>
      </c>
      <c r="K373" s="31" t="s">
        <v>246</v>
      </c>
      <c r="L373" s="46" t="n">
        <v>16</v>
      </c>
      <c r="M373" s="50" t="n">
        <f aca="false">INDEX(Productos!$F$2:$F$13,MATCH($H373,Productos!$A$2:$A$13,0))</f>
        <v>112</v>
      </c>
      <c r="N373" s="51" t="n">
        <v>0.031</v>
      </c>
      <c r="O373" s="52" t="n">
        <f aca="false">M373*(1-N373)</f>
        <v>108.528</v>
      </c>
      <c r="P373" s="21" t="n">
        <f aca="false">L373*O373</f>
        <v>1736.448</v>
      </c>
      <c r="Q373" s="50" t="n">
        <f aca="false">INDEX(Productos!$E$2:$E$13,MATCH($H373,Productos!$A$2:$A$13,0))*INDEX(Parametros!$B$26:$B$43,MATCH($C373,Parametros!$A$26:$A$43,0))</f>
        <v>61.8</v>
      </c>
      <c r="R373" s="21" t="n">
        <f aca="false">L373*Q373</f>
        <v>988.8</v>
      </c>
      <c r="S373" s="18" t="n">
        <f aca="false">L373*INDEX(Parametros!$B$20:$B$22,MATCH($E373,Parametros!$A$20:$A$22,0))</f>
        <v>13.6</v>
      </c>
      <c r="T373" s="18" t="n">
        <f aca="false">P373*INDEX(Parametros!$B$13:$B$16,MATCH($F373,Parametros!$A$13:$A$16,0))</f>
        <v>17.36448</v>
      </c>
      <c r="U373" s="21" t="n">
        <f aca="false">P373-R373-S373-T373</f>
        <v>716.68352</v>
      </c>
      <c r="V373" s="19" t="n">
        <f aca="false">IFERROR(U373/P373,0)</f>
        <v>0.412729618163055</v>
      </c>
      <c r="W373" s="48" t="n">
        <f aca="false">B373+INDEX(Parametros!$C$13:$C$16,MATCH($F373,Parametros!$A$13:$A$16,0))</f>
        <v>45783</v>
      </c>
      <c r="X373" s="31" t="s">
        <v>67</v>
      </c>
      <c r="Y373" s="53" t="n">
        <f aca="false">IF(COUNTIF($A$2:$A373,A373)=1,1,0)</f>
        <v>1</v>
      </c>
    </row>
    <row r="374" customFormat="false" ht="15" hidden="false" customHeight="false" outlineLevel="0" collapsed="false">
      <c r="A374" s="31" t="s">
        <v>444</v>
      </c>
      <c r="B374" s="36" t="n">
        <v>45783</v>
      </c>
      <c r="C374" s="49" t="n">
        <f aca="false">DATE(YEAR(B374),MONTH(B374),1)</f>
        <v>45778</v>
      </c>
      <c r="D374" s="31" t="s">
        <v>210</v>
      </c>
      <c r="E374" s="31" t="s">
        <v>41</v>
      </c>
      <c r="F374" s="31" t="s">
        <v>48</v>
      </c>
      <c r="G374" s="31" t="s">
        <v>60</v>
      </c>
      <c r="H374" s="31" t="s">
        <v>171</v>
      </c>
      <c r="I374" s="32" t="str">
        <f aca="false">INDEX(Productos!$B$2:$B$13,MATCH($H374,Productos!$A$2:$A$13,0))</f>
        <v>Tornillo DIN 7991 M8x30 avellanado inox A2</v>
      </c>
      <c r="J374" s="32" t="str">
        <f aca="false">INDEX(Productos!$C$2:$C$13,MATCH($H374,Productos!$A$2:$A$13,0))</f>
        <v>Inoxidable</v>
      </c>
      <c r="K374" s="31" t="s">
        <v>246</v>
      </c>
      <c r="L374" s="46" t="n">
        <v>10</v>
      </c>
      <c r="M374" s="50" t="n">
        <f aca="false">INDEX(Productos!$F$2:$F$13,MATCH($H374,Productos!$A$2:$A$13,0))</f>
        <v>88</v>
      </c>
      <c r="N374" s="51" t="n">
        <v>0.009</v>
      </c>
      <c r="O374" s="52" t="n">
        <f aca="false">M374*(1-N374)</f>
        <v>87.208</v>
      </c>
      <c r="P374" s="21" t="n">
        <f aca="false">L374*O374</f>
        <v>872.08</v>
      </c>
      <c r="Q374" s="50" t="n">
        <f aca="false">INDEX(Productos!$E$2:$E$13,MATCH($H374,Productos!$A$2:$A$13,0))*INDEX(Parametros!$B$26:$B$43,MATCH($C374,Parametros!$A$26:$A$43,0))</f>
        <v>47.895</v>
      </c>
      <c r="R374" s="21" t="n">
        <f aca="false">L374*Q374</f>
        <v>478.95</v>
      </c>
      <c r="S374" s="18" t="n">
        <f aca="false">L374*INDEX(Parametros!$B$20:$B$22,MATCH($E374,Parametros!$A$20:$A$22,0))</f>
        <v>8.5</v>
      </c>
      <c r="T374" s="18" t="n">
        <f aca="false">P374*INDEX(Parametros!$B$13:$B$16,MATCH($F374,Parametros!$A$13:$A$16,0))</f>
        <v>8.7208</v>
      </c>
      <c r="U374" s="21" t="n">
        <f aca="false">P374-R374-S374-T374</f>
        <v>375.9092</v>
      </c>
      <c r="V374" s="19" t="n">
        <f aca="false">IFERROR(U374/P374,0)</f>
        <v>0.431048986331529</v>
      </c>
      <c r="W374" s="48" t="n">
        <f aca="false">B374+INDEX(Parametros!$C$13:$C$16,MATCH($F374,Parametros!$A$13:$A$16,0))</f>
        <v>45783</v>
      </c>
      <c r="X374" s="31" t="s">
        <v>69</v>
      </c>
      <c r="Y374" s="53" t="n">
        <f aca="false">IF(COUNTIF($A$2:$A374,A374)=1,1,0)</f>
        <v>0</v>
      </c>
    </row>
    <row r="375" customFormat="false" ht="15" hidden="false" customHeight="false" outlineLevel="0" collapsed="false">
      <c r="A375" s="31" t="s">
        <v>445</v>
      </c>
      <c r="B375" s="36" t="n">
        <v>45783</v>
      </c>
      <c r="C375" s="49" t="n">
        <f aca="false">DATE(YEAR(B375),MONTH(B375),1)</f>
        <v>45778</v>
      </c>
      <c r="D375" s="31" t="s">
        <v>213</v>
      </c>
      <c r="E375" s="31" t="s">
        <v>42</v>
      </c>
      <c r="F375" s="31" t="s">
        <v>46</v>
      </c>
      <c r="G375" s="31" t="s">
        <v>61</v>
      </c>
      <c r="H375" s="31" t="s">
        <v>179</v>
      </c>
      <c r="I375" s="32" t="str">
        <f aca="false">INDEX(Productos!$B$2:$B$13,MATCH($H375,Productos!$A$2:$A$13,0))</f>
        <v>Autotaladrante DIN 7504 4,8x38 zincado</v>
      </c>
      <c r="J375" s="32" t="str">
        <f aca="false">INDEX(Productos!$C$2:$C$13,MATCH($H375,Productos!$A$2:$A$13,0))</f>
        <v>Autotaladrante</v>
      </c>
      <c r="K375" s="31" t="s">
        <v>246</v>
      </c>
      <c r="L375" s="46" t="n">
        <v>45</v>
      </c>
      <c r="M375" s="50" t="n">
        <f aca="false">INDEX(Productos!$F$2:$F$13,MATCH($H375,Productos!$A$2:$A$13,0))</f>
        <v>29.5</v>
      </c>
      <c r="N375" s="51" t="n">
        <v>0.153</v>
      </c>
      <c r="O375" s="52" t="n">
        <f aca="false">M375*(1-N375)</f>
        <v>24.9865</v>
      </c>
      <c r="P375" s="21" t="n">
        <f aca="false">L375*O375</f>
        <v>1124.3925</v>
      </c>
      <c r="Q375" s="50" t="n">
        <f aca="false">INDEX(Productos!$E$2:$E$13,MATCH($H375,Productos!$A$2:$A$13,0))*INDEX(Parametros!$B$26:$B$43,MATCH($C375,Parametros!$A$26:$A$43,0))</f>
        <v>15.656</v>
      </c>
      <c r="R375" s="21" t="n">
        <f aca="false">L375*Q375</f>
        <v>704.52</v>
      </c>
      <c r="S375" s="18" t="n">
        <f aca="false">L375*INDEX(Parametros!$B$20:$B$22,MATCH($E375,Parametros!$A$20:$A$22,0))</f>
        <v>108</v>
      </c>
      <c r="T375" s="18" t="n">
        <f aca="false">P375*INDEX(Parametros!$B$13:$B$16,MATCH($F375,Parametros!$A$13:$A$16,0))</f>
        <v>44.9757</v>
      </c>
      <c r="U375" s="21" t="n">
        <f aca="false">P375-R375-S375-T375</f>
        <v>266.8968</v>
      </c>
      <c r="V375" s="19" t="n">
        <f aca="false">IFERROR(U375/P375,0)</f>
        <v>0.237369779681028</v>
      </c>
      <c r="W375" s="48" t="n">
        <f aca="false">B375+INDEX(Parametros!$C$13:$C$16,MATCH($F375,Parametros!$A$13:$A$16,0))</f>
        <v>45858</v>
      </c>
      <c r="X375" s="31" t="s">
        <v>67</v>
      </c>
      <c r="Y375" s="53" t="n">
        <f aca="false">IF(COUNTIF($A$2:$A375,A375)=1,1,0)</f>
        <v>1</v>
      </c>
    </row>
    <row r="376" customFormat="false" ht="15" hidden="false" customHeight="false" outlineLevel="0" collapsed="false">
      <c r="A376" s="31" t="s">
        <v>445</v>
      </c>
      <c r="B376" s="36" t="n">
        <v>45783</v>
      </c>
      <c r="C376" s="49" t="n">
        <f aca="false">DATE(YEAR(B376),MONTH(B376),1)</f>
        <v>45778</v>
      </c>
      <c r="D376" s="31" t="s">
        <v>213</v>
      </c>
      <c r="E376" s="31" t="s">
        <v>42</v>
      </c>
      <c r="F376" s="31" t="s">
        <v>46</v>
      </c>
      <c r="G376" s="31" t="s">
        <v>61</v>
      </c>
      <c r="H376" s="31" t="s">
        <v>169</v>
      </c>
      <c r="I376" s="32" t="str">
        <f aca="false">INDEX(Productos!$B$2:$B$13,MATCH($H376,Productos!$A$2:$A$13,0))</f>
        <v>Tornillo DIN 912 M10x60 Allen inox A2</v>
      </c>
      <c r="J376" s="32" t="str">
        <f aca="false">INDEX(Productos!$C$2:$C$13,MATCH($H376,Productos!$A$2:$A$13,0))</f>
        <v>Inoxidable</v>
      </c>
      <c r="K376" s="31" t="s">
        <v>246</v>
      </c>
      <c r="L376" s="46" t="n">
        <v>282</v>
      </c>
      <c r="M376" s="50" t="n">
        <f aca="false">INDEX(Productos!$F$2:$F$13,MATCH($H376,Productos!$A$2:$A$13,0))</f>
        <v>79</v>
      </c>
      <c r="N376" s="51" t="n">
        <v>0.122</v>
      </c>
      <c r="O376" s="52" t="n">
        <f aca="false">M376*(1-N376)</f>
        <v>69.362</v>
      </c>
      <c r="P376" s="21" t="n">
        <f aca="false">L376*O376</f>
        <v>19560.084</v>
      </c>
      <c r="Q376" s="50" t="n">
        <f aca="false">INDEX(Productos!$E$2:$E$13,MATCH($H376,Productos!$A$2:$A$13,0))*INDEX(Parametros!$B$26:$B$43,MATCH($C376,Parametros!$A$26:$A$43,0))</f>
        <v>43.26</v>
      </c>
      <c r="R376" s="21" t="n">
        <f aca="false">L376*Q376</f>
        <v>12199.32</v>
      </c>
      <c r="S376" s="18" t="n">
        <f aca="false">L376*INDEX(Parametros!$B$20:$B$22,MATCH($E376,Parametros!$A$20:$A$22,0))</f>
        <v>676.8</v>
      </c>
      <c r="T376" s="18" t="n">
        <f aca="false">P376*INDEX(Parametros!$B$13:$B$16,MATCH($F376,Parametros!$A$13:$A$16,0))</f>
        <v>782.40336</v>
      </c>
      <c r="U376" s="21" t="n">
        <f aca="false">P376-R376-S376-T376</f>
        <v>5901.56064</v>
      </c>
      <c r="V376" s="19" t="n">
        <f aca="false">IFERROR(U376/P376,0)</f>
        <v>0.301714483434734</v>
      </c>
      <c r="W376" s="48" t="n">
        <f aca="false">B376+INDEX(Parametros!$C$13:$C$16,MATCH($F376,Parametros!$A$13:$A$16,0))</f>
        <v>45858</v>
      </c>
      <c r="X376" s="31" t="s">
        <v>67</v>
      </c>
      <c r="Y376" s="53" t="n">
        <f aca="false">IF(COUNTIF($A$2:$A376,A376)=1,1,0)</f>
        <v>0</v>
      </c>
    </row>
    <row r="377" customFormat="false" ht="15" hidden="false" customHeight="false" outlineLevel="0" collapsed="false">
      <c r="A377" s="31" t="s">
        <v>446</v>
      </c>
      <c r="B377" s="36" t="n">
        <v>45783</v>
      </c>
      <c r="C377" s="49" t="n">
        <f aca="false">DATE(YEAR(B377),MONTH(B377),1)</f>
        <v>45778</v>
      </c>
      <c r="D377" s="31" t="s">
        <v>208</v>
      </c>
      <c r="E377" s="31" t="s">
        <v>41</v>
      </c>
      <c r="F377" s="31" t="s">
        <v>46</v>
      </c>
      <c r="G377" s="31" t="s">
        <v>58</v>
      </c>
      <c r="H377" s="31" t="s">
        <v>185</v>
      </c>
      <c r="I377" s="32" t="str">
        <f aca="false">INDEX(Productos!$B$2:$B$13,MATCH($H377,Productos!$A$2:$A$13,0))</f>
        <v>Varilla roscada M10 x 1 m zincada</v>
      </c>
      <c r="J377" s="32" t="str">
        <f aca="false">INDEX(Productos!$C$2:$C$13,MATCH($H377,Productos!$A$2:$A$13,0))</f>
        <v>Especial</v>
      </c>
      <c r="K377" s="31" t="s">
        <v>246</v>
      </c>
      <c r="L377" s="46" t="n">
        <v>144</v>
      </c>
      <c r="M377" s="50" t="n">
        <f aca="false">INDEX(Productos!$F$2:$F$13,MATCH($H377,Productos!$A$2:$A$13,0))</f>
        <v>54</v>
      </c>
      <c r="N377" s="51" t="n">
        <v>0.143</v>
      </c>
      <c r="O377" s="52" t="n">
        <f aca="false">M377*(1-N377)</f>
        <v>46.278</v>
      </c>
      <c r="P377" s="21" t="n">
        <f aca="false">L377*O377</f>
        <v>6664.032</v>
      </c>
      <c r="Q377" s="50" t="n">
        <f aca="false">INDEX(Productos!$E$2:$E$13,MATCH($H377,Productos!$A$2:$A$13,0))*INDEX(Parametros!$B$26:$B$43,MATCH($C377,Parametros!$A$26:$A$43,0))</f>
        <v>29.355</v>
      </c>
      <c r="R377" s="21" t="n">
        <f aca="false">L377*Q377</f>
        <v>4227.12</v>
      </c>
      <c r="S377" s="18" t="n">
        <f aca="false">L377*INDEX(Parametros!$B$20:$B$22,MATCH($E377,Parametros!$A$20:$A$22,0))</f>
        <v>122.4</v>
      </c>
      <c r="T377" s="18" t="n">
        <f aca="false">P377*INDEX(Parametros!$B$13:$B$16,MATCH($F377,Parametros!$A$13:$A$16,0))</f>
        <v>266.56128</v>
      </c>
      <c r="U377" s="21" t="n">
        <f aca="false">P377-R377-S377-T377</f>
        <v>2047.95072</v>
      </c>
      <c r="V377" s="19" t="n">
        <f aca="false">IFERROR(U377/P377,0)</f>
        <v>0.307314058515926</v>
      </c>
      <c r="W377" s="48" t="n">
        <f aca="false">B377+INDEX(Parametros!$C$13:$C$16,MATCH($F377,Parametros!$A$13:$A$16,0))</f>
        <v>45858</v>
      </c>
      <c r="X377" s="31" t="s">
        <v>67</v>
      </c>
      <c r="Y377" s="53" t="n">
        <f aca="false">IF(COUNTIF($A$2:$A377,A377)=1,1,0)</f>
        <v>1</v>
      </c>
    </row>
    <row r="378" customFormat="false" ht="15" hidden="false" customHeight="false" outlineLevel="0" collapsed="false">
      <c r="A378" s="31" t="s">
        <v>446</v>
      </c>
      <c r="B378" s="36" t="n">
        <v>45783</v>
      </c>
      <c r="C378" s="49" t="n">
        <f aca="false">DATE(YEAR(B378),MONTH(B378),1)</f>
        <v>45778</v>
      </c>
      <c r="D378" s="31" t="s">
        <v>208</v>
      </c>
      <c r="E378" s="31" t="s">
        <v>41</v>
      </c>
      <c r="F378" s="31" t="s">
        <v>46</v>
      </c>
      <c r="G378" s="31" t="s">
        <v>58</v>
      </c>
      <c r="H378" s="31" t="s">
        <v>177</v>
      </c>
      <c r="I378" s="32" t="str">
        <f aca="false">INDEX(Productos!$B$2:$B$13,MATCH($H378,Productos!$A$2:$A$13,0))</f>
        <v>Tirafondo madera 6x100 cabeza plana Torx</v>
      </c>
      <c r="J378" s="32" t="str">
        <f aca="false">INDEX(Productos!$C$2:$C$13,MATCH($H378,Productos!$A$2:$A$13,0))</f>
        <v>Madera</v>
      </c>
      <c r="K378" s="31" t="s">
        <v>246</v>
      </c>
      <c r="L378" s="46" t="n">
        <v>139</v>
      </c>
      <c r="M378" s="50" t="n">
        <f aca="false">INDEX(Productos!$F$2:$F$13,MATCH($H378,Productos!$A$2:$A$13,0))</f>
        <v>34</v>
      </c>
      <c r="N378" s="51" t="n">
        <v>0.118</v>
      </c>
      <c r="O378" s="52" t="n">
        <f aca="false">M378*(1-N378)</f>
        <v>29.988</v>
      </c>
      <c r="P378" s="21" t="n">
        <f aca="false">L378*O378</f>
        <v>4168.332</v>
      </c>
      <c r="Q378" s="50" t="n">
        <f aca="false">INDEX(Productos!$E$2:$E$13,MATCH($H378,Productos!$A$2:$A$13,0))*INDEX(Parametros!$B$26:$B$43,MATCH($C378,Parametros!$A$26:$A$43,0))</f>
        <v>18.334</v>
      </c>
      <c r="R378" s="21" t="n">
        <f aca="false">L378*Q378</f>
        <v>2548.426</v>
      </c>
      <c r="S378" s="18" t="n">
        <f aca="false">L378*INDEX(Parametros!$B$20:$B$22,MATCH($E378,Parametros!$A$20:$A$22,0))</f>
        <v>118.15</v>
      </c>
      <c r="T378" s="18" t="n">
        <f aca="false">P378*INDEX(Parametros!$B$13:$B$16,MATCH($F378,Parametros!$A$13:$A$16,0))</f>
        <v>166.73328</v>
      </c>
      <c r="U378" s="21" t="n">
        <f aca="false">P378-R378-S378-T378</f>
        <v>1335.02272</v>
      </c>
      <c r="V378" s="19" t="n">
        <f aca="false">IFERROR(U378/P378,0)</f>
        <v>0.320277444311058</v>
      </c>
      <c r="W378" s="48" t="n">
        <f aca="false">B378+INDEX(Parametros!$C$13:$C$16,MATCH($F378,Parametros!$A$13:$A$16,0))</f>
        <v>45858</v>
      </c>
      <c r="X378" s="31" t="s">
        <v>67</v>
      </c>
      <c r="Y378" s="53" t="n">
        <f aca="false">IF(COUNTIF($A$2:$A378,A378)=1,1,0)</f>
        <v>0</v>
      </c>
    </row>
    <row r="379" customFormat="false" ht="15" hidden="false" customHeight="false" outlineLevel="0" collapsed="false">
      <c r="A379" s="31" t="s">
        <v>446</v>
      </c>
      <c r="B379" s="36" t="n">
        <v>45783</v>
      </c>
      <c r="C379" s="49" t="n">
        <f aca="false">DATE(YEAR(B379),MONTH(B379),1)</f>
        <v>45778</v>
      </c>
      <c r="D379" s="31" t="s">
        <v>208</v>
      </c>
      <c r="E379" s="31" t="s">
        <v>41</v>
      </c>
      <c r="F379" s="31" t="s">
        <v>46</v>
      </c>
      <c r="G379" s="31" t="s">
        <v>58</v>
      </c>
      <c r="H379" s="31" t="s">
        <v>181</v>
      </c>
      <c r="I379" s="32" t="str">
        <f aca="false">INDEX(Productos!$B$2:$B$13,MATCH($H379,Productos!$A$2:$A$13,0))</f>
        <v>Autotaladrante 5,5x55 punta broca</v>
      </c>
      <c r="J379" s="32" t="str">
        <f aca="false">INDEX(Productos!$C$2:$C$13,MATCH($H379,Productos!$A$2:$A$13,0))</f>
        <v>Autotaladrante</v>
      </c>
      <c r="K379" s="31" t="s">
        <v>246</v>
      </c>
      <c r="L379" s="46" t="n">
        <v>298</v>
      </c>
      <c r="M379" s="50" t="n">
        <f aca="false">INDEX(Productos!$F$2:$F$13,MATCH($H379,Productos!$A$2:$A$13,0))</f>
        <v>39</v>
      </c>
      <c r="N379" s="51" t="n">
        <v>0.174</v>
      </c>
      <c r="O379" s="52" t="n">
        <f aca="false">M379*(1-N379)</f>
        <v>32.214</v>
      </c>
      <c r="P379" s="21" t="n">
        <f aca="false">L379*O379</f>
        <v>9599.772</v>
      </c>
      <c r="Q379" s="50" t="n">
        <f aca="false">INDEX(Productos!$E$2:$E$13,MATCH($H379,Productos!$A$2:$A$13,0))*INDEX(Parametros!$B$26:$B$43,MATCH($C379,Parametros!$A$26:$A$43,0))</f>
        <v>20.909</v>
      </c>
      <c r="R379" s="21" t="n">
        <f aca="false">L379*Q379</f>
        <v>6230.882</v>
      </c>
      <c r="S379" s="18" t="n">
        <f aca="false">L379*INDEX(Parametros!$B$20:$B$22,MATCH($E379,Parametros!$A$20:$A$22,0))</f>
        <v>253.3</v>
      </c>
      <c r="T379" s="18" t="n">
        <f aca="false">P379*INDEX(Parametros!$B$13:$B$16,MATCH($F379,Parametros!$A$13:$A$16,0))</f>
        <v>383.99088</v>
      </c>
      <c r="U379" s="21" t="n">
        <f aca="false">P379-R379-S379-T379</f>
        <v>2731.59912</v>
      </c>
      <c r="V379" s="19" t="n">
        <f aca="false">IFERROR(U379/P379,0)</f>
        <v>0.284548333022909</v>
      </c>
      <c r="W379" s="48" t="n">
        <f aca="false">B379+INDEX(Parametros!$C$13:$C$16,MATCH($F379,Parametros!$A$13:$A$16,0))</f>
        <v>45858</v>
      </c>
      <c r="X379" s="31" t="s">
        <v>67</v>
      </c>
      <c r="Y379" s="53" t="n">
        <f aca="false">IF(COUNTIF($A$2:$A379,A379)=1,1,0)</f>
        <v>0</v>
      </c>
    </row>
    <row r="380" customFormat="false" ht="15" hidden="false" customHeight="false" outlineLevel="0" collapsed="false">
      <c r="A380" s="31" t="s">
        <v>447</v>
      </c>
      <c r="B380" s="36" t="n">
        <v>45784</v>
      </c>
      <c r="C380" s="49" t="n">
        <f aca="false">DATE(YEAR(B380),MONTH(B380),1)</f>
        <v>45778</v>
      </c>
      <c r="D380" s="31" t="s">
        <v>203</v>
      </c>
      <c r="E380" s="31" t="s">
        <v>41</v>
      </c>
      <c r="F380" s="31" t="s">
        <v>46</v>
      </c>
      <c r="G380" s="31" t="s">
        <v>58</v>
      </c>
      <c r="H380" s="31" t="s">
        <v>173</v>
      </c>
      <c r="I380" s="32" t="str">
        <f aca="false">INDEX(Productos!$B$2:$B$13,MATCH($H380,Productos!$A$2:$A$13,0))</f>
        <v>Tornillo DIN 933 M12x70 clase 8.8</v>
      </c>
      <c r="J380" s="32" t="str">
        <f aca="false">INDEX(Productos!$C$2:$C$13,MATCH($H380,Productos!$A$2:$A$13,0))</f>
        <v>Métrica</v>
      </c>
      <c r="K380" s="31" t="s">
        <v>246</v>
      </c>
      <c r="L380" s="46" t="n">
        <v>106</v>
      </c>
      <c r="M380" s="50" t="n">
        <f aca="false">INDEX(Productos!$F$2:$F$13,MATCH($H380,Productos!$A$2:$A$13,0))</f>
        <v>64</v>
      </c>
      <c r="N380" s="51" t="n">
        <v>0.167</v>
      </c>
      <c r="O380" s="52" t="n">
        <f aca="false">M380*(1-N380)</f>
        <v>53.312</v>
      </c>
      <c r="P380" s="21" t="n">
        <f aca="false">L380*O380</f>
        <v>5651.072</v>
      </c>
      <c r="Q380" s="50" t="n">
        <f aca="false">INDEX(Productos!$E$2:$E$13,MATCH($H380,Productos!$A$2:$A$13,0))*INDEX(Parametros!$B$26:$B$43,MATCH($C380,Parametros!$A$26:$A$43,0))</f>
        <v>34.505</v>
      </c>
      <c r="R380" s="21" t="n">
        <f aca="false">L380*Q380</f>
        <v>3657.53</v>
      </c>
      <c r="S380" s="18" t="n">
        <f aca="false">L380*INDEX(Parametros!$B$20:$B$22,MATCH($E380,Parametros!$A$20:$A$22,0))</f>
        <v>90.1</v>
      </c>
      <c r="T380" s="18" t="n">
        <f aca="false">P380*INDEX(Parametros!$B$13:$B$16,MATCH($F380,Parametros!$A$13:$A$16,0))</f>
        <v>226.04288</v>
      </c>
      <c r="U380" s="21" t="n">
        <f aca="false">P380-R380-S380-T380</f>
        <v>1677.39912</v>
      </c>
      <c r="V380" s="19" t="n">
        <f aca="false">IFERROR(U380/P380,0)</f>
        <v>0.296828481392557</v>
      </c>
      <c r="W380" s="48" t="n">
        <f aca="false">B380+INDEX(Parametros!$C$13:$C$16,MATCH($F380,Parametros!$A$13:$A$16,0))</f>
        <v>45859</v>
      </c>
      <c r="X380" s="31" t="s">
        <v>67</v>
      </c>
      <c r="Y380" s="53" t="n">
        <f aca="false">IF(COUNTIF($A$2:$A380,A380)=1,1,0)</f>
        <v>1</v>
      </c>
    </row>
    <row r="381" customFormat="false" ht="15" hidden="false" customHeight="false" outlineLevel="0" collapsed="false">
      <c r="A381" s="31" t="s">
        <v>447</v>
      </c>
      <c r="B381" s="36" t="n">
        <v>45784</v>
      </c>
      <c r="C381" s="49" t="n">
        <f aca="false">DATE(YEAR(B381),MONTH(B381),1)</f>
        <v>45778</v>
      </c>
      <c r="D381" s="31" t="s">
        <v>203</v>
      </c>
      <c r="E381" s="31" t="s">
        <v>41</v>
      </c>
      <c r="F381" s="31" t="s">
        <v>46</v>
      </c>
      <c r="G381" s="31" t="s">
        <v>58</v>
      </c>
      <c r="H381" s="31" t="s">
        <v>183</v>
      </c>
      <c r="I381" s="32" t="str">
        <f aca="false">INDEX(Productos!$B$2:$B$13,MATCH($H381,Productos!$A$2:$A$13,0))</f>
        <v>Tornillo estructural M16x90 clase 10.9</v>
      </c>
      <c r="J381" s="32" t="str">
        <f aca="false">INDEX(Productos!$C$2:$C$13,MATCH($H381,Productos!$A$2:$A$13,0))</f>
        <v>Especial</v>
      </c>
      <c r="K381" s="31" t="s">
        <v>246</v>
      </c>
      <c r="L381" s="46" t="n">
        <v>55</v>
      </c>
      <c r="M381" s="50" t="n">
        <f aca="false">INDEX(Productos!$F$2:$F$13,MATCH($H381,Productos!$A$2:$A$13,0))</f>
        <v>112</v>
      </c>
      <c r="N381" s="51" t="n">
        <v>0.082</v>
      </c>
      <c r="O381" s="52" t="n">
        <f aca="false">M381*(1-N381)</f>
        <v>102.816</v>
      </c>
      <c r="P381" s="21" t="n">
        <f aca="false">L381*O381</f>
        <v>5654.88</v>
      </c>
      <c r="Q381" s="50" t="n">
        <f aca="false">INDEX(Productos!$E$2:$E$13,MATCH($H381,Productos!$A$2:$A$13,0))*INDEX(Parametros!$B$26:$B$43,MATCH($C381,Parametros!$A$26:$A$43,0))</f>
        <v>61.8</v>
      </c>
      <c r="R381" s="21" t="n">
        <f aca="false">L381*Q381</f>
        <v>3399</v>
      </c>
      <c r="S381" s="18" t="n">
        <f aca="false">L381*INDEX(Parametros!$B$20:$B$22,MATCH($E381,Parametros!$A$20:$A$22,0))</f>
        <v>46.75</v>
      </c>
      <c r="T381" s="18" t="n">
        <f aca="false">P381*INDEX(Parametros!$B$13:$B$16,MATCH($F381,Parametros!$A$13:$A$16,0))</f>
        <v>226.1952</v>
      </c>
      <c r="U381" s="21" t="n">
        <f aca="false">P381-R381-S381-T381</f>
        <v>1982.9348</v>
      </c>
      <c r="V381" s="19" t="n">
        <f aca="false">IFERROR(U381/P381,0)</f>
        <v>0.350659041394335</v>
      </c>
      <c r="W381" s="48" t="n">
        <f aca="false">B381+INDEX(Parametros!$C$13:$C$16,MATCH($F381,Parametros!$A$13:$A$16,0))</f>
        <v>45859</v>
      </c>
      <c r="X381" s="31" t="s">
        <v>67</v>
      </c>
      <c r="Y381" s="53" t="n">
        <f aca="false">IF(COUNTIF($A$2:$A381,A381)=1,1,0)</f>
        <v>0</v>
      </c>
    </row>
    <row r="382" customFormat="false" ht="15" hidden="false" customHeight="false" outlineLevel="0" collapsed="false">
      <c r="A382" s="31" t="s">
        <v>447</v>
      </c>
      <c r="B382" s="36" t="n">
        <v>45784</v>
      </c>
      <c r="C382" s="49" t="n">
        <f aca="false">DATE(YEAR(B382),MONTH(B382),1)</f>
        <v>45778</v>
      </c>
      <c r="D382" s="31" t="s">
        <v>203</v>
      </c>
      <c r="E382" s="31" t="s">
        <v>41</v>
      </c>
      <c r="F382" s="31" t="s">
        <v>46</v>
      </c>
      <c r="G382" s="31" t="s">
        <v>58</v>
      </c>
      <c r="H382" s="31" t="s">
        <v>185</v>
      </c>
      <c r="I382" s="32" t="str">
        <f aca="false">INDEX(Productos!$B$2:$B$13,MATCH($H382,Productos!$A$2:$A$13,0))</f>
        <v>Varilla roscada M10 x 1 m zincada</v>
      </c>
      <c r="J382" s="32" t="str">
        <f aca="false">INDEX(Productos!$C$2:$C$13,MATCH($H382,Productos!$A$2:$A$13,0))</f>
        <v>Especial</v>
      </c>
      <c r="K382" s="31" t="s">
        <v>246</v>
      </c>
      <c r="L382" s="46" t="n">
        <v>74</v>
      </c>
      <c r="M382" s="50" t="n">
        <f aca="false">INDEX(Productos!$F$2:$F$13,MATCH($H382,Productos!$A$2:$A$13,0))</f>
        <v>54</v>
      </c>
      <c r="N382" s="51" t="n">
        <v>0.139</v>
      </c>
      <c r="O382" s="52" t="n">
        <f aca="false">M382*(1-N382)</f>
        <v>46.494</v>
      </c>
      <c r="P382" s="21" t="n">
        <f aca="false">L382*O382</f>
        <v>3440.556</v>
      </c>
      <c r="Q382" s="50" t="n">
        <f aca="false">INDEX(Productos!$E$2:$E$13,MATCH($H382,Productos!$A$2:$A$13,0))*INDEX(Parametros!$B$26:$B$43,MATCH($C382,Parametros!$A$26:$A$43,0))</f>
        <v>29.355</v>
      </c>
      <c r="R382" s="21" t="n">
        <f aca="false">L382*Q382</f>
        <v>2172.27</v>
      </c>
      <c r="S382" s="18" t="n">
        <f aca="false">L382*INDEX(Parametros!$B$20:$B$22,MATCH($E382,Parametros!$A$20:$A$22,0))</f>
        <v>62.9</v>
      </c>
      <c r="T382" s="18" t="n">
        <f aca="false">P382*INDEX(Parametros!$B$13:$B$16,MATCH($F382,Parametros!$A$13:$A$16,0))</f>
        <v>137.62224</v>
      </c>
      <c r="U382" s="21" t="n">
        <f aca="false">P382-R382-S382-T382</f>
        <v>1067.76376</v>
      </c>
      <c r="V382" s="19" t="n">
        <f aca="false">IFERROR(U382/P382,0)</f>
        <v>0.31034628124059</v>
      </c>
      <c r="W382" s="48" t="n">
        <f aca="false">B382+INDEX(Parametros!$C$13:$C$16,MATCH($F382,Parametros!$A$13:$A$16,0))</f>
        <v>45859</v>
      </c>
      <c r="X382" s="31" t="s">
        <v>67</v>
      </c>
      <c r="Y382" s="53" t="n">
        <f aca="false">IF(COUNTIF($A$2:$A382,A382)=1,1,0)</f>
        <v>0</v>
      </c>
    </row>
    <row r="383" customFormat="false" ht="15" hidden="false" customHeight="false" outlineLevel="0" collapsed="false">
      <c r="A383" s="31" t="s">
        <v>448</v>
      </c>
      <c r="B383" s="36" t="n">
        <v>45784</v>
      </c>
      <c r="C383" s="49" t="n">
        <f aca="false">DATE(YEAR(B383),MONTH(B383),1)</f>
        <v>45778</v>
      </c>
      <c r="D383" s="31" t="s">
        <v>228</v>
      </c>
      <c r="E383" s="31" t="s">
        <v>43</v>
      </c>
      <c r="F383" s="31" t="s">
        <v>47</v>
      </c>
      <c r="G383" s="31" t="s">
        <v>59</v>
      </c>
      <c r="H383" s="31" t="s">
        <v>165</v>
      </c>
      <c r="I383" s="32" t="str">
        <f aca="false">INDEX(Productos!$B$2:$B$13,MATCH($H383,Productos!$A$2:$A$13,0))</f>
        <v>Tornillo DIN 933 M8x40 rosca completa zincado</v>
      </c>
      <c r="J383" s="32" t="str">
        <f aca="false">INDEX(Productos!$C$2:$C$13,MATCH($H383,Productos!$A$2:$A$13,0))</f>
        <v>Métrica</v>
      </c>
      <c r="K383" s="31" t="s">
        <v>246</v>
      </c>
      <c r="L383" s="46" t="n">
        <v>29</v>
      </c>
      <c r="M383" s="50" t="n">
        <f aca="false">INDEX(Productos!$F$2:$F$13,MATCH($H383,Productos!$A$2:$A$13,0))</f>
        <v>37.5</v>
      </c>
      <c r="N383" s="51" t="n">
        <v>0.062</v>
      </c>
      <c r="O383" s="52" t="n">
        <f aca="false">M383*(1-N383)</f>
        <v>35.175</v>
      </c>
      <c r="P383" s="21" t="n">
        <f aca="false">L383*O383</f>
        <v>1020.075</v>
      </c>
      <c r="Q383" s="50" t="n">
        <f aca="false">INDEX(Productos!$E$2:$E$13,MATCH($H383,Productos!$A$2:$A$13,0))*INDEX(Parametros!$B$26:$B$43,MATCH($C383,Parametros!$A$26:$A$43,0))</f>
        <v>19.982</v>
      </c>
      <c r="R383" s="21" t="n">
        <f aca="false">L383*Q383</f>
        <v>579.478</v>
      </c>
      <c r="S383" s="18" t="n">
        <f aca="false">L383*INDEX(Parametros!$B$20:$B$22,MATCH($E383,Parametros!$A$20:$A$22,0))</f>
        <v>55.1</v>
      </c>
      <c r="T383" s="18" t="n">
        <f aca="false">P383*INDEX(Parametros!$B$13:$B$16,MATCH($F383,Parametros!$A$13:$A$16,0))</f>
        <v>35.702625</v>
      </c>
      <c r="U383" s="21" t="n">
        <f aca="false">P383-R383-S383-T383</f>
        <v>349.794375</v>
      </c>
      <c r="V383" s="19" t="n">
        <f aca="false">IFERROR(U383/P383,0)</f>
        <v>0.342910447761194</v>
      </c>
      <c r="W383" s="48" t="n">
        <f aca="false">B383+INDEX(Parametros!$C$13:$C$16,MATCH($F383,Parametros!$A$13:$A$16,0))</f>
        <v>45829</v>
      </c>
      <c r="X383" s="31" t="s">
        <v>67</v>
      </c>
      <c r="Y383" s="53" t="n">
        <f aca="false">IF(COUNTIF($A$2:$A383,A383)=1,1,0)</f>
        <v>1</v>
      </c>
    </row>
    <row r="384" customFormat="false" ht="15" hidden="false" customHeight="false" outlineLevel="0" collapsed="false">
      <c r="A384" s="31" t="s">
        <v>449</v>
      </c>
      <c r="B384" s="36" t="n">
        <v>45785</v>
      </c>
      <c r="C384" s="49" t="n">
        <f aca="false">DATE(YEAR(B384),MONTH(B384),1)</f>
        <v>45778</v>
      </c>
      <c r="D384" s="31" t="s">
        <v>212</v>
      </c>
      <c r="E384" s="31" t="s">
        <v>42</v>
      </c>
      <c r="F384" s="31" t="s">
        <v>45</v>
      </c>
      <c r="G384" s="31" t="s">
        <v>61</v>
      </c>
      <c r="H384" s="31" t="s">
        <v>171</v>
      </c>
      <c r="I384" s="32" t="str">
        <f aca="false">INDEX(Productos!$B$2:$B$13,MATCH($H384,Productos!$A$2:$A$13,0))</f>
        <v>Tornillo DIN 7991 M8x30 avellanado inox A2</v>
      </c>
      <c r="J384" s="32" t="str">
        <f aca="false">INDEX(Productos!$C$2:$C$13,MATCH($H384,Productos!$A$2:$A$13,0))</f>
        <v>Inoxidable</v>
      </c>
      <c r="K384" s="31" t="s">
        <v>246</v>
      </c>
      <c r="L384" s="46" t="n">
        <v>55</v>
      </c>
      <c r="M384" s="50" t="n">
        <f aca="false">INDEX(Productos!$F$2:$F$13,MATCH($H384,Productos!$A$2:$A$13,0))</f>
        <v>88</v>
      </c>
      <c r="N384" s="51" t="n">
        <v>0.174</v>
      </c>
      <c r="O384" s="52" t="n">
        <f aca="false">M384*(1-N384)</f>
        <v>72.688</v>
      </c>
      <c r="P384" s="21" t="n">
        <f aca="false">L384*O384</f>
        <v>3997.84</v>
      </c>
      <c r="Q384" s="50" t="n">
        <f aca="false">INDEX(Productos!$E$2:$E$13,MATCH($H384,Productos!$A$2:$A$13,0))*INDEX(Parametros!$B$26:$B$43,MATCH($C384,Parametros!$A$26:$A$43,0))</f>
        <v>47.895</v>
      </c>
      <c r="R384" s="21" t="n">
        <f aca="false">L384*Q384</f>
        <v>2634.225</v>
      </c>
      <c r="S384" s="18" t="n">
        <f aca="false">L384*INDEX(Parametros!$B$20:$B$22,MATCH($E384,Parametros!$A$20:$A$22,0))</f>
        <v>132</v>
      </c>
      <c r="T384" s="18" t="n">
        <f aca="false">P384*INDEX(Parametros!$B$13:$B$16,MATCH($F384,Parametros!$A$13:$A$16,0))</f>
        <v>119.9352</v>
      </c>
      <c r="U384" s="21" t="n">
        <f aca="false">P384-R384-S384-T384</f>
        <v>1111.6798</v>
      </c>
      <c r="V384" s="19" t="n">
        <f aca="false">IFERROR(U384/P384,0)</f>
        <v>0.278070107858243</v>
      </c>
      <c r="W384" s="48" t="n">
        <f aca="false">B384+INDEX(Parametros!$C$13:$C$16,MATCH($F384,Parametros!$A$13:$A$16,0))</f>
        <v>45845</v>
      </c>
      <c r="X384" s="31" t="s">
        <v>67</v>
      </c>
      <c r="Y384" s="53" t="n">
        <f aca="false">IF(COUNTIF($A$2:$A384,A384)=1,1,0)</f>
        <v>1</v>
      </c>
    </row>
    <row r="385" customFormat="false" ht="15" hidden="false" customHeight="false" outlineLevel="0" collapsed="false">
      <c r="A385" s="31" t="s">
        <v>450</v>
      </c>
      <c r="B385" s="36" t="n">
        <v>45786</v>
      </c>
      <c r="C385" s="49" t="n">
        <f aca="false">DATE(YEAR(B385),MONTH(B385),1)</f>
        <v>45778</v>
      </c>
      <c r="D385" s="31" t="s">
        <v>193</v>
      </c>
      <c r="E385" s="31" t="s">
        <v>41</v>
      </c>
      <c r="F385" s="31" t="s">
        <v>45</v>
      </c>
      <c r="G385" s="31" t="s">
        <v>62</v>
      </c>
      <c r="H385" s="31" t="s">
        <v>175</v>
      </c>
      <c r="I385" s="32" t="str">
        <f aca="false">INDEX(Productos!$B$2:$B$13,MATCH($H385,Productos!$A$2:$A$13,0))</f>
        <v>Tirafondo madera 5x60 cabeza plana Torx</v>
      </c>
      <c r="J385" s="32" t="str">
        <f aca="false">INDEX(Productos!$C$2:$C$13,MATCH($H385,Productos!$A$2:$A$13,0))</f>
        <v>Madera</v>
      </c>
      <c r="K385" s="31" t="s">
        <v>246</v>
      </c>
      <c r="L385" s="46" t="n">
        <v>310</v>
      </c>
      <c r="M385" s="50" t="n">
        <f aca="false">INDEX(Productos!$F$2:$F$13,MATCH($H385,Productos!$A$2:$A$13,0))</f>
        <v>26</v>
      </c>
      <c r="N385" s="51" t="n">
        <v>0.186</v>
      </c>
      <c r="O385" s="52" t="n">
        <f aca="false">M385*(1-N385)</f>
        <v>21.164</v>
      </c>
      <c r="P385" s="21" t="n">
        <f aca="false">L385*O385</f>
        <v>6560.84</v>
      </c>
      <c r="Q385" s="50" t="n">
        <f aca="false">INDEX(Productos!$E$2:$E$13,MATCH($H385,Productos!$A$2:$A$13,0))*INDEX(Parametros!$B$26:$B$43,MATCH($C385,Parametros!$A$26:$A$43,0))</f>
        <v>13.802</v>
      </c>
      <c r="R385" s="21" t="n">
        <f aca="false">L385*Q385</f>
        <v>4278.62</v>
      </c>
      <c r="S385" s="18" t="n">
        <f aca="false">L385*INDEX(Parametros!$B$20:$B$22,MATCH($E385,Parametros!$A$20:$A$22,0))</f>
        <v>263.5</v>
      </c>
      <c r="T385" s="18" t="n">
        <f aca="false">P385*INDEX(Parametros!$B$13:$B$16,MATCH($F385,Parametros!$A$13:$A$16,0))</f>
        <v>196.8252</v>
      </c>
      <c r="U385" s="21" t="n">
        <f aca="false">P385-R385-S385-T385</f>
        <v>1821.8948</v>
      </c>
      <c r="V385" s="19" t="n">
        <f aca="false">IFERROR(U385/P385,0)</f>
        <v>0.277692307692308</v>
      </c>
      <c r="W385" s="48" t="n">
        <f aca="false">B385+INDEX(Parametros!$C$13:$C$16,MATCH($F385,Parametros!$A$13:$A$16,0))</f>
        <v>45846</v>
      </c>
      <c r="X385" s="31" t="s">
        <v>67</v>
      </c>
      <c r="Y385" s="53" t="n">
        <f aca="false">IF(COUNTIF($A$2:$A385,A385)=1,1,0)</f>
        <v>1</v>
      </c>
    </row>
    <row r="386" customFormat="false" ht="15" hidden="false" customHeight="false" outlineLevel="0" collapsed="false">
      <c r="A386" s="31" t="s">
        <v>451</v>
      </c>
      <c r="B386" s="36" t="n">
        <v>45789</v>
      </c>
      <c r="C386" s="49" t="n">
        <f aca="false">DATE(YEAR(B386),MONTH(B386),1)</f>
        <v>45778</v>
      </c>
      <c r="D386" s="31" t="s">
        <v>192</v>
      </c>
      <c r="E386" s="31" t="s">
        <v>41</v>
      </c>
      <c r="F386" s="31" t="s">
        <v>45</v>
      </c>
      <c r="G386" s="31" t="s">
        <v>58</v>
      </c>
      <c r="H386" s="31" t="s">
        <v>185</v>
      </c>
      <c r="I386" s="32" t="str">
        <f aca="false">INDEX(Productos!$B$2:$B$13,MATCH($H386,Productos!$A$2:$A$13,0))</f>
        <v>Varilla roscada M10 x 1 m zincada</v>
      </c>
      <c r="J386" s="32" t="str">
        <f aca="false">INDEX(Productos!$C$2:$C$13,MATCH($H386,Productos!$A$2:$A$13,0))</f>
        <v>Especial</v>
      </c>
      <c r="K386" s="31" t="s">
        <v>246</v>
      </c>
      <c r="L386" s="46" t="n">
        <v>36</v>
      </c>
      <c r="M386" s="50" t="n">
        <f aca="false">INDEX(Productos!$F$2:$F$13,MATCH($H386,Productos!$A$2:$A$13,0))</f>
        <v>54</v>
      </c>
      <c r="N386" s="51" t="n">
        <v>0.21</v>
      </c>
      <c r="O386" s="52" t="n">
        <f aca="false">M386*(1-N386)</f>
        <v>42.66</v>
      </c>
      <c r="P386" s="21" t="n">
        <f aca="false">L386*O386</f>
        <v>1535.76</v>
      </c>
      <c r="Q386" s="50" t="n">
        <f aca="false">INDEX(Productos!$E$2:$E$13,MATCH($H386,Productos!$A$2:$A$13,0))*INDEX(Parametros!$B$26:$B$43,MATCH($C386,Parametros!$A$26:$A$43,0))</f>
        <v>29.355</v>
      </c>
      <c r="R386" s="21" t="n">
        <f aca="false">L386*Q386</f>
        <v>1056.78</v>
      </c>
      <c r="S386" s="18" t="n">
        <f aca="false">L386*INDEX(Parametros!$B$20:$B$22,MATCH($E386,Parametros!$A$20:$A$22,0))</f>
        <v>30.6</v>
      </c>
      <c r="T386" s="18" t="n">
        <f aca="false">P386*INDEX(Parametros!$B$13:$B$16,MATCH($F386,Parametros!$A$13:$A$16,0))</f>
        <v>46.0728</v>
      </c>
      <c r="U386" s="21" t="n">
        <f aca="false">P386-R386-S386-T386</f>
        <v>402.3072</v>
      </c>
      <c r="V386" s="19" t="n">
        <f aca="false">IFERROR(U386/P386,0)</f>
        <v>0.261959681200188</v>
      </c>
      <c r="W386" s="48" t="n">
        <f aca="false">B386+INDEX(Parametros!$C$13:$C$16,MATCH($F386,Parametros!$A$13:$A$16,0))</f>
        <v>45849</v>
      </c>
      <c r="X386" s="31" t="s">
        <v>67</v>
      </c>
      <c r="Y386" s="53" t="n">
        <f aca="false">IF(COUNTIF($A$2:$A386,A386)=1,1,0)</f>
        <v>1</v>
      </c>
    </row>
    <row r="387" customFormat="false" ht="15" hidden="false" customHeight="false" outlineLevel="0" collapsed="false">
      <c r="A387" s="31" t="s">
        <v>451</v>
      </c>
      <c r="B387" s="36" t="n">
        <v>45789</v>
      </c>
      <c r="C387" s="49" t="n">
        <f aca="false">DATE(YEAR(B387),MONTH(B387),1)</f>
        <v>45778</v>
      </c>
      <c r="D387" s="31" t="s">
        <v>192</v>
      </c>
      <c r="E387" s="31" t="s">
        <v>41</v>
      </c>
      <c r="F387" s="31" t="s">
        <v>45</v>
      </c>
      <c r="G387" s="31" t="s">
        <v>58</v>
      </c>
      <c r="H387" s="31" t="s">
        <v>173</v>
      </c>
      <c r="I387" s="32" t="str">
        <f aca="false">INDEX(Productos!$B$2:$B$13,MATCH($H387,Productos!$A$2:$A$13,0))</f>
        <v>Tornillo DIN 933 M12x70 clase 8.8</v>
      </c>
      <c r="J387" s="32" t="str">
        <f aca="false">INDEX(Productos!$C$2:$C$13,MATCH($H387,Productos!$A$2:$A$13,0))</f>
        <v>Métrica</v>
      </c>
      <c r="K387" s="31" t="s">
        <v>246</v>
      </c>
      <c r="L387" s="46" t="n">
        <v>52</v>
      </c>
      <c r="M387" s="50" t="n">
        <f aca="false">INDEX(Productos!$F$2:$F$13,MATCH($H387,Productos!$A$2:$A$13,0))</f>
        <v>64</v>
      </c>
      <c r="N387" s="51" t="n">
        <v>0.205</v>
      </c>
      <c r="O387" s="52" t="n">
        <f aca="false">M387*(1-N387)</f>
        <v>50.88</v>
      </c>
      <c r="P387" s="21" t="n">
        <f aca="false">L387*O387</f>
        <v>2645.76</v>
      </c>
      <c r="Q387" s="50" t="n">
        <f aca="false">INDEX(Productos!$E$2:$E$13,MATCH($H387,Productos!$A$2:$A$13,0))*INDEX(Parametros!$B$26:$B$43,MATCH($C387,Parametros!$A$26:$A$43,0))</f>
        <v>34.505</v>
      </c>
      <c r="R387" s="21" t="n">
        <f aca="false">L387*Q387</f>
        <v>1794.26</v>
      </c>
      <c r="S387" s="18" t="n">
        <f aca="false">L387*INDEX(Parametros!$B$20:$B$22,MATCH($E387,Parametros!$A$20:$A$22,0))</f>
        <v>44.2</v>
      </c>
      <c r="T387" s="18" t="n">
        <f aca="false">P387*INDEX(Parametros!$B$13:$B$16,MATCH($F387,Parametros!$A$13:$A$16,0))</f>
        <v>79.3728</v>
      </c>
      <c r="U387" s="21" t="n">
        <f aca="false">P387-R387-S387-T387</f>
        <v>727.9272</v>
      </c>
      <c r="V387" s="19" t="n">
        <f aca="false">IFERROR(U387/P387,0)</f>
        <v>0.275129716981132</v>
      </c>
      <c r="W387" s="48" t="n">
        <f aca="false">B387+INDEX(Parametros!$C$13:$C$16,MATCH($F387,Parametros!$A$13:$A$16,0))</f>
        <v>45849</v>
      </c>
      <c r="X387" s="31" t="s">
        <v>67</v>
      </c>
      <c r="Y387" s="53" t="n">
        <f aca="false">IF(COUNTIF($A$2:$A387,A387)=1,1,0)</f>
        <v>0</v>
      </c>
    </row>
    <row r="388" customFormat="false" ht="15" hidden="false" customHeight="false" outlineLevel="0" collapsed="false">
      <c r="A388" s="31" t="s">
        <v>451</v>
      </c>
      <c r="B388" s="36" t="n">
        <v>45789</v>
      </c>
      <c r="C388" s="49" t="n">
        <f aca="false">DATE(YEAR(B388),MONTH(B388),1)</f>
        <v>45778</v>
      </c>
      <c r="D388" s="31" t="s">
        <v>192</v>
      </c>
      <c r="E388" s="31" t="s">
        <v>41</v>
      </c>
      <c r="F388" s="31" t="s">
        <v>45</v>
      </c>
      <c r="G388" s="31" t="s">
        <v>58</v>
      </c>
      <c r="H388" s="31" t="s">
        <v>163</v>
      </c>
      <c r="I388" s="32" t="str">
        <f aca="false">INDEX(Productos!$B$2:$B$13,MATCH($H388,Productos!$A$2:$A$13,0))</f>
        <v>Tornillo DIN 933 M6x30 rosca completa zincado</v>
      </c>
      <c r="J388" s="32" t="str">
        <f aca="false">INDEX(Productos!$C$2:$C$13,MATCH($H388,Productos!$A$2:$A$13,0))</f>
        <v>Métrica</v>
      </c>
      <c r="K388" s="31" t="s">
        <v>246</v>
      </c>
      <c r="L388" s="46" t="n">
        <v>90</v>
      </c>
      <c r="M388" s="50" t="n">
        <f aca="false">INDEX(Productos!$F$2:$F$13,MATCH($H388,Productos!$A$2:$A$13,0))</f>
        <v>32</v>
      </c>
      <c r="N388" s="51" t="n">
        <v>0.124</v>
      </c>
      <c r="O388" s="52" t="n">
        <f aca="false">M388*(1-N388)</f>
        <v>28.032</v>
      </c>
      <c r="P388" s="21" t="n">
        <f aca="false">L388*O388</f>
        <v>2522.88</v>
      </c>
      <c r="Q388" s="50" t="n">
        <f aca="false">INDEX(Productos!$E$2:$E$13,MATCH($H388,Productos!$A$2:$A$13,0))*INDEX(Parametros!$B$26:$B$43,MATCH($C388,Parametros!$A$26:$A$43,0))</f>
        <v>17.098</v>
      </c>
      <c r="R388" s="21" t="n">
        <f aca="false">L388*Q388</f>
        <v>1538.82</v>
      </c>
      <c r="S388" s="18" t="n">
        <f aca="false">L388*INDEX(Parametros!$B$20:$B$22,MATCH($E388,Parametros!$A$20:$A$22,0))</f>
        <v>76.5</v>
      </c>
      <c r="T388" s="18" t="n">
        <f aca="false">P388*INDEX(Parametros!$B$13:$B$16,MATCH($F388,Parametros!$A$13:$A$16,0))</f>
        <v>75.6864</v>
      </c>
      <c r="U388" s="21" t="n">
        <f aca="false">P388-R388-S388-T388</f>
        <v>831.8736</v>
      </c>
      <c r="V388" s="19" t="n">
        <f aca="false">IFERROR(U388/P388,0)</f>
        <v>0.329731735159817</v>
      </c>
      <c r="W388" s="48" t="n">
        <f aca="false">B388+INDEX(Parametros!$C$13:$C$16,MATCH($F388,Parametros!$A$13:$A$16,0))</f>
        <v>45849</v>
      </c>
      <c r="X388" s="31" t="s">
        <v>67</v>
      </c>
      <c r="Y388" s="53" t="n">
        <f aca="false">IF(COUNTIF($A$2:$A388,A388)=1,1,0)</f>
        <v>0</v>
      </c>
    </row>
    <row r="389" customFormat="false" ht="15" hidden="false" customHeight="false" outlineLevel="0" collapsed="false">
      <c r="A389" s="31" t="s">
        <v>451</v>
      </c>
      <c r="B389" s="36" t="n">
        <v>45789</v>
      </c>
      <c r="C389" s="49" t="n">
        <f aca="false">DATE(YEAR(B389),MONTH(B389),1)</f>
        <v>45778</v>
      </c>
      <c r="D389" s="31" t="s">
        <v>192</v>
      </c>
      <c r="E389" s="31" t="s">
        <v>41</v>
      </c>
      <c r="F389" s="31" t="s">
        <v>45</v>
      </c>
      <c r="G389" s="31" t="s">
        <v>58</v>
      </c>
      <c r="H389" s="31" t="s">
        <v>177</v>
      </c>
      <c r="I389" s="32" t="str">
        <f aca="false">INDEX(Productos!$B$2:$B$13,MATCH($H389,Productos!$A$2:$A$13,0))</f>
        <v>Tirafondo madera 6x100 cabeza plana Torx</v>
      </c>
      <c r="J389" s="32" t="str">
        <f aca="false">INDEX(Productos!$C$2:$C$13,MATCH($H389,Productos!$A$2:$A$13,0))</f>
        <v>Madera</v>
      </c>
      <c r="K389" s="31" t="s">
        <v>246</v>
      </c>
      <c r="L389" s="46" t="n">
        <v>43</v>
      </c>
      <c r="M389" s="50" t="n">
        <f aca="false">INDEX(Productos!$F$2:$F$13,MATCH($H389,Productos!$A$2:$A$13,0))</f>
        <v>34</v>
      </c>
      <c r="N389" s="51" t="n">
        <v>0.145</v>
      </c>
      <c r="O389" s="52" t="n">
        <f aca="false">M389*(1-N389)</f>
        <v>29.07</v>
      </c>
      <c r="P389" s="21" t="n">
        <f aca="false">L389*O389</f>
        <v>1250.01</v>
      </c>
      <c r="Q389" s="50" t="n">
        <f aca="false">INDEX(Productos!$E$2:$E$13,MATCH($H389,Productos!$A$2:$A$13,0))*INDEX(Parametros!$B$26:$B$43,MATCH($C389,Parametros!$A$26:$A$43,0))</f>
        <v>18.334</v>
      </c>
      <c r="R389" s="21" t="n">
        <f aca="false">L389*Q389</f>
        <v>788.362</v>
      </c>
      <c r="S389" s="18" t="n">
        <f aca="false">L389*INDEX(Parametros!$B$20:$B$22,MATCH($E389,Parametros!$A$20:$A$22,0))</f>
        <v>36.55</v>
      </c>
      <c r="T389" s="18" t="n">
        <f aca="false">P389*INDEX(Parametros!$B$13:$B$16,MATCH($F389,Parametros!$A$13:$A$16,0))</f>
        <v>37.5003</v>
      </c>
      <c r="U389" s="21" t="n">
        <f aca="false">P389-R389-S389-T389</f>
        <v>387.5977</v>
      </c>
      <c r="V389" s="19" t="n">
        <f aca="false">IFERROR(U389/P389,0)</f>
        <v>0.310075679394565</v>
      </c>
      <c r="W389" s="48" t="n">
        <f aca="false">B389+INDEX(Parametros!$C$13:$C$16,MATCH($F389,Parametros!$A$13:$A$16,0))</f>
        <v>45849</v>
      </c>
      <c r="X389" s="31" t="s">
        <v>67</v>
      </c>
      <c r="Y389" s="53" t="n">
        <f aca="false">IF(COUNTIF($A$2:$A389,A389)=1,1,0)</f>
        <v>0</v>
      </c>
    </row>
    <row r="390" customFormat="false" ht="15" hidden="false" customHeight="false" outlineLevel="0" collapsed="false">
      <c r="A390" s="31" t="s">
        <v>452</v>
      </c>
      <c r="B390" s="36" t="n">
        <v>45789</v>
      </c>
      <c r="C390" s="49" t="n">
        <f aca="false">DATE(YEAR(B390),MONTH(B390),1)</f>
        <v>45778</v>
      </c>
      <c r="D390" s="31" t="s">
        <v>212</v>
      </c>
      <c r="E390" s="31" t="s">
        <v>42</v>
      </c>
      <c r="F390" s="31" t="s">
        <v>45</v>
      </c>
      <c r="G390" s="31" t="s">
        <v>61</v>
      </c>
      <c r="H390" s="31" t="s">
        <v>167</v>
      </c>
      <c r="I390" s="32" t="str">
        <f aca="false">INDEX(Productos!$B$2:$B$13,MATCH($H390,Productos!$A$2:$A$13,0))</f>
        <v>Tornillo DIN 912 M6x25 Allen zincado</v>
      </c>
      <c r="J390" s="32" t="str">
        <f aca="false">INDEX(Productos!$C$2:$C$13,MATCH($H390,Productos!$A$2:$A$13,0))</f>
        <v>Métrica</v>
      </c>
      <c r="K390" s="31" t="s">
        <v>246</v>
      </c>
      <c r="L390" s="46" t="n">
        <v>32</v>
      </c>
      <c r="M390" s="50" t="n">
        <f aca="false">INDEX(Productos!$F$2:$F$13,MATCH($H390,Productos!$A$2:$A$13,0))</f>
        <v>42</v>
      </c>
      <c r="N390" s="51" t="n">
        <v>0.218</v>
      </c>
      <c r="O390" s="52" t="n">
        <f aca="false">M390*(1-N390)</f>
        <v>32.844</v>
      </c>
      <c r="P390" s="21" t="n">
        <f aca="false">L390*O390</f>
        <v>1051.008</v>
      </c>
      <c r="Q390" s="50" t="n">
        <f aca="false">INDEX(Productos!$E$2:$E$13,MATCH($H390,Productos!$A$2:$A$13,0))*INDEX(Parametros!$B$26:$B$43,MATCH($C390,Parametros!$A$26:$A$43,0))</f>
        <v>22.454</v>
      </c>
      <c r="R390" s="21" t="n">
        <f aca="false">L390*Q390</f>
        <v>718.528</v>
      </c>
      <c r="S390" s="18" t="n">
        <f aca="false">L390*INDEX(Parametros!$B$20:$B$22,MATCH($E390,Parametros!$A$20:$A$22,0))</f>
        <v>76.8</v>
      </c>
      <c r="T390" s="18" t="n">
        <f aca="false">P390*INDEX(Parametros!$B$13:$B$16,MATCH($F390,Parametros!$A$13:$A$16,0))</f>
        <v>31.53024</v>
      </c>
      <c r="U390" s="21" t="n">
        <f aca="false">P390-R390-S390-T390</f>
        <v>224.14976</v>
      </c>
      <c r="V390" s="19" t="n">
        <f aca="false">IFERROR(U390/P390,0)</f>
        <v>0.213271221532091</v>
      </c>
      <c r="W390" s="48" t="n">
        <f aca="false">B390+INDEX(Parametros!$C$13:$C$16,MATCH($F390,Parametros!$A$13:$A$16,0))</f>
        <v>45849</v>
      </c>
      <c r="X390" s="31" t="s">
        <v>69</v>
      </c>
      <c r="Y390" s="53" t="n">
        <f aca="false">IF(COUNTIF($A$2:$A390,A390)=1,1,0)</f>
        <v>1</v>
      </c>
    </row>
    <row r="391" customFormat="false" ht="15" hidden="false" customHeight="false" outlineLevel="0" collapsed="false">
      <c r="A391" s="31" t="s">
        <v>452</v>
      </c>
      <c r="B391" s="36" t="n">
        <v>45789</v>
      </c>
      <c r="C391" s="49" t="n">
        <f aca="false">DATE(YEAR(B391),MONTH(B391),1)</f>
        <v>45778</v>
      </c>
      <c r="D391" s="31" t="s">
        <v>212</v>
      </c>
      <c r="E391" s="31" t="s">
        <v>42</v>
      </c>
      <c r="F391" s="31" t="s">
        <v>45</v>
      </c>
      <c r="G391" s="31" t="s">
        <v>61</v>
      </c>
      <c r="H391" s="31" t="s">
        <v>169</v>
      </c>
      <c r="I391" s="32" t="str">
        <f aca="false">INDEX(Productos!$B$2:$B$13,MATCH($H391,Productos!$A$2:$A$13,0))</f>
        <v>Tornillo DIN 912 M10x60 Allen inox A2</v>
      </c>
      <c r="J391" s="32" t="str">
        <f aca="false">INDEX(Productos!$C$2:$C$13,MATCH($H391,Productos!$A$2:$A$13,0))</f>
        <v>Inoxidable</v>
      </c>
      <c r="K391" s="31" t="s">
        <v>246</v>
      </c>
      <c r="L391" s="46" t="n">
        <v>21</v>
      </c>
      <c r="M391" s="50" t="n">
        <f aca="false">INDEX(Productos!$F$2:$F$13,MATCH($H391,Productos!$A$2:$A$13,0))</f>
        <v>79</v>
      </c>
      <c r="N391" s="51" t="n">
        <v>0.164</v>
      </c>
      <c r="O391" s="52" t="n">
        <f aca="false">M391*(1-N391)</f>
        <v>66.044</v>
      </c>
      <c r="P391" s="21" t="n">
        <f aca="false">L391*O391</f>
        <v>1386.924</v>
      </c>
      <c r="Q391" s="50" t="n">
        <f aca="false">INDEX(Productos!$E$2:$E$13,MATCH($H391,Productos!$A$2:$A$13,0))*INDEX(Parametros!$B$26:$B$43,MATCH($C391,Parametros!$A$26:$A$43,0))</f>
        <v>43.26</v>
      </c>
      <c r="R391" s="21" t="n">
        <f aca="false">L391*Q391</f>
        <v>908.46</v>
      </c>
      <c r="S391" s="18" t="n">
        <f aca="false">L391*INDEX(Parametros!$B$20:$B$22,MATCH($E391,Parametros!$A$20:$A$22,0))</f>
        <v>50.4</v>
      </c>
      <c r="T391" s="18" t="n">
        <f aca="false">P391*INDEX(Parametros!$B$13:$B$16,MATCH($F391,Parametros!$A$13:$A$16,0))</f>
        <v>41.60772</v>
      </c>
      <c r="U391" s="21" t="n">
        <f aca="false">P391-R391-S391-T391</f>
        <v>386.45628</v>
      </c>
      <c r="V391" s="19" t="n">
        <f aca="false">IFERROR(U391/P391,0)</f>
        <v>0.27864272303313</v>
      </c>
      <c r="W391" s="48" t="n">
        <f aca="false">B391+INDEX(Parametros!$C$13:$C$16,MATCH($F391,Parametros!$A$13:$A$16,0))</f>
        <v>45849</v>
      </c>
      <c r="X391" s="31" t="s">
        <v>67</v>
      </c>
      <c r="Y391" s="53" t="n">
        <f aca="false">IF(COUNTIF($A$2:$A391,A391)=1,1,0)</f>
        <v>0</v>
      </c>
    </row>
    <row r="392" customFormat="false" ht="15" hidden="false" customHeight="false" outlineLevel="0" collapsed="false">
      <c r="A392" s="31" t="s">
        <v>452</v>
      </c>
      <c r="B392" s="36" t="n">
        <v>45789</v>
      </c>
      <c r="C392" s="49" t="n">
        <f aca="false">DATE(YEAR(B392),MONTH(B392),1)</f>
        <v>45778</v>
      </c>
      <c r="D392" s="31" t="s">
        <v>212</v>
      </c>
      <c r="E392" s="31" t="s">
        <v>42</v>
      </c>
      <c r="F392" s="31" t="s">
        <v>45</v>
      </c>
      <c r="G392" s="31" t="s">
        <v>61</v>
      </c>
      <c r="H392" s="31" t="s">
        <v>185</v>
      </c>
      <c r="I392" s="32" t="str">
        <f aca="false">INDEX(Productos!$B$2:$B$13,MATCH($H392,Productos!$A$2:$A$13,0))</f>
        <v>Varilla roscada M10 x 1 m zincada</v>
      </c>
      <c r="J392" s="32" t="str">
        <f aca="false">INDEX(Productos!$C$2:$C$13,MATCH($H392,Productos!$A$2:$A$13,0))</f>
        <v>Especial</v>
      </c>
      <c r="K392" s="31" t="s">
        <v>246</v>
      </c>
      <c r="L392" s="46" t="n">
        <v>47</v>
      </c>
      <c r="M392" s="50" t="n">
        <f aca="false">INDEX(Productos!$F$2:$F$13,MATCH($H392,Productos!$A$2:$A$13,0))</f>
        <v>54</v>
      </c>
      <c r="N392" s="51" t="n">
        <v>0.199</v>
      </c>
      <c r="O392" s="52" t="n">
        <f aca="false">M392*(1-N392)</f>
        <v>43.254</v>
      </c>
      <c r="P392" s="21" t="n">
        <f aca="false">L392*O392</f>
        <v>2032.938</v>
      </c>
      <c r="Q392" s="50" t="n">
        <f aca="false">INDEX(Productos!$E$2:$E$13,MATCH($H392,Productos!$A$2:$A$13,0))*INDEX(Parametros!$B$26:$B$43,MATCH($C392,Parametros!$A$26:$A$43,0))</f>
        <v>29.355</v>
      </c>
      <c r="R392" s="21" t="n">
        <f aca="false">L392*Q392</f>
        <v>1379.685</v>
      </c>
      <c r="S392" s="18" t="n">
        <f aca="false">L392*INDEX(Parametros!$B$20:$B$22,MATCH($E392,Parametros!$A$20:$A$22,0))</f>
        <v>112.8</v>
      </c>
      <c r="T392" s="18" t="n">
        <f aca="false">P392*INDEX(Parametros!$B$13:$B$16,MATCH($F392,Parametros!$A$13:$A$16,0))</f>
        <v>60.98814</v>
      </c>
      <c r="U392" s="21" t="n">
        <f aca="false">P392-R392-S392-T392</f>
        <v>479.46486</v>
      </c>
      <c r="V392" s="19" t="n">
        <f aca="false">IFERROR(U392/P392,0)</f>
        <v>0.235848245248994</v>
      </c>
      <c r="W392" s="48" t="n">
        <f aca="false">B392+INDEX(Parametros!$C$13:$C$16,MATCH($F392,Parametros!$A$13:$A$16,0))</f>
        <v>45849</v>
      </c>
      <c r="X392" s="31" t="s">
        <v>67</v>
      </c>
      <c r="Y392" s="53" t="n">
        <f aca="false">IF(COUNTIF($A$2:$A392,A392)=1,1,0)</f>
        <v>0</v>
      </c>
    </row>
    <row r="393" customFormat="false" ht="15" hidden="false" customHeight="false" outlineLevel="0" collapsed="false">
      <c r="A393" s="31" t="s">
        <v>452</v>
      </c>
      <c r="B393" s="36" t="n">
        <v>45789</v>
      </c>
      <c r="C393" s="49" t="n">
        <f aca="false">DATE(YEAR(B393),MONTH(B393),1)</f>
        <v>45778</v>
      </c>
      <c r="D393" s="31" t="s">
        <v>212</v>
      </c>
      <c r="E393" s="31" t="s">
        <v>42</v>
      </c>
      <c r="F393" s="31" t="s">
        <v>45</v>
      </c>
      <c r="G393" s="31" t="s">
        <v>61</v>
      </c>
      <c r="H393" s="31" t="s">
        <v>183</v>
      </c>
      <c r="I393" s="32" t="str">
        <f aca="false">INDEX(Productos!$B$2:$B$13,MATCH($H393,Productos!$A$2:$A$13,0))</f>
        <v>Tornillo estructural M16x90 clase 10.9</v>
      </c>
      <c r="J393" s="32" t="str">
        <f aca="false">INDEX(Productos!$C$2:$C$13,MATCH($H393,Productos!$A$2:$A$13,0))</f>
        <v>Especial</v>
      </c>
      <c r="K393" s="31" t="s">
        <v>246</v>
      </c>
      <c r="L393" s="46" t="n">
        <v>64</v>
      </c>
      <c r="M393" s="50" t="n">
        <f aca="false">INDEX(Productos!$F$2:$F$13,MATCH($H393,Productos!$A$2:$A$13,0))</f>
        <v>112</v>
      </c>
      <c r="N393" s="51" t="n">
        <v>0.143</v>
      </c>
      <c r="O393" s="52" t="n">
        <f aca="false">M393*(1-N393)</f>
        <v>95.984</v>
      </c>
      <c r="P393" s="21" t="n">
        <f aca="false">L393*O393</f>
        <v>6142.976</v>
      </c>
      <c r="Q393" s="50" t="n">
        <f aca="false">INDEX(Productos!$E$2:$E$13,MATCH($H393,Productos!$A$2:$A$13,0))*INDEX(Parametros!$B$26:$B$43,MATCH($C393,Parametros!$A$26:$A$43,0))</f>
        <v>61.8</v>
      </c>
      <c r="R393" s="21" t="n">
        <f aca="false">L393*Q393</f>
        <v>3955.2</v>
      </c>
      <c r="S393" s="18" t="n">
        <f aca="false">L393*INDEX(Parametros!$B$20:$B$22,MATCH($E393,Parametros!$A$20:$A$22,0))</f>
        <v>153.6</v>
      </c>
      <c r="T393" s="18" t="n">
        <f aca="false">P393*INDEX(Parametros!$B$13:$B$16,MATCH($F393,Parametros!$A$13:$A$16,0))</f>
        <v>184.28928</v>
      </c>
      <c r="U393" s="21" t="n">
        <f aca="false">P393-R393-S393-T393</f>
        <v>1849.88672</v>
      </c>
      <c r="V393" s="19" t="n">
        <f aca="false">IFERROR(U393/P393,0)</f>
        <v>0.301138523087181</v>
      </c>
      <c r="W393" s="48" t="n">
        <f aca="false">B393+INDEX(Parametros!$C$13:$C$16,MATCH($F393,Parametros!$A$13:$A$16,0))</f>
        <v>45849</v>
      </c>
      <c r="X393" s="31" t="s">
        <v>67</v>
      </c>
      <c r="Y393" s="53" t="n">
        <f aca="false">IF(COUNTIF($A$2:$A393,A393)=1,1,0)</f>
        <v>0</v>
      </c>
    </row>
    <row r="394" customFormat="false" ht="15" hidden="false" customHeight="false" outlineLevel="0" collapsed="false">
      <c r="A394" s="31" t="s">
        <v>453</v>
      </c>
      <c r="B394" s="36" t="n">
        <v>45789</v>
      </c>
      <c r="C394" s="49" t="n">
        <f aca="false">DATE(YEAR(B394),MONTH(B394),1)</f>
        <v>45778</v>
      </c>
      <c r="D394" s="31" t="s">
        <v>214</v>
      </c>
      <c r="E394" s="31" t="s">
        <v>42</v>
      </c>
      <c r="F394" s="31" t="s">
        <v>46</v>
      </c>
      <c r="G394" s="31" t="s">
        <v>61</v>
      </c>
      <c r="H394" s="31" t="s">
        <v>175</v>
      </c>
      <c r="I394" s="32" t="str">
        <f aca="false">INDEX(Productos!$B$2:$B$13,MATCH($H394,Productos!$A$2:$A$13,0))</f>
        <v>Tirafondo madera 5x60 cabeza plana Torx</v>
      </c>
      <c r="J394" s="32" t="str">
        <f aca="false">INDEX(Productos!$C$2:$C$13,MATCH($H394,Productos!$A$2:$A$13,0))</f>
        <v>Madera</v>
      </c>
      <c r="K394" s="31" t="s">
        <v>246</v>
      </c>
      <c r="L394" s="46" t="n">
        <v>235</v>
      </c>
      <c r="M394" s="50" t="n">
        <f aca="false">INDEX(Productos!$F$2:$F$13,MATCH($H394,Productos!$A$2:$A$13,0))</f>
        <v>26</v>
      </c>
      <c r="N394" s="51" t="n">
        <v>0.135</v>
      </c>
      <c r="O394" s="52" t="n">
        <f aca="false">M394*(1-N394)</f>
        <v>22.49</v>
      </c>
      <c r="P394" s="21" t="n">
        <f aca="false">L394*O394</f>
        <v>5285.15</v>
      </c>
      <c r="Q394" s="50" t="n">
        <f aca="false">INDEX(Productos!$E$2:$E$13,MATCH($H394,Productos!$A$2:$A$13,0))*INDEX(Parametros!$B$26:$B$43,MATCH($C394,Parametros!$A$26:$A$43,0))</f>
        <v>13.802</v>
      </c>
      <c r="R394" s="21" t="n">
        <f aca="false">L394*Q394</f>
        <v>3243.47</v>
      </c>
      <c r="S394" s="18" t="n">
        <f aca="false">L394*INDEX(Parametros!$B$20:$B$22,MATCH($E394,Parametros!$A$20:$A$22,0))</f>
        <v>564</v>
      </c>
      <c r="T394" s="18" t="n">
        <f aca="false">P394*INDEX(Parametros!$B$13:$B$16,MATCH($F394,Parametros!$A$13:$A$16,0))</f>
        <v>211.406</v>
      </c>
      <c r="U394" s="21" t="n">
        <f aca="false">P394-R394-S394-T394</f>
        <v>1266.274</v>
      </c>
      <c r="V394" s="19" t="n">
        <f aca="false">IFERROR(U394/P394,0)</f>
        <v>0.239590929301912</v>
      </c>
      <c r="W394" s="48" t="n">
        <f aca="false">B394+INDEX(Parametros!$C$13:$C$16,MATCH($F394,Parametros!$A$13:$A$16,0))</f>
        <v>45864</v>
      </c>
      <c r="X394" s="31" t="s">
        <v>67</v>
      </c>
      <c r="Y394" s="53" t="n">
        <f aca="false">IF(COUNTIF($A$2:$A394,A394)=1,1,0)</f>
        <v>1</v>
      </c>
    </row>
    <row r="395" customFormat="false" ht="15" hidden="false" customHeight="false" outlineLevel="0" collapsed="false">
      <c r="A395" s="31" t="s">
        <v>454</v>
      </c>
      <c r="B395" s="36" t="n">
        <v>45789</v>
      </c>
      <c r="C395" s="49" t="n">
        <f aca="false">DATE(YEAR(B395),MONTH(B395),1)</f>
        <v>45778</v>
      </c>
      <c r="D395" s="31" t="s">
        <v>219</v>
      </c>
      <c r="E395" s="31" t="s">
        <v>42</v>
      </c>
      <c r="F395" s="31" t="s">
        <v>45</v>
      </c>
      <c r="G395" s="31" t="s">
        <v>61</v>
      </c>
      <c r="H395" s="31" t="s">
        <v>167</v>
      </c>
      <c r="I395" s="32" t="str">
        <f aca="false">INDEX(Productos!$B$2:$B$13,MATCH($H395,Productos!$A$2:$A$13,0))</f>
        <v>Tornillo DIN 912 M6x25 Allen zincado</v>
      </c>
      <c r="J395" s="32" t="str">
        <f aca="false">INDEX(Productos!$C$2:$C$13,MATCH($H395,Productos!$A$2:$A$13,0))</f>
        <v>Métrica</v>
      </c>
      <c r="K395" s="31" t="s">
        <v>246</v>
      </c>
      <c r="L395" s="46" t="n">
        <v>48</v>
      </c>
      <c r="M395" s="50" t="n">
        <f aca="false">INDEX(Productos!$F$2:$F$13,MATCH($H395,Productos!$A$2:$A$13,0))</f>
        <v>42</v>
      </c>
      <c r="N395" s="51" t="n">
        <v>0.163</v>
      </c>
      <c r="O395" s="52" t="n">
        <f aca="false">M395*(1-N395)</f>
        <v>35.154</v>
      </c>
      <c r="P395" s="21" t="n">
        <f aca="false">L395*O395</f>
        <v>1687.392</v>
      </c>
      <c r="Q395" s="50" t="n">
        <f aca="false">INDEX(Productos!$E$2:$E$13,MATCH($H395,Productos!$A$2:$A$13,0))*INDEX(Parametros!$B$26:$B$43,MATCH($C395,Parametros!$A$26:$A$43,0))</f>
        <v>22.454</v>
      </c>
      <c r="R395" s="21" t="n">
        <f aca="false">L395*Q395</f>
        <v>1077.792</v>
      </c>
      <c r="S395" s="18" t="n">
        <f aca="false">L395*INDEX(Parametros!$B$20:$B$22,MATCH($E395,Parametros!$A$20:$A$22,0))</f>
        <v>115.2</v>
      </c>
      <c r="T395" s="18" t="n">
        <f aca="false">P395*INDEX(Parametros!$B$13:$B$16,MATCH($F395,Parametros!$A$13:$A$16,0))</f>
        <v>50.62176</v>
      </c>
      <c r="U395" s="21" t="n">
        <f aca="false">P395-R395-S395-T395</f>
        <v>443.77824</v>
      </c>
      <c r="V395" s="19" t="n">
        <f aca="false">IFERROR(U395/P395,0)</f>
        <v>0.262996529555669</v>
      </c>
      <c r="W395" s="48" t="n">
        <f aca="false">B395+INDEX(Parametros!$C$13:$C$16,MATCH($F395,Parametros!$A$13:$A$16,0))</f>
        <v>45849</v>
      </c>
      <c r="X395" s="31" t="s">
        <v>67</v>
      </c>
      <c r="Y395" s="53" t="n">
        <f aca="false">IF(COUNTIF($A$2:$A395,A395)=1,1,0)</f>
        <v>1</v>
      </c>
    </row>
    <row r="396" customFormat="false" ht="15" hidden="false" customHeight="false" outlineLevel="0" collapsed="false">
      <c r="A396" s="31" t="s">
        <v>455</v>
      </c>
      <c r="B396" s="36" t="n">
        <v>45789</v>
      </c>
      <c r="C396" s="49" t="n">
        <f aca="false">DATE(YEAR(B396),MONTH(B396),1)</f>
        <v>45778</v>
      </c>
      <c r="D396" s="31" t="s">
        <v>218</v>
      </c>
      <c r="E396" s="31" t="s">
        <v>42</v>
      </c>
      <c r="F396" s="31" t="s">
        <v>45</v>
      </c>
      <c r="G396" s="31" t="s">
        <v>61</v>
      </c>
      <c r="H396" s="31" t="s">
        <v>171</v>
      </c>
      <c r="I396" s="32" t="str">
        <f aca="false">INDEX(Productos!$B$2:$B$13,MATCH($H396,Productos!$A$2:$A$13,0))</f>
        <v>Tornillo DIN 7991 M8x30 avellanado inox A2</v>
      </c>
      <c r="J396" s="32" t="str">
        <f aca="false">INDEX(Productos!$C$2:$C$13,MATCH($H396,Productos!$A$2:$A$13,0))</f>
        <v>Inoxidable</v>
      </c>
      <c r="K396" s="31" t="s">
        <v>246</v>
      </c>
      <c r="L396" s="46" t="n">
        <v>64</v>
      </c>
      <c r="M396" s="50" t="n">
        <f aca="false">INDEX(Productos!$F$2:$F$13,MATCH($H396,Productos!$A$2:$A$13,0))</f>
        <v>88</v>
      </c>
      <c r="N396" s="51" t="n">
        <v>0.126</v>
      </c>
      <c r="O396" s="52" t="n">
        <f aca="false">M396*(1-N396)</f>
        <v>76.912</v>
      </c>
      <c r="P396" s="21" t="n">
        <f aca="false">L396*O396</f>
        <v>4922.368</v>
      </c>
      <c r="Q396" s="50" t="n">
        <f aca="false">INDEX(Productos!$E$2:$E$13,MATCH($H396,Productos!$A$2:$A$13,0))*INDEX(Parametros!$B$26:$B$43,MATCH($C396,Parametros!$A$26:$A$43,0))</f>
        <v>47.895</v>
      </c>
      <c r="R396" s="21" t="n">
        <f aca="false">L396*Q396</f>
        <v>3065.28</v>
      </c>
      <c r="S396" s="18" t="n">
        <f aca="false">L396*INDEX(Parametros!$B$20:$B$22,MATCH($E396,Parametros!$A$20:$A$22,0))</f>
        <v>153.6</v>
      </c>
      <c r="T396" s="18" t="n">
        <f aca="false">P396*INDEX(Parametros!$B$13:$B$16,MATCH($F396,Parametros!$A$13:$A$16,0))</f>
        <v>147.67104</v>
      </c>
      <c r="U396" s="21" t="n">
        <f aca="false">P396-R396-S396-T396</f>
        <v>1555.81696</v>
      </c>
      <c r="V396" s="19" t="n">
        <f aca="false">IFERROR(U396/P396,0)</f>
        <v>0.316070834200125</v>
      </c>
      <c r="W396" s="48" t="n">
        <f aca="false">B396+INDEX(Parametros!$C$13:$C$16,MATCH($F396,Parametros!$A$13:$A$16,0))</f>
        <v>45849</v>
      </c>
      <c r="X396" s="31" t="s">
        <v>67</v>
      </c>
      <c r="Y396" s="53" t="n">
        <f aca="false">IF(COUNTIF($A$2:$A396,A396)=1,1,0)</f>
        <v>1</v>
      </c>
    </row>
    <row r="397" customFormat="false" ht="15" hidden="false" customHeight="false" outlineLevel="0" collapsed="false">
      <c r="A397" s="31" t="s">
        <v>456</v>
      </c>
      <c r="B397" s="36" t="n">
        <v>45790</v>
      </c>
      <c r="C397" s="49" t="n">
        <f aca="false">DATE(YEAR(B397),MONTH(B397),1)</f>
        <v>45778</v>
      </c>
      <c r="D397" s="31" t="s">
        <v>193</v>
      </c>
      <c r="E397" s="31" t="s">
        <v>41</v>
      </c>
      <c r="F397" s="31" t="s">
        <v>45</v>
      </c>
      <c r="G397" s="31" t="s">
        <v>62</v>
      </c>
      <c r="H397" s="31" t="s">
        <v>169</v>
      </c>
      <c r="I397" s="32" t="str">
        <f aca="false">INDEX(Productos!$B$2:$B$13,MATCH($H397,Productos!$A$2:$A$13,0))</f>
        <v>Tornillo DIN 912 M10x60 Allen inox A2</v>
      </c>
      <c r="J397" s="32" t="str">
        <f aca="false">INDEX(Productos!$C$2:$C$13,MATCH($H397,Productos!$A$2:$A$13,0))</f>
        <v>Inoxidable</v>
      </c>
      <c r="K397" s="31" t="s">
        <v>246</v>
      </c>
      <c r="L397" s="46" t="n">
        <v>140</v>
      </c>
      <c r="M397" s="50" t="n">
        <f aca="false">INDEX(Productos!$F$2:$F$13,MATCH($H397,Productos!$A$2:$A$13,0))</f>
        <v>79</v>
      </c>
      <c r="N397" s="51" t="n">
        <v>0.136</v>
      </c>
      <c r="O397" s="52" t="n">
        <f aca="false">M397*(1-N397)</f>
        <v>68.256</v>
      </c>
      <c r="P397" s="21" t="n">
        <f aca="false">L397*O397</f>
        <v>9555.84</v>
      </c>
      <c r="Q397" s="50" t="n">
        <f aca="false">INDEX(Productos!$E$2:$E$13,MATCH($H397,Productos!$A$2:$A$13,0))*INDEX(Parametros!$B$26:$B$43,MATCH($C397,Parametros!$A$26:$A$43,0))</f>
        <v>43.26</v>
      </c>
      <c r="R397" s="21" t="n">
        <f aca="false">L397*Q397</f>
        <v>6056.4</v>
      </c>
      <c r="S397" s="18" t="n">
        <f aca="false">L397*INDEX(Parametros!$B$20:$B$22,MATCH($E397,Parametros!$A$20:$A$22,0))</f>
        <v>119</v>
      </c>
      <c r="T397" s="18" t="n">
        <f aca="false">P397*INDEX(Parametros!$B$13:$B$16,MATCH($F397,Parametros!$A$13:$A$16,0))</f>
        <v>286.6752</v>
      </c>
      <c r="U397" s="21" t="n">
        <f aca="false">P397-R397-S397-T397</f>
        <v>3093.7648</v>
      </c>
      <c r="V397" s="19" t="n">
        <f aca="false">IFERROR(U397/P397,0)</f>
        <v>0.323756446319738</v>
      </c>
      <c r="W397" s="48" t="n">
        <f aca="false">B397+INDEX(Parametros!$C$13:$C$16,MATCH($F397,Parametros!$A$13:$A$16,0))</f>
        <v>45850</v>
      </c>
      <c r="X397" s="31" t="s">
        <v>67</v>
      </c>
      <c r="Y397" s="53" t="n">
        <f aca="false">IF(COUNTIF($A$2:$A397,A397)=1,1,0)</f>
        <v>1</v>
      </c>
    </row>
    <row r="398" customFormat="false" ht="15" hidden="false" customHeight="false" outlineLevel="0" collapsed="false">
      <c r="A398" s="31" t="s">
        <v>456</v>
      </c>
      <c r="B398" s="36" t="n">
        <v>45790</v>
      </c>
      <c r="C398" s="49" t="n">
        <f aca="false">DATE(YEAR(B398),MONTH(B398),1)</f>
        <v>45778</v>
      </c>
      <c r="D398" s="31" t="s">
        <v>193</v>
      </c>
      <c r="E398" s="31" t="s">
        <v>41</v>
      </c>
      <c r="F398" s="31" t="s">
        <v>45</v>
      </c>
      <c r="G398" s="31" t="s">
        <v>62</v>
      </c>
      <c r="H398" s="31" t="s">
        <v>179</v>
      </c>
      <c r="I398" s="32" t="str">
        <f aca="false">INDEX(Productos!$B$2:$B$13,MATCH($H398,Productos!$A$2:$A$13,0))</f>
        <v>Autotaladrante DIN 7504 4,8x38 zincado</v>
      </c>
      <c r="J398" s="32" t="str">
        <f aca="false">INDEX(Productos!$C$2:$C$13,MATCH($H398,Productos!$A$2:$A$13,0))</f>
        <v>Autotaladrante</v>
      </c>
      <c r="K398" s="31" t="s">
        <v>246</v>
      </c>
      <c r="L398" s="46" t="n">
        <v>56</v>
      </c>
      <c r="M398" s="50" t="n">
        <f aca="false">INDEX(Productos!$F$2:$F$13,MATCH($H398,Productos!$A$2:$A$13,0))</f>
        <v>29.5</v>
      </c>
      <c r="N398" s="51" t="n">
        <v>0.121</v>
      </c>
      <c r="O398" s="52" t="n">
        <f aca="false">M398*(1-N398)</f>
        <v>25.9305</v>
      </c>
      <c r="P398" s="21" t="n">
        <f aca="false">L398*O398</f>
        <v>1452.108</v>
      </c>
      <c r="Q398" s="50" t="n">
        <f aca="false">INDEX(Productos!$E$2:$E$13,MATCH($H398,Productos!$A$2:$A$13,0))*INDEX(Parametros!$B$26:$B$43,MATCH($C398,Parametros!$A$26:$A$43,0))</f>
        <v>15.656</v>
      </c>
      <c r="R398" s="21" t="n">
        <f aca="false">L398*Q398</f>
        <v>876.736</v>
      </c>
      <c r="S398" s="18" t="n">
        <f aca="false">L398*INDEX(Parametros!$B$20:$B$22,MATCH($E398,Parametros!$A$20:$A$22,0))</f>
        <v>47.6</v>
      </c>
      <c r="T398" s="18" t="n">
        <f aca="false">P398*INDEX(Parametros!$B$13:$B$16,MATCH($F398,Parametros!$A$13:$A$16,0))</f>
        <v>43.56324</v>
      </c>
      <c r="U398" s="21" t="n">
        <f aca="false">P398-R398-S398-T398</f>
        <v>484.20876</v>
      </c>
      <c r="V398" s="19" t="n">
        <f aca="false">IFERROR(U398/P398,0)</f>
        <v>0.33345230520044</v>
      </c>
      <c r="W398" s="48" t="n">
        <f aca="false">B398+INDEX(Parametros!$C$13:$C$16,MATCH($F398,Parametros!$A$13:$A$16,0))</f>
        <v>45850</v>
      </c>
      <c r="X398" s="31" t="s">
        <v>67</v>
      </c>
      <c r="Y398" s="53" t="n">
        <f aca="false">IF(COUNTIF($A$2:$A398,A398)=1,1,0)</f>
        <v>0</v>
      </c>
    </row>
    <row r="399" customFormat="false" ht="15" hidden="false" customHeight="false" outlineLevel="0" collapsed="false">
      <c r="A399" s="31" t="s">
        <v>457</v>
      </c>
      <c r="B399" s="36" t="n">
        <v>45790</v>
      </c>
      <c r="C399" s="49" t="n">
        <f aca="false">DATE(YEAR(B399),MONTH(B399),1)</f>
        <v>45778</v>
      </c>
      <c r="D399" s="31" t="s">
        <v>225</v>
      </c>
      <c r="E399" s="31" t="s">
        <v>43</v>
      </c>
      <c r="F399" s="31" t="s">
        <v>47</v>
      </c>
      <c r="G399" s="31" t="s">
        <v>59</v>
      </c>
      <c r="H399" s="31" t="s">
        <v>163</v>
      </c>
      <c r="I399" s="32" t="str">
        <f aca="false">INDEX(Productos!$B$2:$B$13,MATCH($H399,Productos!$A$2:$A$13,0))</f>
        <v>Tornillo DIN 933 M6x30 rosca completa zincado</v>
      </c>
      <c r="J399" s="32" t="str">
        <f aca="false">INDEX(Productos!$C$2:$C$13,MATCH($H399,Productos!$A$2:$A$13,0))</f>
        <v>Métrica</v>
      </c>
      <c r="K399" s="31" t="s">
        <v>246</v>
      </c>
      <c r="L399" s="46" t="n">
        <v>15</v>
      </c>
      <c r="M399" s="50" t="n">
        <f aca="false">INDEX(Productos!$F$2:$F$13,MATCH($H399,Productos!$A$2:$A$13,0))</f>
        <v>32</v>
      </c>
      <c r="N399" s="51" t="n">
        <v>0.066</v>
      </c>
      <c r="O399" s="52" t="n">
        <f aca="false">M399*(1-N399)</f>
        <v>29.888</v>
      </c>
      <c r="P399" s="21" t="n">
        <f aca="false">L399*O399</f>
        <v>448.32</v>
      </c>
      <c r="Q399" s="50" t="n">
        <f aca="false">INDEX(Productos!$E$2:$E$13,MATCH($H399,Productos!$A$2:$A$13,0))*INDEX(Parametros!$B$26:$B$43,MATCH($C399,Parametros!$A$26:$A$43,0))</f>
        <v>17.098</v>
      </c>
      <c r="R399" s="21" t="n">
        <f aca="false">L399*Q399</f>
        <v>256.47</v>
      </c>
      <c r="S399" s="18" t="n">
        <f aca="false">L399*INDEX(Parametros!$B$20:$B$22,MATCH($E399,Parametros!$A$20:$A$22,0))</f>
        <v>28.5</v>
      </c>
      <c r="T399" s="18" t="n">
        <f aca="false">P399*INDEX(Parametros!$B$13:$B$16,MATCH($F399,Parametros!$A$13:$A$16,0))</f>
        <v>15.6912</v>
      </c>
      <c r="U399" s="21" t="n">
        <f aca="false">P399-R399-S399-T399</f>
        <v>147.6588</v>
      </c>
      <c r="V399" s="19" t="n">
        <f aca="false">IFERROR(U399/P399,0)</f>
        <v>0.329360278372591</v>
      </c>
      <c r="W399" s="48" t="n">
        <f aca="false">B399+INDEX(Parametros!$C$13:$C$16,MATCH($F399,Parametros!$A$13:$A$16,0))</f>
        <v>45835</v>
      </c>
      <c r="X399" s="31" t="s">
        <v>67</v>
      </c>
      <c r="Y399" s="53" t="n">
        <f aca="false">IF(COUNTIF($A$2:$A399,A399)=1,1,0)</f>
        <v>1</v>
      </c>
    </row>
    <row r="400" customFormat="false" ht="15" hidden="false" customHeight="false" outlineLevel="0" collapsed="false">
      <c r="A400" s="31" t="s">
        <v>457</v>
      </c>
      <c r="B400" s="36" t="n">
        <v>45790</v>
      </c>
      <c r="C400" s="49" t="n">
        <f aca="false">DATE(YEAR(B400),MONTH(B400),1)</f>
        <v>45778</v>
      </c>
      <c r="D400" s="31" t="s">
        <v>225</v>
      </c>
      <c r="E400" s="31" t="s">
        <v>43</v>
      </c>
      <c r="F400" s="31" t="s">
        <v>47</v>
      </c>
      <c r="G400" s="31" t="s">
        <v>59</v>
      </c>
      <c r="H400" s="31" t="s">
        <v>167</v>
      </c>
      <c r="I400" s="32" t="str">
        <f aca="false">INDEX(Productos!$B$2:$B$13,MATCH($H400,Productos!$A$2:$A$13,0))</f>
        <v>Tornillo DIN 912 M6x25 Allen zincado</v>
      </c>
      <c r="J400" s="32" t="str">
        <f aca="false">INDEX(Productos!$C$2:$C$13,MATCH($H400,Productos!$A$2:$A$13,0))</f>
        <v>Métrica</v>
      </c>
      <c r="K400" s="31" t="s">
        <v>246</v>
      </c>
      <c r="L400" s="46" t="n">
        <v>16</v>
      </c>
      <c r="M400" s="50" t="n">
        <f aca="false">INDEX(Productos!$F$2:$F$13,MATCH($H400,Productos!$A$2:$A$13,0))</f>
        <v>42</v>
      </c>
      <c r="N400" s="51" t="n">
        <v>0.057</v>
      </c>
      <c r="O400" s="52" t="n">
        <f aca="false">M400*(1-N400)</f>
        <v>39.606</v>
      </c>
      <c r="P400" s="21" t="n">
        <f aca="false">L400*O400</f>
        <v>633.696</v>
      </c>
      <c r="Q400" s="50" t="n">
        <f aca="false">INDEX(Productos!$E$2:$E$13,MATCH($H400,Productos!$A$2:$A$13,0))*INDEX(Parametros!$B$26:$B$43,MATCH($C400,Parametros!$A$26:$A$43,0))</f>
        <v>22.454</v>
      </c>
      <c r="R400" s="21" t="n">
        <f aca="false">L400*Q400</f>
        <v>359.264</v>
      </c>
      <c r="S400" s="18" t="n">
        <f aca="false">L400*INDEX(Parametros!$B$20:$B$22,MATCH($E400,Parametros!$A$20:$A$22,0))</f>
        <v>30.4</v>
      </c>
      <c r="T400" s="18" t="n">
        <f aca="false">P400*INDEX(Parametros!$B$13:$B$16,MATCH($F400,Parametros!$A$13:$A$16,0))</f>
        <v>22.17936</v>
      </c>
      <c r="U400" s="21" t="n">
        <f aca="false">P400-R400-S400-T400</f>
        <v>221.85264</v>
      </c>
      <c r="V400" s="19" t="n">
        <f aca="false">IFERROR(U400/P400,0)</f>
        <v>0.350093167701863</v>
      </c>
      <c r="W400" s="48" t="n">
        <f aca="false">B400+INDEX(Parametros!$C$13:$C$16,MATCH($F400,Parametros!$A$13:$A$16,0))</f>
        <v>45835</v>
      </c>
      <c r="X400" s="31" t="s">
        <v>67</v>
      </c>
      <c r="Y400" s="53" t="n">
        <f aca="false">IF(COUNTIF($A$2:$A400,A400)=1,1,0)</f>
        <v>0</v>
      </c>
    </row>
    <row r="401" customFormat="false" ht="15" hidden="false" customHeight="false" outlineLevel="0" collapsed="false">
      <c r="A401" s="31" t="s">
        <v>457</v>
      </c>
      <c r="B401" s="36" t="n">
        <v>45790</v>
      </c>
      <c r="C401" s="49" t="n">
        <f aca="false">DATE(YEAR(B401),MONTH(B401),1)</f>
        <v>45778</v>
      </c>
      <c r="D401" s="31" t="s">
        <v>225</v>
      </c>
      <c r="E401" s="31" t="s">
        <v>43</v>
      </c>
      <c r="F401" s="31" t="s">
        <v>47</v>
      </c>
      <c r="G401" s="31" t="s">
        <v>59</v>
      </c>
      <c r="H401" s="31" t="s">
        <v>185</v>
      </c>
      <c r="I401" s="32" t="str">
        <f aca="false">INDEX(Productos!$B$2:$B$13,MATCH($H401,Productos!$A$2:$A$13,0))</f>
        <v>Varilla roscada M10 x 1 m zincada</v>
      </c>
      <c r="J401" s="32" t="str">
        <f aca="false">INDEX(Productos!$C$2:$C$13,MATCH($H401,Productos!$A$2:$A$13,0))</f>
        <v>Especial</v>
      </c>
      <c r="K401" s="31" t="s">
        <v>246</v>
      </c>
      <c r="L401" s="46" t="n">
        <v>57</v>
      </c>
      <c r="M401" s="50" t="n">
        <f aca="false">INDEX(Productos!$F$2:$F$13,MATCH($H401,Productos!$A$2:$A$13,0))</f>
        <v>54</v>
      </c>
      <c r="N401" s="51" t="n">
        <v>0.094</v>
      </c>
      <c r="O401" s="52" t="n">
        <f aca="false">M401*(1-N401)</f>
        <v>48.924</v>
      </c>
      <c r="P401" s="21" t="n">
        <f aca="false">L401*O401</f>
        <v>2788.668</v>
      </c>
      <c r="Q401" s="50" t="n">
        <f aca="false">INDEX(Productos!$E$2:$E$13,MATCH($H401,Productos!$A$2:$A$13,0))*INDEX(Parametros!$B$26:$B$43,MATCH($C401,Parametros!$A$26:$A$43,0))</f>
        <v>29.355</v>
      </c>
      <c r="R401" s="21" t="n">
        <f aca="false">L401*Q401</f>
        <v>1673.235</v>
      </c>
      <c r="S401" s="18" t="n">
        <f aca="false">L401*INDEX(Parametros!$B$20:$B$22,MATCH($E401,Parametros!$A$20:$A$22,0))</f>
        <v>108.3</v>
      </c>
      <c r="T401" s="18" t="n">
        <f aca="false">P401*INDEX(Parametros!$B$13:$B$16,MATCH($F401,Parametros!$A$13:$A$16,0))</f>
        <v>97.60338</v>
      </c>
      <c r="U401" s="21" t="n">
        <f aca="false">P401-R401-S401-T401</f>
        <v>909.52962</v>
      </c>
      <c r="V401" s="19" t="n">
        <f aca="false">IFERROR(U401/P401,0)</f>
        <v>0.32615199084294</v>
      </c>
      <c r="W401" s="48" t="n">
        <f aca="false">B401+INDEX(Parametros!$C$13:$C$16,MATCH($F401,Parametros!$A$13:$A$16,0))</f>
        <v>45835</v>
      </c>
      <c r="X401" s="31" t="s">
        <v>67</v>
      </c>
      <c r="Y401" s="53" t="n">
        <f aca="false">IF(COUNTIF($A$2:$A401,A401)=1,1,0)</f>
        <v>0</v>
      </c>
    </row>
    <row r="402" customFormat="false" ht="15" hidden="false" customHeight="false" outlineLevel="0" collapsed="false">
      <c r="A402" s="31" t="s">
        <v>458</v>
      </c>
      <c r="B402" s="36" t="n">
        <v>45790</v>
      </c>
      <c r="C402" s="49" t="n">
        <f aca="false">DATE(YEAR(B402),MONTH(B402),1)</f>
        <v>45778</v>
      </c>
      <c r="D402" s="31" t="s">
        <v>227</v>
      </c>
      <c r="E402" s="31" t="s">
        <v>43</v>
      </c>
      <c r="F402" s="31" t="s">
        <v>46</v>
      </c>
      <c r="G402" s="31" t="s">
        <v>59</v>
      </c>
      <c r="H402" s="31" t="s">
        <v>171</v>
      </c>
      <c r="I402" s="32" t="str">
        <f aca="false">INDEX(Productos!$B$2:$B$13,MATCH($H402,Productos!$A$2:$A$13,0))</f>
        <v>Tornillo DIN 7991 M8x30 avellanado inox A2</v>
      </c>
      <c r="J402" s="32" t="str">
        <f aca="false">INDEX(Productos!$C$2:$C$13,MATCH($H402,Productos!$A$2:$A$13,0))</f>
        <v>Inoxidable</v>
      </c>
      <c r="K402" s="31" t="s">
        <v>246</v>
      </c>
      <c r="L402" s="46" t="n">
        <v>81</v>
      </c>
      <c r="M402" s="50" t="n">
        <f aca="false">INDEX(Productos!$F$2:$F$13,MATCH($H402,Productos!$A$2:$A$13,0))</f>
        <v>88</v>
      </c>
      <c r="N402" s="51" t="n">
        <v>0.122</v>
      </c>
      <c r="O402" s="52" t="n">
        <f aca="false">M402*(1-N402)</f>
        <v>77.264</v>
      </c>
      <c r="P402" s="21" t="n">
        <f aca="false">L402*O402</f>
        <v>6258.384</v>
      </c>
      <c r="Q402" s="50" t="n">
        <f aca="false">INDEX(Productos!$E$2:$E$13,MATCH($H402,Productos!$A$2:$A$13,0))*INDEX(Parametros!$B$26:$B$43,MATCH($C402,Parametros!$A$26:$A$43,0))</f>
        <v>47.895</v>
      </c>
      <c r="R402" s="21" t="n">
        <f aca="false">L402*Q402</f>
        <v>3879.495</v>
      </c>
      <c r="S402" s="18" t="n">
        <f aca="false">L402*INDEX(Parametros!$B$20:$B$22,MATCH($E402,Parametros!$A$20:$A$22,0))</f>
        <v>153.9</v>
      </c>
      <c r="T402" s="18" t="n">
        <f aca="false">P402*INDEX(Parametros!$B$13:$B$16,MATCH($F402,Parametros!$A$13:$A$16,0))</f>
        <v>250.33536</v>
      </c>
      <c r="U402" s="21" t="n">
        <f aca="false">P402-R402-S402-T402</f>
        <v>1974.65364</v>
      </c>
      <c r="V402" s="19" t="n">
        <f aca="false">IFERROR(U402/P402,0)</f>
        <v>0.315521329467799</v>
      </c>
      <c r="W402" s="48" t="n">
        <f aca="false">B402+INDEX(Parametros!$C$13:$C$16,MATCH($F402,Parametros!$A$13:$A$16,0))</f>
        <v>45865</v>
      </c>
      <c r="X402" s="31" t="s">
        <v>67</v>
      </c>
      <c r="Y402" s="53" t="n">
        <f aca="false">IF(COUNTIF($A$2:$A402,A402)=1,1,0)</f>
        <v>1</v>
      </c>
    </row>
    <row r="403" customFormat="false" ht="15" hidden="false" customHeight="false" outlineLevel="0" collapsed="false">
      <c r="A403" s="31" t="s">
        <v>459</v>
      </c>
      <c r="B403" s="36" t="n">
        <v>45790</v>
      </c>
      <c r="C403" s="49" t="n">
        <f aca="false">DATE(YEAR(B403),MONTH(B403),1)</f>
        <v>45778</v>
      </c>
      <c r="D403" s="31" t="s">
        <v>191</v>
      </c>
      <c r="E403" s="31" t="s">
        <v>41</v>
      </c>
      <c r="F403" s="31" t="s">
        <v>47</v>
      </c>
      <c r="G403" s="31" t="s">
        <v>58</v>
      </c>
      <c r="H403" s="31" t="s">
        <v>175</v>
      </c>
      <c r="I403" s="32" t="str">
        <f aca="false">INDEX(Productos!$B$2:$B$13,MATCH($H403,Productos!$A$2:$A$13,0))</f>
        <v>Tirafondo madera 5x60 cabeza plana Torx</v>
      </c>
      <c r="J403" s="32" t="str">
        <f aca="false">INDEX(Productos!$C$2:$C$13,MATCH($H403,Productos!$A$2:$A$13,0))</f>
        <v>Madera</v>
      </c>
      <c r="K403" s="31" t="s">
        <v>246</v>
      </c>
      <c r="L403" s="46" t="n">
        <v>42</v>
      </c>
      <c r="M403" s="50" t="n">
        <f aca="false">INDEX(Productos!$F$2:$F$13,MATCH($H403,Productos!$A$2:$A$13,0))</f>
        <v>26</v>
      </c>
      <c r="N403" s="51" t="n">
        <v>0.069</v>
      </c>
      <c r="O403" s="52" t="n">
        <f aca="false">M403*(1-N403)</f>
        <v>24.206</v>
      </c>
      <c r="P403" s="21" t="n">
        <f aca="false">L403*O403</f>
        <v>1016.652</v>
      </c>
      <c r="Q403" s="50" t="n">
        <f aca="false">INDEX(Productos!$E$2:$E$13,MATCH($H403,Productos!$A$2:$A$13,0))*INDEX(Parametros!$B$26:$B$43,MATCH($C403,Parametros!$A$26:$A$43,0))</f>
        <v>13.802</v>
      </c>
      <c r="R403" s="21" t="n">
        <f aca="false">L403*Q403</f>
        <v>579.684</v>
      </c>
      <c r="S403" s="18" t="n">
        <f aca="false">L403*INDEX(Parametros!$B$20:$B$22,MATCH($E403,Parametros!$A$20:$A$22,0))</f>
        <v>35.7</v>
      </c>
      <c r="T403" s="18" t="n">
        <f aca="false">P403*INDEX(Parametros!$B$13:$B$16,MATCH($F403,Parametros!$A$13:$A$16,0))</f>
        <v>35.58282</v>
      </c>
      <c r="U403" s="21" t="n">
        <f aca="false">P403-R403-S403-T403</f>
        <v>365.68518</v>
      </c>
      <c r="V403" s="19" t="n">
        <f aca="false">IFERROR(U403/P403,0)</f>
        <v>0.359695530033876</v>
      </c>
      <c r="W403" s="48" t="n">
        <f aca="false">B403+INDEX(Parametros!$C$13:$C$16,MATCH($F403,Parametros!$A$13:$A$16,0))</f>
        <v>45835</v>
      </c>
      <c r="X403" s="31" t="s">
        <v>67</v>
      </c>
      <c r="Y403" s="53" t="n">
        <f aca="false">IF(COUNTIF($A$2:$A403,A403)=1,1,0)</f>
        <v>1</v>
      </c>
    </row>
    <row r="404" customFormat="false" ht="15" hidden="false" customHeight="false" outlineLevel="0" collapsed="false">
      <c r="A404" s="31" t="s">
        <v>459</v>
      </c>
      <c r="B404" s="36" t="n">
        <v>45790</v>
      </c>
      <c r="C404" s="49" t="n">
        <f aca="false">DATE(YEAR(B404),MONTH(B404),1)</f>
        <v>45778</v>
      </c>
      <c r="D404" s="31" t="s">
        <v>191</v>
      </c>
      <c r="E404" s="31" t="s">
        <v>41</v>
      </c>
      <c r="F404" s="31" t="s">
        <v>47</v>
      </c>
      <c r="G404" s="31" t="s">
        <v>58</v>
      </c>
      <c r="H404" s="31" t="s">
        <v>179</v>
      </c>
      <c r="I404" s="32" t="str">
        <f aca="false">INDEX(Productos!$B$2:$B$13,MATCH($H404,Productos!$A$2:$A$13,0))</f>
        <v>Autotaladrante DIN 7504 4,8x38 zincado</v>
      </c>
      <c r="J404" s="32" t="str">
        <f aca="false">INDEX(Productos!$C$2:$C$13,MATCH($H404,Productos!$A$2:$A$13,0))</f>
        <v>Autotaladrante</v>
      </c>
      <c r="K404" s="31" t="s">
        <v>246</v>
      </c>
      <c r="L404" s="46" t="n">
        <v>173</v>
      </c>
      <c r="M404" s="50" t="n">
        <f aca="false">INDEX(Productos!$F$2:$F$13,MATCH($H404,Productos!$A$2:$A$13,0))</f>
        <v>29.5</v>
      </c>
      <c r="N404" s="51" t="n">
        <v>0.063</v>
      </c>
      <c r="O404" s="52" t="n">
        <f aca="false">M404*(1-N404)</f>
        <v>27.6415</v>
      </c>
      <c r="P404" s="21" t="n">
        <f aca="false">L404*O404</f>
        <v>4781.9795</v>
      </c>
      <c r="Q404" s="50" t="n">
        <f aca="false">INDEX(Productos!$E$2:$E$13,MATCH($H404,Productos!$A$2:$A$13,0))*INDEX(Parametros!$B$26:$B$43,MATCH($C404,Parametros!$A$26:$A$43,0))</f>
        <v>15.656</v>
      </c>
      <c r="R404" s="21" t="n">
        <f aca="false">L404*Q404</f>
        <v>2708.488</v>
      </c>
      <c r="S404" s="18" t="n">
        <f aca="false">L404*INDEX(Parametros!$B$20:$B$22,MATCH($E404,Parametros!$A$20:$A$22,0))</f>
        <v>147.05</v>
      </c>
      <c r="T404" s="18" t="n">
        <f aca="false">P404*INDEX(Parametros!$B$13:$B$16,MATCH($F404,Parametros!$A$13:$A$16,0))</f>
        <v>167.3692825</v>
      </c>
      <c r="U404" s="21" t="n">
        <f aca="false">P404-R404-S404-T404</f>
        <v>1759.0722175</v>
      </c>
      <c r="V404" s="19" t="n">
        <f aca="false">IFERROR(U404/P404,0)</f>
        <v>0.367854403704575</v>
      </c>
      <c r="W404" s="48" t="n">
        <f aca="false">B404+INDEX(Parametros!$C$13:$C$16,MATCH($F404,Parametros!$A$13:$A$16,0))</f>
        <v>45835</v>
      </c>
      <c r="X404" s="31" t="s">
        <v>67</v>
      </c>
      <c r="Y404" s="53" t="n">
        <f aca="false">IF(COUNTIF($A$2:$A404,A404)=1,1,0)</f>
        <v>0</v>
      </c>
    </row>
    <row r="405" customFormat="false" ht="15" hidden="false" customHeight="false" outlineLevel="0" collapsed="false">
      <c r="A405" s="31" t="s">
        <v>460</v>
      </c>
      <c r="B405" s="36" t="n">
        <v>45791</v>
      </c>
      <c r="C405" s="49" t="n">
        <f aca="false">DATE(YEAR(B405),MONTH(B405),1)</f>
        <v>45778</v>
      </c>
      <c r="D405" s="31" t="s">
        <v>196</v>
      </c>
      <c r="E405" s="31" t="s">
        <v>41</v>
      </c>
      <c r="F405" s="31" t="s">
        <v>47</v>
      </c>
      <c r="G405" s="31" t="s">
        <v>58</v>
      </c>
      <c r="H405" s="31" t="s">
        <v>181</v>
      </c>
      <c r="I405" s="32" t="str">
        <f aca="false">INDEX(Productos!$B$2:$B$13,MATCH($H405,Productos!$A$2:$A$13,0))</f>
        <v>Autotaladrante 5,5x55 punta broca</v>
      </c>
      <c r="J405" s="32" t="str">
        <f aca="false">INDEX(Productos!$C$2:$C$13,MATCH($H405,Productos!$A$2:$A$13,0))</f>
        <v>Autotaladrante</v>
      </c>
      <c r="K405" s="31" t="s">
        <v>246</v>
      </c>
      <c r="L405" s="46" t="n">
        <v>146</v>
      </c>
      <c r="M405" s="50" t="n">
        <f aca="false">INDEX(Productos!$F$2:$F$13,MATCH($H405,Productos!$A$2:$A$13,0))</f>
        <v>39</v>
      </c>
      <c r="N405" s="51" t="n">
        <v>0.082</v>
      </c>
      <c r="O405" s="52" t="n">
        <f aca="false">M405*(1-N405)</f>
        <v>35.802</v>
      </c>
      <c r="P405" s="21" t="n">
        <f aca="false">L405*O405</f>
        <v>5227.092</v>
      </c>
      <c r="Q405" s="50" t="n">
        <f aca="false">INDEX(Productos!$E$2:$E$13,MATCH($H405,Productos!$A$2:$A$13,0))*INDEX(Parametros!$B$26:$B$43,MATCH($C405,Parametros!$A$26:$A$43,0))</f>
        <v>20.909</v>
      </c>
      <c r="R405" s="21" t="n">
        <f aca="false">L405*Q405</f>
        <v>3052.714</v>
      </c>
      <c r="S405" s="18" t="n">
        <f aca="false">L405*INDEX(Parametros!$B$20:$B$22,MATCH($E405,Parametros!$A$20:$A$22,0))</f>
        <v>124.1</v>
      </c>
      <c r="T405" s="18" t="n">
        <f aca="false">P405*INDEX(Parametros!$B$13:$B$16,MATCH($F405,Parametros!$A$13:$A$16,0))</f>
        <v>182.94822</v>
      </c>
      <c r="U405" s="21" t="n">
        <f aca="false">P405-R405-S405-T405</f>
        <v>1867.32978</v>
      </c>
      <c r="V405" s="19" t="n">
        <f aca="false">IFERROR(U405/P405,0)</f>
        <v>0.357240656946539</v>
      </c>
      <c r="W405" s="48" t="n">
        <f aca="false">B405+INDEX(Parametros!$C$13:$C$16,MATCH($F405,Parametros!$A$13:$A$16,0))</f>
        <v>45836</v>
      </c>
      <c r="X405" s="31" t="s">
        <v>69</v>
      </c>
      <c r="Y405" s="53" t="n">
        <f aca="false">IF(COUNTIF($A$2:$A405,A405)=1,1,0)</f>
        <v>1</v>
      </c>
    </row>
    <row r="406" customFormat="false" ht="15" hidden="false" customHeight="false" outlineLevel="0" collapsed="false">
      <c r="A406" s="31" t="s">
        <v>461</v>
      </c>
      <c r="B406" s="36" t="n">
        <v>45791</v>
      </c>
      <c r="C406" s="49" t="n">
        <f aca="false">DATE(YEAR(B406),MONTH(B406),1)</f>
        <v>45778</v>
      </c>
      <c r="D406" s="31" t="s">
        <v>196</v>
      </c>
      <c r="E406" s="31" t="s">
        <v>41</v>
      </c>
      <c r="F406" s="31" t="s">
        <v>47</v>
      </c>
      <c r="G406" s="31" t="s">
        <v>58</v>
      </c>
      <c r="H406" s="31" t="s">
        <v>171</v>
      </c>
      <c r="I406" s="32" t="str">
        <f aca="false">INDEX(Productos!$B$2:$B$13,MATCH($H406,Productos!$A$2:$A$13,0))</f>
        <v>Tornillo DIN 7991 M8x30 avellanado inox A2</v>
      </c>
      <c r="J406" s="32" t="str">
        <f aca="false">INDEX(Productos!$C$2:$C$13,MATCH($H406,Productos!$A$2:$A$13,0))</f>
        <v>Inoxidable</v>
      </c>
      <c r="K406" s="31" t="s">
        <v>246</v>
      </c>
      <c r="L406" s="46" t="n">
        <v>72</v>
      </c>
      <c r="M406" s="50" t="n">
        <f aca="false">INDEX(Productos!$F$2:$F$13,MATCH($H406,Productos!$A$2:$A$13,0))</f>
        <v>88</v>
      </c>
      <c r="N406" s="51" t="n">
        <v>0.079</v>
      </c>
      <c r="O406" s="52" t="n">
        <f aca="false">M406*(1-N406)</f>
        <v>81.048</v>
      </c>
      <c r="P406" s="21" t="n">
        <f aca="false">L406*O406</f>
        <v>5835.456</v>
      </c>
      <c r="Q406" s="50" t="n">
        <f aca="false">INDEX(Productos!$E$2:$E$13,MATCH($H406,Productos!$A$2:$A$13,0))*INDEX(Parametros!$B$26:$B$43,MATCH($C406,Parametros!$A$26:$A$43,0))</f>
        <v>47.895</v>
      </c>
      <c r="R406" s="21" t="n">
        <f aca="false">L406*Q406</f>
        <v>3448.44</v>
      </c>
      <c r="S406" s="18" t="n">
        <f aca="false">L406*INDEX(Parametros!$B$20:$B$22,MATCH($E406,Parametros!$A$20:$A$22,0))</f>
        <v>61.2</v>
      </c>
      <c r="T406" s="18" t="n">
        <f aca="false">P406*INDEX(Parametros!$B$13:$B$16,MATCH($F406,Parametros!$A$13:$A$16,0))</f>
        <v>204.24096</v>
      </c>
      <c r="U406" s="21" t="n">
        <f aca="false">P406-R406-S406-T406</f>
        <v>2121.57504</v>
      </c>
      <c r="V406" s="19" t="n">
        <f aca="false">IFERROR(U406/P406,0)</f>
        <v>0.363566281709604</v>
      </c>
      <c r="W406" s="48" t="n">
        <f aca="false">B406+INDEX(Parametros!$C$13:$C$16,MATCH($F406,Parametros!$A$13:$A$16,0))</f>
        <v>45836</v>
      </c>
      <c r="X406" s="31" t="s">
        <v>67</v>
      </c>
      <c r="Y406" s="53" t="n">
        <f aca="false">IF(COUNTIF($A$2:$A406,A406)=1,1,0)</f>
        <v>1</v>
      </c>
    </row>
    <row r="407" customFormat="false" ht="15" hidden="false" customHeight="false" outlineLevel="0" collapsed="false">
      <c r="A407" s="31" t="s">
        <v>461</v>
      </c>
      <c r="B407" s="36" t="n">
        <v>45791</v>
      </c>
      <c r="C407" s="49" t="n">
        <f aca="false">DATE(YEAR(B407),MONTH(B407),1)</f>
        <v>45778</v>
      </c>
      <c r="D407" s="31" t="s">
        <v>196</v>
      </c>
      <c r="E407" s="31" t="s">
        <v>41</v>
      </c>
      <c r="F407" s="31" t="s">
        <v>47</v>
      </c>
      <c r="G407" s="31" t="s">
        <v>58</v>
      </c>
      <c r="H407" s="31" t="s">
        <v>175</v>
      </c>
      <c r="I407" s="32" t="str">
        <f aca="false">INDEX(Productos!$B$2:$B$13,MATCH($H407,Productos!$A$2:$A$13,0))</f>
        <v>Tirafondo madera 5x60 cabeza plana Torx</v>
      </c>
      <c r="J407" s="32" t="str">
        <f aca="false">INDEX(Productos!$C$2:$C$13,MATCH($H407,Productos!$A$2:$A$13,0))</f>
        <v>Madera</v>
      </c>
      <c r="K407" s="31" t="s">
        <v>246</v>
      </c>
      <c r="L407" s="46" t="n">
        <v>13</v>
      </c>
      <c r="M407" s="50" t="n">
        <f aca="false">INDEX(Productos!$F$2:$F$13,MATCH($H407,Productos!$A$2:$A$13,0))</f>
        <v>26</v>
      </c>
      <c r="N407" s="51" t="n">
        <v>0.055</v>
      </c>
      <c r="O407" s="52" t="n">
        <f aca="false">M407*(1-N407)</f>
        <v>24.57</v>
      </c>
      <c r="P407" s="21" t="n">
        <f aca="false">L407*O407</f>
        <v>319.41</v>
      </c>
      <c r="Q407" s="50" t="n">
        <f aca="false">INDEX(Productos!$E$2:$E$13,MATCH($H407,Productos!$A$2:$A$13,0))*INDEX(Parametros!$B$26:$B$43,MATCH($C407,Parametros!$A$26:$A$43,0))</f>
        <v>13.802</v>
      </c>
      <c r="R407" s="21" t="n">
        <f aca="false">L407*Q407</f>
        <v>179.426</v>
      </c>
      <c r="S407" s="18" t="n">
        <f aca="false">L407*INDEX(Parametros!$B$20:$B$22,MATCH($E407,Parametros!$A$20:$A$22,0))</f>
        <v>11.05</v>
      </c>
      <c r="T407" s="18" t="n">
        <f aca="false">P407*INDEX(Parametros!$B$13:$B$16,MATCH($F407,Parametros!$A$13:$A$16,0))</f>
        <v>11.17935</v>
      </c>
      <c r="U407" s="21" t="n">
        <f aca="false">P407-R407-S407-T407</f>
        <v>117.75465</v>
      </c>
      <c r="V407" s="19" t="n">
        <f aca="false">IFERROR(U407/P407,0)</f>
        <v>0.368663003663004</v>
      </c>
      <c r="W407" s="48" t="n">
        <f aca="false">B407+INDEX(Parametros!$C$13:$C$16,MATCH($F407,Parametros!$A$13:$A$16,0))</f>
        <v>45836</v>
      </c>
      <c r="X407" s="31" t="s">
        <v>67</v>
      </c>
      <c r="Y407" s="53" t="n">
        <f aca="false">IF(COUNTIF($A$2:$A407,A407)=1,1,0)</f>
        <v>0</v>
      </c>
    </row>
    <row r="408" customFormat="false" ht="15" hidden="false" customHeight="false" outlineLevel="0" collapsed="false">
      <c r="A408" s="31" t="s">
        <v>461</v>
      </c>
      <c r="B408" s="36" t="n">
        <v>45791</v>
      </c>
      <c r="C408" s="49" t="n">
        <f aca="false">DATE(YEAR(B408),MONTH(B408),1)</f>
        <v>45778</v>
      </c>
      <c r="D408" s="31" t="s">
        <v>196</v>
      </c>
      <c r="E408" s="31" t="s">
        <v>41</v>
      </c>
      <c r="F408" s="31" t="s">
        <v>47</v>
      </c>
      <c r="G408" s="31" t="s">
        <v>58</v>
      </c>
      <c r="H408" s="31" t="s">
        <v>181</v>
      </c>
      <c r="I408" s="32" t="str">
        <f aca="false">INDEX(Productos!$B$2:$B$13,MATCH($H408,Productos!$A$2:$A$13,0))</f>
        <v>Autotaladrante 5,5x55 punta broca</v>
      </c>
      <c r="J408" s="32" t="str">
        <f aca="false">INDEX(Productos!$C$2:$C$13,MATCH($H408,Productos!$A$2:$A$13,0))</f>
        <v>Autotaladrante</v>
      </c>
      <c r="K408" s="31" t="s">
        <v>246</v>
      </c>
      <c r="L408" s="46" t="n">
        <v>74</v>
      </c>
      <c r="M408" s="50" t="n">
        <f aca="false">INDEX(Productos!$F$2:$F$13,MATCH($H408,Productos!$A$2:$A$13,0))</f>
        <v>39</v>
      </c>
      <c r="N408" s="51" t="n">
        <v>0.054</v>
      </c>
      <c r="O408" s="52" t="n">
        <f aca="false">M408*(1-N408)</f>
        <v>36.894</v>
      </c>
      <c r="P408" s="21" t="n">
        <f aca="false">L408*O408</f>
        <v>2730.156</v>
      </c>
      <c r="Q408" s="50" t="n">
        <f aca="false">INDEX(Productos!$E$2:$E$13,MATCH($H408,Productos!$A$2:$A$13,0))*INDEX(Parametros!$B$26:$B$43,MATCH($C408,Parametros!$A$26:$A$43,0))</f>
        <v>20.909</v>
      </c>
      <c r="R408" s="21" t="n">
        <f aca="false">L408*Q408</f>
        <v>1547.266</v>
      </c>
      <c r="S408" s="18" t="n">
        <f aca="false">L408*INDEX(Parametros!$B$20:$B$22,MATCH($E408,Parametros!$A$20:$A$22,0))</f>
        <v>62.9</v>
      </c>
      <c r="T408" s="18" t="n">
        <f aca="false">P408*INDEX(Parametros!$B$13:$B$16,MATCH($F408,Parametros!$A$13:$A$16,0))</f>
        <v>95.55546</v>
      </c>
      <c r="U408" s="21" t="n">
        <f aca="false">P408-R408-S408-T408</f>
        <v>1024.43454</v>
      </c>
      <c r="V408" s="19" t="n">
        <f aca="false">IFERROR(U408/P408,0)</f>
        <v>0.375229305578143</v>
      </c>
      <c r="W408" s="48" t="n">
        <f aca="false">B408+INDEX(Parametros!$C$13:$C$16,MATCH($F408,Parametros!$A$13:$A$16,0))</f>
        <v>45836</v>
      </c>
      <c r="X408" s="31" t="s">
        <v>67</v>
      </c>
      <c r="Y408" s="53" t="n">
        <f aca="false">IF(COUNTIF($A$2:$A408,A408)=1,1,0)</f>
        <v>0</v>
      </c>
    </row>
    <row r="409" customFormat="false" ht="15" hidden="false" customHeight="false" outlineLevel="0" collapsed="false">
      <c r="A409" s="31" t="s">
        <v>461</v>
      </c>
      <c r="B409" s="36" t="n">
        <v>45791</v>
      </c>
      <c r="C409" s="49" t="n">
        <f aca="false">DATE(YEAR(B409),MONTH(B409),1)</f>
        <v>45778</v>
      </c>
      <c r="D409" s="31" t="s">
        <v>196</v>
      </c>
      <c r="E409" s="31" t="s">
        <v>41</v>
      </c>
      <c r="F409" s="31" t="s">
        <v>47</v>
      </c>
      <c r="G409" s="31" t="s">
        <v>58</v>
      </c>
      <c r="H409" s="31" t="s">
        <v>177</v>
      </c>
      <c r="I409" s="32" t="str">
        <f aca="false">INDEX(Productos!$B$2:$B$13,MATCH($H409,Productos!$A$2:$A$13,0))</f>
        <v>Tirafondo madera 6x100 cabeza plana Torx</v>
      </c>
      <c r="J409" s="32" t="str">
        <f aca="false">INDEX(Productos!$C$2:$C$13,MATCH($H409,Productos!$A$2:$A$13,0))</f>
        <v>Madera</v>
      </c>
      <c r="K409" s="31" t="s">
        <v>246</v>
      </c>
      <c r="L409" s="46" t="n">
        <v>24</v>
      </c>
      <c r="M409" s="50" t="n">
        <f aca="false">INDEX(Productos!$F$2:$F$13,MATCH($H409,Productos!$A$2:$A$13,0))</f>
        <v>34</v>
      </c>
      <c r="N409" s="51" t="n">
        <v>0.048</v>
      </c>
      <c r="O409" s="52" t="n">
        <f aca="false">M409*(1-N409)</f>
        <v>32.368</v>
      </c>
      <c r="P409" s="21" t="n">
        <f aca="false">L409*O409</f>
        <v>776.832</v>
      </c>
      <c r="Q409" s="50" t="n">
        <f aca="false">INDEX(Productos!$E$2:$E$13,MATCH($H409,Productos!$A$2:$A$13,0))*INDEX(Parametros!$B$26:$B$43,MATCH($C409,Parametros!$A$26:$A$43,0))</f>
        <v>18.334</v>
      </c>
      <c r="R409" s="21" t="n">
        <f aca="false">L409*Q409</f>
        <v>440.016</v>
      </c>
      <c r="S409" s="18" t="n">
        <f aca="false">L409*INDEX(Parametros!$B$20:$B$22,MATCH($E409,Parametros!$A$20:$A$22,0))</f>
        <v>20.4</v>
      </c>
      <c r="T409" s="18" t="n">
        <f aca="false">P409*INDEX(Parametros!$B$13:$B$16,MATCH($F409,Parametros!$A$13:$A$16,0))</f>
        <v>27.18912</v>
      </c>
      <c r="U409" s="21" t="n">
        <f aca="false">P409-R409-S409-T409</f>
        <v>289.22688</v>
      </c>
      <c r="V409" s="19" t="n">
        <f aca="false">IFERROR(U409/P409,0)</f>
        <v>0.37231586752348</v>
      </c>
      <c r="W409" s="48" t="n">
        <f aca="false">B409+INDEX(Parametros!$C$13:$C$16,MATCH($F409,Parametros!$A$13:$A$16,0))</f>
        <v>45836</v>
      </c>
      <c r="X409" s="31" t="s">
        <v>67</v>
      </c>
      <c r="Y409" s="53" t="n">
        <f aca="false">IF(COUNTIF($A$2:$A409,A409)=1,1,0)</f>
        <v>0</v>
      </c>
    </row>
    <row r="410" customFormat="false" ht="15" hidden="false" customHeight="false" outlineLevel="0" collapsed="false">
      <c r="A410" s="31" t="s">
        <v>462</v>
      </c>
      <c r="B410" s="36" t="n">
        <v>45791</v>
      </c>
      <c r="C410" s="49" t="n">
        <f aca="false">DATE(YEAR(B410),MONTH(B410),1)</f>
        <v>45778</v>
      </c>
      <c r="D410" s="31" t="s">
        <v>205</v>
      </c>
      <c r="E410" s="31" t="s">
        <v>41</v>
      </c>
      <c r="F410" s="31" t="s">
        <v>45</v>
      </c>
      <c r="G410" s="31" t="s">
        <v>62</v>
      </c>
      <c r="H410" s="31" t="s">
        <v>171</v>
      </c>
      <c r="I410" s="32" t="str">
        <f aca="false">INDEX(Productos!$B$2:$B$13,MATCH($H410,Productos!$A$2:$A$13,0))</f>
        <v>Tornillo DIN 7991 M8x30 avellanado inox A2</v>
      </c>
      <c r="J410" s="32" t="str">
        <f aca="false">INDEX(Productos!$C$2:$C$13,MATCH($H410,Productos!$A$2:$A$13,0))</f>
        <v>Inoxidable</v>
      </c>
      <c r="K410" s="31" t="s">
        <v>246</v>
      </c>
      <c r="L410" s="46" t="n">
        <v>104</v>
      </c>
      <c r="M410" s="50" t="n">
        <f aca="false">INDEX(Productos!$F$2:$F$13,MATCH($H410,Productos!$A$2:$A$13,0))</f>
        <v>88</v>
      </c>
      <c r="N410" s="51" t="n">
        <v>0.152</v>
      </c>
      <c r="O410" s="52" t="n">
        <f aca="false">M410*(1-N410)</f>
        <v>74.624</v>
      </c>
      <c r="P410" s="21" t="n">
        <f aca="false">L410*O410</f>
        <v>7760.896</v>
      </c>
      <c r="Q410" s="50" t="n">
        <f aca="false">INDEX(Productos!$E$2:$E$13,MATCH($H410,Productos!$A$2:$A$13,0))*INDEX(Parametros!$B$26:$B$43,MATCH($C410,Parametros!$A$26:$A$43,0))</f>
        <v>47.895</v>
      </c>
      <c r="R410" s="21" t="n">
        <f aca="false">L410*Q410</f>
        <v>4981.08</v>
      </c>
      <c r="S410" s="18" t="n">
        <f aca="false">L410*INDEX(Parametros!$B$20:$B$22,MATCH($E410,Parametros!$A$20:$A$22,0))</f>
        <v>88.4</v>
      </c>
      <c r="T410" s="18" t="n">
        <f aca="false">P410*INDEX(Parametros!$B$13:$B$16,MATCH($F410,Parametros!$A$13:$A$16,0))</f>
        <v>232.82688</v>
      </c>
      <c r="U410" s="21" t="n">
        <f aca="false">P410-R410-S410-T410</f>
        <v>2458.58912</v>
      </c>
      <c r="V410" s="19" t="n">
        <f aca="false">IFERROR(U410/P410,0)</f>
        <v>0.316791916809605</v>
      </c>
      <c r="W410" s="48" t="n">
        <f aca="false">B410+INDEX(Parametros!$C$13:$C$16,MATCH($F410,Parametros!$A$13:$A$16,0))</f>
        <v>45851</v>
      </c>
      <c r="X410" s="31" t="s">
        <v>69</v>
      </c>
      <c r="Y410" s="53" t="n">
        <f aca="false">IF(COUNTIF($A$2:$A410,A410)=1,1,0)</f>
        <v>1</v>
      </c>
    </row>
    <row r="411" customFormat="false" ht="15" hidden="false" customHeight="false" outlineLevel="0" collapsed="false">
      <c r="A411" s="31" t="s">
        <v>463</v>
      </c>
      <c r="B411" s="36" t="n">
        <v>45792</v>
      </c>
      <c r="C411" s="49" t="n">
        <f aca="false">DATE(YEAR(B411),MONTH(B411),1)</f>
        <v>45778</v>
      </c>
      <c r="D411" s="31" t="s">
        <v>224</v>
      </c>
      <c r="E411" s="31" t="s">
        <v>43</v>
      </c>
      <c r="F411" s="31" t="s">
        <v>45</v>
      </c>
      <c r="G411" s="31" t="s">
        <v>59</v>
      </c>
      <c r="H411" s="31" t="s">
        <v>175</v>
      </c>
      <c r="I411" s="32" t="str">
        <f aca="false">INDEX(Productos!$B$2:$B$13,MATCH($H411,Productos!$A$2:$A$13,0))</f>
        <v>Tirafondo madera 5x60 cabeza plana Torx</v>
      </c>
      <c r="J411" s="32" t="str">
        <f aca="false">INDEX(Productos!$C$2:$C$13,MATCH($H411,Productos!$A$2:$A$13,0))</f>
        <v>Madera</v>
      </c>
      <c r="K411" s="31" t="s">
        <v>246</v>
      </c>
      <c r="L411" s="46" t="n">
        <v>131</v>
      </c>
      <c r="M411" s="50" t="n">
        <f aca="false">INDEX(Productos!$F$2:$F$13,MATCH($H411,Productos!$A$2:$A$13,0))</f>
        <v>26</v>
      </c>
      <c r="N411" s="51" t="n">
        <v>0.145</v>
      </c>
      <c r="O411" s="52" t="n">
        <f aca="false">M411*(1-N411)</f>
        <v>22.23</v>
      </c>
      <c r="P411" s="21" t="n">
        <f aca="false">L411*O411</f>
        <v>2912.13</v>
      </c>
      <c r="Q411" s="50" t="n">
        <f aca="false">INDEX(Productos!$E$2:$E$13,MATCH($H411,Productos!$A$2:$A$13,0))*INDEX(Parametros!$B$26:$B$43,MATCH($C411,Parametros!$A$26:$A$43,0))</f>
        <v>13.802</v>
      </c>
      <c r="R411" s="21" t="n">
        <f aca="false">L411*Q411</f>
        <v>1808.062</v>
      </c>
      <c r="S411" s="18" t="n">
        <f aca="false">L411*INDEX(Parametros!$B$20:$B$22,MATCH($E411,Parametros!$A$20:$A$22,0))</f>
        <v>248.9</v>
      </c>
      <c r="T411" s="18" t="n">
        <f aca="false">P411*INDEX(Parametros!$B$13:$B$16,MATCH($F411,Parametros!$A$13:$A$16,0))</f>
        <v>87.3639</v>
      </c>
      <c r="U411" s="21" t="n">
        <f aca="false">P411-R411-S411-T411</f>
        <v>767.8041</v>
      </c>
      <c r="V411" s="19" t="n">
        <f aca="false">IFERROR(U411/P411,0)</f>
        <v>0.263657219973009</v>
      </c>
      <c r="W411" s="48" t="n">
        <f aca="false">B411+INDEX(Parametros!$C$13:$C$16,MATCH($F411,Parametros!$A$13:$A$16,0))</f>
        <v>45852</v>
      </c>
      <c r="X411" s="31" t="s">
        <v>67</v>
      </c>
      <c r="Y411" s="53" t="n">
        <f aca="false">IF(COUNTIF($A$2:$A411,A411)=1,1,0)</f>
        <v>1</v>
      </c>
    </row>
    <row r="412" customFormat="false" ht="15" hidden="false" customHeight="false" outlineLevel="0" collapsed="false">
      <c r="A412" s="31" t="s">
        <v>464</v>
      </c>
      <c r="B412" s="36" t="n">
        <v>45792</v>
      </c>
      <c r="C412" s="49" t="n">
        <f aca="false">DATE(YEAR(B412),MONTH(B412),1)</f>
        <v>45778</v>
      </c>
      <c r="D412" s="31" t="s">
        <v>222</v>
      </c>
      <c r="E412" s="31" t="s">
        <v>43</v>
      </c>
      <c r="F412" s="31" t="s">
        <v>45</v>
      </c>
      <c r="G412" s="31" t="s">
        <v>59</v>
      </c>
      <c r="H412" s="31" t="s">
        <v>181</v>
      </c>
      <c r="I412" s="32" t="str">
        <f aca="false">INDEX(Productos!$B$2:$B$13,MATCH($H412,Productos!$A$2:$A$13,0))</f>
        <v>Autotaladrante 5,5x55 punta broca</v>
      </c>
      <c r="J412" s="32" t="str">
        <f aca="false">INDEX(Productos!$C$2:$C$13,MATCH($H412,Productos!$A$2:$A$13,0))</f>
        <v>Autotaladrante</v>
      </c>
      <c r="K412" s="31" t="s">
        <v>246</v>
      </c>
      <c r="L412" s="46" t="n">
        <v>22</v>
      </c>
      <c r="M412" s="50" t="n">
        <f aca="false">INDEX(Productos!$F$2:$F$13,MATCH($H412,Productos!$A$2:$A$13,0))</f>
        <v>39</v>
      </c>
      <c r="N412" s="51" t="n">
        <v>0.197</v>
      </c>
      <c r="O412" s="52" t="n">
        <f aca="false">M412*(1-N412)</f>
        <v>31.317</v>
      </c>
      <c r="P412" s="21" t="n">
        <f aca="false">L412*O412</f>
        <v>688.974</v>
      </c>
      <c r="Q412" s="50" t="n">
        <f aca="false">INDEX(Productos!$E$2:$E$13,MATCH($H412,Productos!$A$2:$A$13,0))*INDEX(Parametros!$B$26:$B$43,MATCH($C412,Parametros!$A$26:$A$43,0))</f>
        <v>20.909</v>
      </c>
      <c r="R412" s="21" t="n">
        <f aca="false">L412*Q412</f>
        <v>459.998</v>
      </c>
      <c r="S412" s="18" t="n">
        <f aca="false">L412*INDEX(Parametros!$B$20:$B$22,MATCH($E412,Parametros!$A$20:$A$22,0))</f>
        <v>41.8</v>
      </c>
      <c r="T412" s="18" t="n">
        <f aca="false">P412*INDEX(Parametros!$B$13:$B$16,MATCH($F412,Parametros!$A$13:$A$16,0))</f>
        <v>20.66922</v>
      </c>
      <c r="U412" s="21" t="n">
        <f aca="false">P412-R412-S412-T412</f>
        <v>166.50678</v>
      </c>
      <c r="V412" s="19" t="n">
        <f aca="false">IFERROR(U412/P412,0)</f>
        <v>0.241673531947504</v>
      </c>
      <c r="W412" s="48" t="n">
        <f aca="false">B412+INDEX(Parametros!$C$13:$C$16,MATCH($F412,Parametros!$A$13:$A$16,0))</f>
        <v>45852</v>
      </c>
      <c r="X412" s="31" t="s">
        <v>67</v>
      </c>
      <c r="Y412" s="53" t="n">
        <f aca="false">IF(COUNTIF($A$2:$A412,A412)=1,1,0)</f>
        <v>1</v>
      </c>
    </row>
    <row r="413" customFormat="false" ht="15" hidden="false" customHeight="false" outlineLevel="0" collapsed="false">
      <c r="A413" s="31" t="s">
        <v>464</v>
      </c>
      <c r="B413" s="36" t="n">
        <v>45792</v>
      </c>
      <c r="C413" s="49" t="n">
        <f aca="false">DATE(YEAR(B413),MONTH(B413),1)</f>
        <v>45778</v>
      </c>
      <c r="D413" s="31" t="s">
        <v>222</v>
      </c>
      <c r="E413" s="31" t="s">
        <v>43</v>
      </c>
      <c r="F413" s="31" t="s">
        <v>45</v>
      </c>
      <c r="G413" s="31" t="s">
        <v>59</v>
      </c>
      <c r="H413" s="31" t="s">
        <v>169</v>
      </c>
      <c r="I413" s="32" t="str">
        <f aca="false">INDEX(Productos!$B$2:$B$13,MATCH($H413,Productos!$A$2:$A$13,0))</f>
        <v>Tornillo DIN 912 M10x60 Allen inox A2</v>
      </c>
      <c r="J413" s="32" t="str">
        <f aca="false">INDEX(Productos!$C$2:$C$13,MATCH($H413,Productos!$A$2:$A$13,0))</f>
        <v>Inoxidable</v>
      </c>
      <c r="K413" s="31" t="s">
        <v>246</v>
      </c>
      <c r="L413" s="46" t="n">
        <v>38</v>
      </c>
      <c r="M413" s="50" t="n">
        <f aca="false">INDEX(Productos!$F$2:$F$13,MATCH($H413,Productos!$A$2:$A$13,0))</f>
        <v>79</v>
      </c>
      <c r="N413" s="51" t="n">
        <v>0.155</v>
      </c>
      <c r="O413" s="52" t="n">
        <f aca="false">M413*(1-N413)</f>
        <v>66.755</v>
      </c>
      <c r="P413" s="21" t="n">
        <f aca="false">L413*O413</f>
        <v>2536.69</v>
      </c>
      <c r="Q413" s="50" t="n">
        <f aca="false">INDEX(Productos!$E$2:$E$13,MATCH($H413,Productos!$A$2:$A$13,0))*INDEX(Parametros!$B$26:$B$43,MATCH($C413,Parametros!$A$26:$A$43,0))</f>
        <v>43.26</v>
      </c>
      <c r="R413" s="21" t="n">
        <f aca="false">L413*Q413</f>
        <v>1643.88</v>
      </c>
      <c r="S413" s="18" t="n">
        <f aca="false">L413*INDEX(Parametros!$B$20:$B$22,MATCH($E413,Parametros!$A$20:$A$22,0))</f>
        <v>72.2</v>
      </c>
      <c r="T413" s="18" t="n">
        <f aca="false">P413*INDEX(Parametros!$B$13:$B$16,MATCH($F413,Parametros!$A$13:$A$16,0))</f>
        <v>76.1007</v>
      </c>
      <c r="U413" s="21" t="n">
        <f aca="false">P413-R413-S413-T413</f>
        <v>744.5093</v>
      </c>
      <c r="V413" s="19" t="n">
        <f aca="false">IFERROR(U413/P413,0)</f>
        <v>0.29349636731331</v>
      </c>
      <c r="W413" s="48" t="n">
        <f aca="false">B413+INDEX(Parametros!$C$13:$C$16,MATCH($F413,Parametros!$A$13:$A$16,0))</f>
        <v>45852</v>
      </c>
      <c r="X413" s="31" t="s">
        <v>67</v>
      </c>
      <c r="Y413" s="53" t="n">
        <f aca="false">IF(COUNTIF($A$2:$A413,A413)=1,1,0)</f>
        <v>0</v>
      </c>
    </row>
    <row r="414" customFormat="false" ht="15" hidden="false" customHeight="false" outlineLevel="0" collapsed="false">
      <c r="A414" s="31" t="s">
        <v>464</v>
      </c>
      <c r="B414" s="36" t="n">
        <v>45792</v>
      </c>
      <c r="C414" s="49" t="n">
        <f aca="false">DATE(YEAR(B414),MONTH(B414),1)</f>
        <v>45778</v>
      </c>
      <c r="D414" s="31" t="s">
        <v>222</v>
      </c>
      <c r="E414" s="31" t="s">
        <v>43</v>
      </c>
      <c r="F414" s="31" t="s">
        <v>45</v>
      </c>
      <c r="G414" s="31" t="s">
        <v>59</v>
      </c>
      <c r="H414" s="31" t="s">
        <v>177</v>
      </c>
      <c r="I414" s="32" t="str">
        <f aca="false">INDEX(Productos!$B$2:$B$13,MATCH($H414,Productos!$A$2:$A$13,0))</f>
        <v>Tirafondo madera 6x100 cabeza plana Torx</v>
      </c>
      <c r="J414" s="32" t="str">
        <f aca="false">INDEX(Productos!$C$2:$C$13,MATCH($H414,Productos!$A$2:$A$13,0))</f>
        <v>Madera</v>
      </c>
      <c r="K414" s="31" t="s">
        <v>246</v>
      </c>
      <c r="L414" s="46" t="n">
        <v>106</v>
      </c>
      <c r="M414" s="50" t="n">
        <f aca="false">INDEX(Productos!$F$2:$F$13,MATCH($H414,Productos!$A$2:$A$13,0))</f>
        <v>34</v>
      </c>
      <c r="N414" s="51" t="n">
        <v>0.2</v>
      </c>
      <c r="O414" s="52" t="n">
        <f aca="false">M414*(1-N414)</f>
        <v>27.2</v>
      </c>
      <c r="P414" s="21" t="n">
        <f aca="false">L414*O414</f>
        <v>2883.2</v>
      </c>
      <c r="Q414" s="50" t="n">
        <f aca="false">INDEX(Productos!$E$2:$E$13,MATCH($H414,Productos!$A$2:$A$13,0))*INDEX(Parametros!$B$26:$B$43,MATCH($C414,Parametros!$A$26:$A$43,0))</f>
        <v>18.334</v>
      </c>
      <c r="R414" s="21" t="n">
        <f aca="false">L414*Q414</f>
        <v>1943.404</v>
      </c>
      <c r="S414" s="18" t="n">
        <f aca="false">L414*INDEX(Parametros!$B$20:$B$22,MATCH($E414,Parametros!$A$20:$A$22,0))</f>
        <v>201.4</v>
      </c>
      <c r="T414" s="18" t="n">
        <f aca="false">P414*INDEX(Parametros!$B$13:$B$16,MATCH($F414,Parametros!$A$13:$A$16,0))</f>
        <v>86.496</v>
      </c>
      <c r="U414" s="21" t="n">
        <f aca="false">P414-R414-S414-T414</f>
        <v>651.9</v>
      </c>
      <c r="V414" s="19" t="n">
        <f aca="false">IFERROR(U414/P414,0)</f>
        <v>0.226102941176471</v>
      </c>
      <c r="W414" s="48" t="n">
        <f aca="false">B414+INDEX(Parametros!$C$13:$C$16,MATCH($F414,Parametros!$A$13:$A$16,0))</f>
        <v>45852</v>
      </c>
      <c r="X414" s="31" t="s">
        <v>67</v>
      </c>
      <c r="Y414" s="53" t="n">
        <f aca="false">IF(COUNTIF($A$2:$A414,A414)=1,1,0)</f>
        <v>0</v>
      </c>
    </row>
    <row r="415" customFormat="false" ht="15" hidden="false" customHeight="false" outlineLevel="0" collapsed="false">
      <c r="A415" s="31" t="s">
        <v>464</v>
      </c>
      <c r="B415" s="36" t="n">
        <v>45792</v>
      </c>
      <c r="C415" s="49" t="n">
        <f aca="false">DATE(YEAR(B415),MONTH(B415),1)</f>
        <v>45778</v>
      </c>
      <c r="D415" s="31" t="s">
        <v>222</v>
      </c>
      <c r="E415" s="31" t="s">
        <v>43</v>
      </c>
      <c r="F415" s="31" t="s">
        <v>45</v>
      </c>
      <c r="G415" s="31" t="s">
        <v>59</v>
      </c>
      <c r="H415" s="31" t="s">
        <v>175</v>
      </c>
      <c r="I415" s="32" t="str">
        <f aca="false">INDEX(Productos!$B$2:$B$13,MATCH($H415,Productos!$A$2:$A$13,0))</f>
        <v>Tirafondo madera 5x60 cabeza plana Torx</v>
      </c>
      <c r="J415" s="32" t="str">
        <f aca="false">INDEX(Productos!$C$2:$C$13,MATCH($H415,Productos!$A$2:$A$13,0))</f>
        <v>Madera</v>
      </c>
      <c r="K415" s="31" t="s">
        <v>246</v>
      </c>
      <c r="L415" s="46" t="n">
        <v>48</v>
      </c>
      <c r="M415" s="50" t="n">
        <f aca="false">INDEX(Productos!$F$2:$F$13,MATCH($H415,Productos!$A$2:$A$13,0))</f>
        <v>26</v>
      </c>
      <c r="N415" s="51" t="n">
        <v>0.217</v>
      </c>
      <c r="O415" s="52" t="n">
        <f aca="false">M415*(1-N415)</f>
        <v>20.358</v>
      </c>
      <c r="P415" s="21" t="n">
        <f aca="false">L415*O415</f>
        <v>977.184</v>
      </c>
      <c r="Q415" s="50" t="n">
        <f aca="false">INDEX(Productos!$E$2:$E$13,MATCH($H415,Productos!$A$2:$A$13,0))*INDEX(Parametros!$B$26:$B$43,MATCH($C415,Parametros!$A$26:$A$43,0))</f>
        <v>13.802</v>
      </c>
      <c r="R415" s="21" t="n">
        <f aca="false">L415*Q415</f>
        <v>662.496</v>
      </c>
      <c r="S415" s="18" t="n">
        <f aca="false">L415*INDEX(Parametros!$B$20:$B$22,MATCH($E415,Parametros!$A$20:$A$22,0))</f>
        <v>91.2</v>
      </c>
      <c r="T415" s="18" t="n">
        <f aca="false">P415*INDEX(Parametros!$B$13:$B$16,MATCH($F415,Parametros!$A$13:$A$16,0))</f>
        <v>29.31552</v>
      </c>
      <c r="U415" s="21" t="n">
        <f aca="false">P415-R415-S415-T415</f>
        <v>194.17248</v>
      </c>
      <c r="V415" s="19" t="n">
        <f aca="false">IFERROR(U415/P415,0)</f>
        <v>0.198706159740642</v>
      </c>
      <c r="W415" s="48" t="n">
        <f aca="false">B415+INDEX(Parametros!$C$13:$C$16,MATCH($F415,Parametros!$A$13:$A$16,0))</f>
        <v>45852</v>
      </c>
      <c r="X415" s="31" t="s">
        <v>67</v>
      </c>
      <c r="Y415" s="53" t="n">
        <f aca="false">IF(COUNTIF($A$2:$A415,A415)=1,1,0)</f>
        <v>0</v>
      </c>
    </row>
    <row r="416" customFormat="false" ht="15" hidden="false" customHeight="false" outlineLevel="0" collapsed="false">
      <c r="A416" s="31" t="s">
        <v>465</v>
      </c>
      <c r="B416" s="36" t="n">
        <v>45792</v>
      </c>
      <c r="C416" s="49" t="n">
        <f aca="false">DATE(YEAR(B416),MONTH(B416),1)</f>
        <v>45778</v>
      </c>
      <c r="D416" s="31" t="s">
        <v>211</v>
      </c>
      <c r="E416" s="31" t="s">
        <v>41</v>
      </c>
      <c r="F416" s="31" t="s">
        <v>48</v>
      </c>
      <c r="G416" s="31" t="s">
        <v>60</v>
      </c>
      <c r="H416" s="31" t="s">
        <v>179</v>
      </c>
      <c r="I416" s="32" t="str">
        <f aca="false">INDEX(Productos!$B$2:$B$13,MATCH($H416,Productos!$A$2:$A$13,0))</f>
        <v>Autotaladrante DIN 7504 4,8x38 zincado</v>
      </c>
      <c r="J416" s="32" t="str">
        <f aca="false">INDEX(Productos!$C$2:$C$13,MATCH($H416,Productos!$A$2:$A$13,0))</f>
        <v>Autotaladrante</v>
      </c>
      <c r="K416" s="31" t="s">
        <v>246</v>
      </c>
      <c r="L416" s="46" t="n">
        <v>25</v>
      </c>
      <c r="M416" s="50" t="n">
        <f aca="false">INDEX(Productos!$F$2:$F$13,MATCH($H416,Productos!$A$2:$A$13,0))</f>
        <v>29.5</v>
      </c>
      <c r="N416" s="51" t="n">
        <v>0.005</v>
      </c>
      <c r="O416" s="52" t="n">
        <f aca="false">M416*(1-N416)</f>
        <v>29.3525</v>
      </c>
      <c r="P416" s="21" t="n">
        <f aca="false">L416*O416</f>
        <v>733.8125</v>
      </c>
      <c r="Q416" s="50" t="n">
        <f aca="false">INDEX(Productos!$E$2:$E$13,MATCH($H416,Productos!$A$2:$A$13,0))*INDEX(Parametros!$B$26:$B$43,MATCH($C416,Parametros!$A$26:$A$43,0))</f>
        <v>15.656</v>
      </c>
      <c r="R416" s="21" t="n">
        <f aca="false">L416*Q416</f>
        <v>391.4</v>
      </c>
      <c r="S416" s="18" t="n">
        <f aca="false">L416*INDEX(Parametros!$B$20:$B$22,MATCH($E416,Parametros!$A$20:$A$22,0))</f>
        <v>21.25</v>
      </c>
      <c r="T416" s="18" t="n">
        <f aca="false">P416*INDEX(Parametros!$B$13:$B$16,MATCH($F416,Parametros!$A$13:$A$16,0))</f>
        <v>7.338125</v>
      </c>
      <c r="U416" s="21" t="n">
        <f aca="false">P416-R416-S416-T416</f>
        <v>313.824375</v>
      </c>
      <c r="V416" s="19" t="n">
        <f aca="false">IFERROR(U416/P416,0)</f>
        <v>0.427662890724811</v>
      </c>
      <c r="W416" s="48" t="n">
        <f aca="false">B416+INDEX(Parametros!$C$13:$C$16,MATCH($F416,Parametros!$A$13:$A$16,0))</f>
        <v>45792</v>
      </c>
      <c r="X416" s="31" t="s">
        <v>67</v>
      </c>
      <c r="Y416" s="53" t="n">
        <f aca="false">IF(COUNTIF($A$2:$A416,A416)=1,1,0)</f>
        <v>1</v>
      </c>
    </row>
    <row r="417" customFormat="false" ht="15" hidden="false" customHeight="false" outlineLevel="0" collapsed="false">
      <c r="A417" s="31" t="s">
        <v>465</v>
      </c>
      <c r="B417" s="36" t="n">
        <v>45792</v>
      </c>
      <c r="C417" s="49" t="n">
        <f aca="false">DATE(YEAR(B417),MONTH(B417),1)</f>
        <v>45778</v>
      </c>
      <c r="D417" s="31" t="s">
        <v>211</v>
      </c>
      <c r="E417" s="31" t="s">
        <v>41</v>
      </c>
      <c r="F417" s="31" t="s">
        <v>48</v>
      </c>
      <c r="G417" s="31" t="s">
        <v>60</v>
      </c>
      <c r="H417" s="31" t="s">
        <v>167</v>
      </c>
      <c r="I417" s="32" t="str">
        <f aca="false">INDEX(Productos!$B$2:$B$13,MATCH($H417,Productos!$A$2:$A$13,0))</f>
        <v>Tornillo DIN 912 M6x25 Allen zincado</v>
      </c>
      <c r="J417" s="32" t="str">
        <f aca="false">INDEX(Productos!$C$2:$C$13,MATCH($H417,Productos!$A$2:$A$13,0))</f>
        <v>Métrica</v>
      </c>
      <c r="K417" s="31" t="s">
        <v>246</v>
      </c>
      <c r="L417" s="46" t="n">
        <v>22</v>
      </c>
      <c r="M417" s="50" t="n">
        <f aca="false">INDEX(Productos!$F$2:$F$13,MATCH($H417,Productos!$A$2:$A$13,0))</f>
        <v>42</v>
      </c>
      <c r="N417" s="51" t="n">
        <v>0.03</v>
      </c>
      <c r="O417" s="52" t="n">
        <f aca="false">M417*(1-N417)</f>
        <v>40.74</v>
      </c>
      <c r="P417" s="21" t="n">
        <f aca="false">L417*O417</f>
        <v>896.28</v>
      </c>
      <c r="Q417" s="50" t="n">
        <f aca="false">INDEX(Productos!$E$2:$E$13,MATCH($H417,Productos!$A$2:$A$13,0))*INDEX(Parametros!$B$26:$B$43,MATCH($C417,Parametros!$A$26:$A$43,0))</f>
        <v>22.454</v>
      </c>
      <c r="R417" s="21" t="n">
        <f aca="false">L417*Q417</f>
        <v>493.988</v>
      </c>
      <c r="S417" s="18" t="n">
        <f aca="false">L417*INDEX(Parametros!$B$20:$B$22,MATCH($E417,Parametros!$A$20:$A$22,0))</f>
        <v>18.7</v>
      </c>
      <c r="T417" s="18" t="n">
        <f aca="false">P417*INDEX(Parametros!$B$13:$B$16,MATCH($F417,Parametros!$A$13:$A$16,0))</f>
        <v>8.9628</v>
      </c>
      <c r="U417" s="21" t="n">
        <f aca="false">P417-R417-S417-T417</f>
        <v>374.6292</v>
      </c>
      <c r="V417" s="19" t="n">
        <f aca="false">IFERROR(U417/P417,0)</f>
        <v>0.417982326951399</v>
      </c>
      <c r="W417" s="48" t="n">
        <f aca="false">B417+INDEX(Parametros!$C$13:$C$16,MATCH($F417,Parametros!$A$13:$A$16,0))</f>
        <v>45792</v>
      </c>
      <c r="X417" s="31" t="s">
        <v>67</v>
      </c>
      <c r="Y417" s="53" t="n">
        <f aca="false">IF(COUNTIF($A$2:$A417,A417)=1,1,0)</f>
        <v>0</v>
      </c>
    </row>
    <row r="418" customFormat="false" ht="15" hidden="false" customHeight="false" outlineLevel="0" collapsed="false">
      <c r="A418" s="31" t="s">
        <v>466</v>
      </c>
      <c r="B418" s="36" t="n">
        <v>45793</v>
      </c>
      <c r="C418" s="49" t="n">
        <f aca="false">DATE(YEAR(B418),MONTH(B418),1)</f>
        <v>45778</v>
      </c>
      <c r="D418" s="31" t="s">
        <v>202</v>
      </c>
      <c r="E418" s="31" t="s">
        <v>41</v>
      </c>
      <c r="F418" s="31" t="s">
        <v>46</v>
      </c>
      <c r="G418" s="31" t="s">
        <v>62</v>
      </c>
      <c r="H418" s="31" t="s">
        <v>171</v>
      </c>
      <c r="I418" s="32" t="str">
        <f aca="false">INDEX(Productos!$B$2:$B$13,MATCH($H418,Productos!$A$2:$A$13,0))</f>
        <v>Tornillo DIN 7991 M8x30 avellanado inox A2</v>
      </c>
      <c r="J418" s="32" t="str">
        <f aca="false">INDEX(Productos!$C$2:$C$13,MATCH($H418,Productos!$A$2:$A$13,0))</f>
        <v>Inoxidable</v>
      </c>
      <c r="K418" s="31" t="s">
        <v>246</v>
      </c>
      <c r="L418" s="46" t="n">
        <v>65</v>
      </c>
      <c r="M418" s="50" t="n">
        <f aca="false">INDEX(Productos!$F$2:$F$13,MATCH($H418,Productos!$A$2:$A$13,0))</f>
        <v>88</v>
      </c>
      <c r="N418" s="51" t="n">
        <v>0.159</v>
      </c>
      <c r="O418" s="52" t="n">
        <f aca="false">M418*(1-N418)</f>
        <v>74.008</v>
      </c>
      <c r="P418" s="21" t="n">
        <f aca="false">L418*O418</f>
        <v>4810.52</v>
      </c>
      <c r="Q418" s="50" t="n">
        <f aca="false">INDEX(Productos!$E$2:$E$13,MATCH($H418,Productos!$A$2:$A$13,0))*INDEX(Parametros!$B$26:$B$43,MATCH($C418,Parametros!$A$26:$A$43,0))</f>
        <v>47.895</v>
      </c>
      <c r="R418" s="21" t="n">
        <f aca="false">L418*Q418</f>
        <v>3113.175</v>
      </c>
      <c r="S418" s="18" t="n">
        <f aca="false">L418*INDEX(Parametros!$B$20:$B$22,MATCH($E418,Parametros!$A$20:$A$22,0))</f>
        <v>55.25</v>
      </c>
      <c r="T418" s="18" t="n">
        <f aca="false">P418*INDEX(Parametros!$B$13:$B$16,MATCH($F418,Parametros!$A$13:$A$16,0))</f>
        <v>192.4208</v>
      </c>
      <c r="U418" s="21" t="n">
        <f aca="false">P418-R418-S418-T418</f>
        <v>1449.6742</v>
      </c>
      <c r="V418" s="19" t="n">
        <f aca="false">IFERROR(U418/P418,0)</f>
        <v>0.301354988649876</v>
      </c>
      <c r="W418" s="48" t="n">
        <f aca="false">B418+INDEX(Parametros!$C$13:$C$16,MATCH($F418,Parametros!$A$13:$A$16,0))</f>
        <v>45868</v>
      </c>
      <c r="X418" s="31" t="s">
        <v>67</v>
      </c>
      <c r="Y418" s="53" t="n">
        <f aca="false">IF(COUNTIF($A$2:$A418,A418)=1,1,0)</f>
        <v>1</v>
      </c>
    </row>
    <row r="419" customFormat="false" ht="15" hidden="false" customHeight="false" outlineLevel="0" collapsed="false">
      <c r="A419" s="31" t="s">
        <v>467</v>
      </c>
      <c r="B419" s="36" t="n">
        <v>45793</v>
      </c>
      <c r="C419" s="49" t="n">
        <f aca="false">DATE(YEAR(B419),MONTH(B419),1)</f>
        <v>45778</v>
      </c>
      <c r="D419" s="31" t="s">
        <v>196</v>
      </c>
      <c r="E419" s="31" t="s">
        <v>41</v>
      </c>
      <c r="F419" s="31" t="s">
        <v>47</v>
      </c>
      <c r="G419" s="31" t="s">
        <v>58</v>
      </c>
      <c r="H419" s="31" t="s">
        <v>173</v>
      </c>
      <c r="I419" s="32" t="str">
        <f aca="false">INDEX(Productos!$B$2:$B$13,MATCH($H419,Productos!$A$2:$A$13,0))</f>
        <v>Tornillo DIN 933 M12x70 clase 8.8</v>
      </c>
      <c r="J419" s="32" t="str">
        <f aca="false">INDEX(Productos!$C$2:$C$13,MATCH($H419,Productos!$A$2:$A$13,0))</f>
        <v>Métrica</v>
      </c>
      <c r="K419" s="31" t="s">
        <v>246</v>
      </c>
      <c r="L419" s="46" t="n">
        <v>29</v>
      </c>
      <c r="M419" s="50" t="n">
        <f aca="false">INDEX(Productos!$F$2:$F$13,MATCH($H419,Productos!$A$2:$A$13,0))</f>
        <v>64</v>
      </c>
      <c r="N419" s="51" t="n">
        <v>0.08</v>
      </c>
      <c r="O419" s="52" t="n">
        <f aca="false">M419*(1-N419)</f>
        <v>58.88</v>
      </c>
      <c r="P419" s="21" t="n">
        <f aca="false">L419*O419</f>
        <v>1707.52</v>
      </c>
      <c r="Q419" s="50" t="n">
        <f aca="false">INDEX(Productos!$E$2:$E$13,MATCH($H419,Productos!$A$2:$A$13,0))*INDEX(Parametros!$B$26:$B$43,MATCH($C419,Parametros!$A$26:$A$43,0))</f>
        <v>34.505</v>
      </c>
      <c r="R419" s="21" t="n">
        <f aca="false">L419*Q419</f>
        <v>1000.645</v>
      </c>
      <c r="S419" s="18" t="n">
        <f aca="false">L419*INDEX(Parametros!$B$20:$B$22,MATCH($E419,Parametros!$A$20:$A$22,0))</f>
        <v>24.65</v>
      </c>
      <c r="T419" s="18" t="n">
        <f aca="false">P419*INDEX(Parametros!$B$13:$B$16,MATCH($F419,Parametros!$A$13:$A$16,0))</f>
        <v>59.7632</v>
      </c>
      <c r="U419" s="21" t="n">
        <f aca="false">P419-R419-S419-T419</f>
        <v>622.4618</v>
      </c>
      <c r="V419" s="19" t="n">
        <f aca="false">IFERROR(U419/P419,0)</f>
        <v>0.364541440217391</v>
      </c>
      <c r="W419" s="48" t="n">
        <f aca="false">B419+INDEX(Parametros!$C$13:$C$16,MATCH($F419,Parametros!$A$13:$A$16,0))</f>
        <v>45838</v>
      </c>
      <c r="X419" s="31" t="s">
        <v>67</v>
      </c>
      <c r="Y419" s="53" t="n">
        <f aca="false">IF(COUNTIF($A$2:$A419,A419)=1,1,0)</f>
        <v>1</v>
      </c>
    </row>
    <row r="420" customFormat="false" ht="15" hidden="false" customHeight="false" outlineLevel="0" collapsed="false">
      <c r="A420" s="31" t="s">
        <v>468</v>
      </c>
      <c r="B420" s="36" t="n">
        <v>45796</v>
      </c>
      <c r="C420" s="49" t="n">
        <f aca="false">DATE(YEAR(B420),MONTH(B420),1)</f>
        <v>45778</v>
      </c>
      <c r="D420" s="31" t="s">
        <v>219</v>
      </c>
      <c r="E420" s="31" t="s">
        <v>42</v>
      </c>
      <c r="F420" s="31" t="s">
        <v>45</v>
      </c>
      <c r="G420" s="31" t="s">
        <v>61</v>
      </c>
      <c r="H420" s="31" t="s">
        <v>183</v>
      </c>
      <c r="I420" s="32" t="str">
        <f aca="false">INDEX(Productos!$B$2:$B$13,MATCH($H420,Productos!$A$2:$A$13,0))</f>
        <v>Tornillo estructural M16x90 clase 10.9</v>
      </c>
      <c r="J420" s="32" t="str">
        <f aca="false">INDEX(Productos!$C$2:$C$13,MATCH($H420,Productos!$A$2:$A$13,0))</f>
        <v>Especial</v>
      </c>
      <c r="K420" s="31" t="s">
        <v>275</v>
      </c>
      <c r="L420" s="46" t="n">
        <v>-8</v>
      </c>
      <c r="M420" s="50" t="n">
        <f aca="false">INDEX(Productos!$F$2:$F$13,MATCH($H420,Productos!$A$2:$A$13,0))</f>
        <v>112</v>
      </c>
      <c r="N420" s="51" t="n">
        <v>0.146</v>
      </c>
      <c r="O420" s="52" t="n">
        <f aca="false">M420*(1-N420)</f>
        <v>95.648</v>
      </c>
      <c r="P420" s="21" t="n">
        <f aca="false">L420*O420</f>
        <v>-765.184</v>
      </c>
      <c r="Q420" s="50" t="n">
        <f aca="false">INDEX(Productos!$E$2:$E$13,MATCH($H420,Productos!$A$2:$A$13,0))*INDEX(Parametros!$B$26:$B$43,MATCH($C420,Parametros!$A$26:$A$43,0))</f>
        <v>61.8</v>
      </c>
      <c r="R420" s="21" t="n">
        <f aca="false">L420*Q420</f>
        <v>-494.4</v>
      </c>
      <c r="S420" s="18" t="n">
        <f aca="false">L420*INDEX(Parametros!$B$20:$B$22,MATCH($E420,Parametros!$A$20:$A$22,0))</f>
        <v>-19.2</v>
      </c>
      <c r="T420" s="18" t="n">
        <f aca="false">P420*INDEX(Parametros!$B$13:$B$16,MATCH($F420,Parametros!$A$13:$A$16,0))</f>
        <v>-22.95552</v>
      </c>
      <c r="U420" s="21" t="n">
        <f aca="false">P420-R420-S420-T420</f>
        <v>-228.62848</v>
      </c>
      <c r="V420" s="19" t="n">
        <f aca="false">IFERROR(U420/P420,0)</f>
        <v>0.298788892606223</v>
      </c>
      <c r="W420" s="48" t="n">
        <f aca="false">B420+INDEX(Parametros!$C$13:$C$16,MATCH($F420,Parametros!$A$13:$A$16,0))</f>
        <v>45856</v>
      </c>
      <c r="X420" s="31" t="s">
        <v>67</v>
      </c>
      <c r="Y420" s="53" t="n">
        <f aca="false">IF(COUNTIF($A$2:$A420,A420)=1,1,0)</f>
        <v>1</v>
      </c>
    </row>
    <row r="421" customFormat="false" ht="15" hidden="false" customHeight="false" outlineLevel="0" collapsed="false">
      <c r="A421" s="31" t="s">
        <v>469</v>
      </c>
      <c r="B421" s="36" t="n">
        <v>45796</v>
      </c>
      <c r="C421" s="49" t="n">
        <f aca="false">DATE(YEAR(B421),MONTH(B421),1)</f>
        <v>45778</v>
      </c>
      <c r="D421" s="31" t="s">
        <v>206</v>
      </c>
      <c r="E421" s="31" t="s">
        <v>41</v>
      </c>
      <c r="F421" s="31" t="s">
        <v>46</v>
      </c>
      <c r="G421" s="31" t="s">
        <v>58</v>
      </c>
      <c r="H421" s="31" t="s">
        <v>169</v>
      </c>
      <c r="I421" s="32" t="str">
        <f aca="false">INDEX(Productos!$B$2:$B$13,MATCH($H421,Productos!$A$2:$A$13,0))</f>
        <v>Tornillo DIN 912 M10x60 Allen inox A2</v>
      </c>
      <c r="J421" s="32" t="str">
        <f aca="false">INDEX(Productos!$C$2:$C$13,MATCH($H421,Productos!$A$2:$A$13,0))</f>
        <v>Inoxidable</v>
      </c>
      <c r="K421" s="31" t="s">
        <v>275</v>
      </c>
      <c r="L421" s="46" t="n">
        <v>-14</v>
      </c>
      <c r="M421" s="50" t="n">
        <f aca="false">INDEX(Productos!$F$2:$F$13,MATCH($H421,Productos!$A$2:$A$13,0))</f>
        <v>79</v>
      </c>
      <c r="N421" s="51" t="n">
        <v>0.093</v>
      </c>
      <c r="O421" s="52" t="n">
        <f aca="false">M421*(1-N421)</f>
        <v>71.653</v>
      </c>
      <c r="P421" s="21" t="n">
        <f aca="false">L421*O421</f>
        <v>-1003.142</v>
      </c>
      <c r="Q421" s="50" t="n">
        <f aca="false">INDEX(Productos!$E$2:$E$13,MATCH($H421,Productos!$A$2:$A$13,0))*INDEX(Parametros!$B$26:$B$43,MATCH($C421,Parametros!$A$26:$A$43,0))</f>
        <v>43.26</v>
      </c>
      <c r="R421" s="21" t="n">
        <f aca="false">L421*Q421</f>
        <v>-605.64</v>
      </c>
      <c r="S421" s="18" t="n">
        <f aca="false">L421*INDEX(Parametros!$B$20:$B$22,MATCH($E421,Parametros!$A$20:$A$22,0))</f>
        <v>-11.9</v>
      </c>
      <c r="T421" s="18" t="n">
        <f aca="false">P421*INDEX(Parametros!$B$13:$B$16,MATCH($F421,Parametros!$A$13:$A$16,0))</f>
        <v>-40.12568</v>
      </c>
      <c r="U421" s="21" t="n">
        <f aca="false">P421-R421-S421-T421</f>
        <v>-345.47632</v>
      </c>
      <c r="V421" s="19" t="n">
        <f aca="false">IFERROR(U421/P421,0)</f>
        <v>0.344394233318912</v>
      </c>
      <c r="W421" s="48" t="n">
        <f aca="false">B421+INDEX(Parametros!$C$13:$C$16,MATCH($F421,Parametros!$A$13:$A$16,0))</f>
        <v>45871</v>
      </c>
      <c r="X421" s="31" t="s">
        <v>67</v>
      </c>
      <c r="Y421" s="53" t="n">
        <f aca="false">IF(COUNTIF($A$2:$A421,A421)=1,1,0)</f>
        <v>1</v>
      </c>
    </row>
    <row r="422" customFormat="false" ht="15" hidden="false" customHeight="false" outlineLevel="0" collapsed="false">
      <c r="A422" s="31" t="s">
        <v>469</v>
      </c>
      <c r="B422" s="36" t="n">
        <v>45796</v>
      </c>
      <c r="C422" s="49" t="n">
        <f aca="false">DATE(YEAR(B422),MONTH(B422),1)</f>
        <v>45778</v>
      </c>
      <c r="D422" s="31" t="s">
        <v>206</v>
      </c>
      <c r="E422" s="31" t="s">
        <v>41</v>
      </c>
      <c r="F422" s="31" t="s">
        <v>46</v>
      </c>
      <c r="G422" s="31" t="s">
        <v>58</v>
      </c>
      <c r="H422" s="31" t="s">
        <v>183</v>
      </c>
      <c r="I422" s="32" t="str">
        <f aca="false">INDEX(Productos!$B$2:$B$13,MATCH($H422,Productos!$A$2:$A$13,0))</f>
        <v>Tornillo estructural M16x90 clase 10.9</v>
      </c>
      <c r="J422" s="32" t="str">
        <f aca="false">INDEX(Productos!$C$2:$C$13,MATCH($H422,Productos!$A$2:$A$13,0))</f>
        <v>Especial</v>
      </c>
      <c r="K422" s="31" t="s">
        <v>275</v>
      </c>
      <c r="L422" s="46" t="n">
        <v>-22</v>
      </c>
      <c r="M422" s="50" t="n">
        <f aca="false">INDEX(Productos!$F$2:$F$13,MATCH($H422,Productos!$A$2:$A$13,0))</f>
        <v>112</v>
      </c>
      <c r="N422" s="51" t="n">
        <v>0.089</v>
      </c>
      <c r="O422" s="52" t="n">
        <f aca="false">M422*(1-N422)</f>
        <v>102.032</v>
      </c>
      <c r="P422" s="21" t="n">
        <f aca="false">L422*O422</f>
        <v>-2244.704</v>
      </c>
      <c r="Q422" s="50" t="n">
        <f aca="false">INDEX(Productos!$E$2:$E$13,MATCH($H422,Productos!$A$2:$A$13,0))*INDEX(Parametros!$B$26:$B$43,MATCH($C422,Parametros!$A$26:$A$43,0))</f>
        <v>61.8</v>
      </c>
      <c r="R422" s="21" t="n">
        <f aca="false">L422*Q422</f>
        <v>-1359.6</v>
      </c>
      <c r="S422" s="18" t="n">
        <f aca="false">L422*INDEX(Parametros!$B$20:$B$22,MATCH($E422,Parametros!$A$20:$A$22,0))</f>
        <v>-18.7</v>
      </c>
      <c r="T422" s="18" t="n">
        <f aca="false">P422*INDEX(Parametros!$B$13:$B$16,MATCH($F422,Parametros!$A$13:$A$16,0))</f>
        <v>-89.78816</v>
      </c>
      <c r="U422" s="21" t="n">
        <f aca="false">P422-R422-S422-T422</f>
        <v>-776.61584</v>
      </c>
      <c r="V422" s="19" t="n">
        <f aca="false">IFERROR(U422/P422,0)</f>
        <v>0.345976948408342</v>
      </c>
      <c r="W422" s="48" t="n">
        <f aca="false">B422+INDEX(Parametros!$C$13:$C$16,MATCH($F422,Parametros!$A$13:$A$16,0))</f>
        <v>45871</v>
      </c>
      <c r="X422" s="31" t="s">
        <v>67</v>
      </c>
      <c r="Y422" s="53" t="n">
        <f aca="false">IF(COUNTIF($A$2:$A422,A422)=1,1,0)</f>
        <v>0</v>
      </c>
    </row>
    <row r="423" customFormat="false" ht="15" hidden="false" customHeight="false" outlineLevel="0" collapsed="false">
      <c r="A423" s="31" t="s">
        <v>470</v>
      </c>
      <c r="B423" s="36" t="n">
        <v>45796</v>
      </c>
      <c r="C423" s="49" t="n">
        <f aca="false">DATE(YEAR(B423),MONTH(B423),1)</f>
        <v>45778</v>
      </c>
      <c r="D423" s="31" t="s">
        <v>225</v>
      </c>
      <c r="E423" s="31" t="s">
        <v>43</v>
      </c>
      <c r="F423" s="31" t="s">
        <v>47</v>
      </c>
      <c r="G423" s="31" t="s">
        <v>59</v>
      </c>
      <c r="H423" s="31" t="s">
        <v>169</v>
      </c>
      <c r="I423" s="32" t="str">
        <f aca="false">INDEX(Productos!$B$2:$B$13,MATCH($H423,Productos!$A$2:$A$13,0))</f>
        <v>Tornillo DIN 912 M10x60 Allen inox A2</v>
      </c>
      <c r="J423" s="32" t="str">
        <f aca="false">INDEX(Productos!$C$2:$C$13,MATCH($H423,Productos!$A$2:$A$13,0))</f>
        <v>Inoxidable</v>
      </c>
      <c r="K423" s="31" t="s">
        <v>246</v>
      </c>
      <c r="L423" s="46" t="n">
        <v>130</v>
      </c>
      <c r="M423" s="50" t="n">
        <f aca="false">INDEX(Productos!$F$2:$F$13,MATCH($H423,Productos!$A$2:$A$13,0))</f>
        <v>79</v>
      </c>
      <c r="N423" s="51" t="n">
        <v>0.088</v>
      </c>
      <c r="O423" s="52" t="n">
        <f aca="false">M423*(1-N423)</f>
        <v>72.048</v>
      </c>
      <c r="P423" s="21" t="n">
        <f aca="false">L423*O423</f>
        <v>9366.24</v>
      </c>
      <c r="Q423" s="50" t="n">
        <f aca="false">INDEX(Productos!$E$2:$E$13,MATCH($H423,Productos!$A$2:$A$13,0))*INDEX(Parametros!$B$26:$B$43,MATCH($C423,Parametros!$A$26:$A$43,0))</f>
        <v>43.26</v>
      </c>
      <c r="R423" s="21" t="n">
        <f aca="false">L423*Q423</f>
        <v>5623.8</v>
      </c>
      <c r="S423" s="18" t="n">
        <f aca="false">L423*INDEX(Parametros!$B$20:$B$22,MATCH($E423,Parametros!$A$20:$A$22,0))</f>
        <v>247</v>
      </c>
      <c r="T423" s="18" t="n">
        <f aca="false">P423*INDEX(Parametros!$B$13:$B$16,MATCH($F423,Parametros!$A$13:$A$16,0))</f>
        <v>327.8184</v>
      </c>
      <c r="U423" s="21" t="n">
        <f aca="false">P423-R423-S423-T423</f>
        <v>3167.6216</v>
      </c>
      <c r="V423" s="19" t="n">
        <f aca="false">IFERROR(U423/P423,0)</f>
        <v>0.338195647346214</v>
      </c>
      <c r="W423" s="48" t="n">
        <f aca="false">B423+INDEX(Parametros!$C$13:$C$16,MATCH($F423,Parametros!$A$13:$A$16,0))</f>
        <v>45841</v>
      </c>
      <c r="X423" s="31" t="s">
        <v>67</v>
      </c>
      <c r="Y423" s="53" t="n">
        <f aca="false">IF(COUNTIF($A$2:$A423,A423)=1,1,0)</f>
        <v>1</v>
      </c>
    </row>
    <row r="424" customFormat="false" ht="15" hidden="false" customHeight="false" outlineLevel="0" collapsed="false">
      <c r="A424" s="31" t="s">
        <v>470</v>
      </c>
      <c r="B424" s="36" t="n">
        <v>45796</v>
      </c>
      <c r="C424" s="49" t="n">
        <f aca="false">DATE(YEAR(B424),MONTH(B424),1)</f>
        <v>45778</v>
      </c>
      <c r="D424" s="31" t="s">
        <v>225</v>
      </c>
      <c r="E424" s="31" t="s">
        <v>43</v>
      </c>
      <c r="F424" s="31" t="s">
        <v>47</v>
      </c>
      <c r="G424" s="31" t="s">
        <v>59</v>
      </c>
      <c r="H424" s="31" t="s">
        <v>163</v>
      </c>
      <c r="I424" s="32" t="str">
        <f aca="false">INDEX(Productos!$B$2:$B$13,MATCH($H424,Productos!$A$2:$A$13,0))</f>
        <v>Tornillo DIN 933 M6x30 rosca completa zincado</v>
      </c>
      <c r="J424" s="32" t="str">
        <f aca="false">INDEX(Productos!$C$2:$C$13,MATCH($H424,Productos!$A$2:$A$13,0))</f>
        <v>Métrica</v>
      </c>
      <c r="K424" s="31" t="s">
        <v>246</v>
      </c>
      <c r="L424" s="46" t="n">
        <v>173</v>
      </c>
      <c r="M424" s="50" t="n">
        <f aca="false">INDEX(Productos!$F$2:$F$13,MATCH($H424,Productos!$A$2:$A$13,0))</f>
        <v>32</v>
      </c>
      <c r="N424" s="51" t="n">
        <v>0.096</v>
      </c>
      <c r="O424" s="52" t="n">
        <f aca="false">M424*(1-N424)</f>
        <v>28.928</v>
      </c>
      <c r="P424" s="21" t="n">
        <f aca="false">L424*O424</f>
        <v>5004.544</v>
      </c>
      <c r="Q424" s="50" t="n">
        <f aca="false">INDEX(Productos!$E$2:$E$13,MATCH($H424,Productos!$A$2:$A$13,0))*INDEX(Parametros!$B$26:$B$43,MATCH($C424,Parametros!$A$26:$A$43,0))</f>
        <v>17.098</v>
      </c>
      <c r="R424" s="21" t="n">
        <f aca="false">L424*Q424</f>
        <v>2957.954</v>
      </c>
      <c r="S424" s="18" t="n">
        <f aca="false">L424*INDEX(Parametros!$B$20:$B$22,MATCH($E424,Parametros!$A$20:$A$22,0))</f>
        <v>328.7</v>
      </c>
      <c r="T424" s="18" t="n">
        <f aca="false">P424*INDEX(Parametros!$B$13:$B$16,MATCH($F424,Parametros!$A$13:$A$16,0))</f>
        <v>175.15904</v>
      </c>
      <c r="U424" s="21" t="n">
        <f aca="false">P424-R424-S424-T424</f>
        <v>1542.73096</v>
      </c>
      <c r="V424" s="19" t="n">
        <f aca="false">IFERROR(U424/P424,0)</f>
        <v>0.308266039823009</v>
      </c>
      <c r="W424" s="48" t="n">
        <f aca="false">B424+INDEX(Parametros!$C$13:$C$16,MATCH($F424,Parametros!$A$13:$A$16,0))</f>
        <v>45841</v>
      </c>
      <c r="X424" s="31" t="s">
        <v>67</v>
      </c>
      <c r="Y424" s="53" t="n">
        <f aca="false">IF(COUNTIF($A$2:$A424,A424)=1,1,0)</f>
        <v>0</v>
      </c>
    </row>
    <row r="425" customFormat="false" ht="15" hidden="false" customHeight="false" outlineLevel="0" collapsed="false">
      <c r="A425" s="31" t="s">
        <v>470</v>
      </c>
      <c r="B425" s="36" t="n">
        <v>45796</v>
      </c>
      <c r="C425" s="49" t="n">
        <f aca="false">DATE(YEAR(B425),MONTH(B425),1)</f>
        <v>45778</v>
      </c>
      <c r="D425" s="31" t="s">
        <v>225</v>
      </c>
      <c r="E425" s="31" t="s">
        <v>43</v>
      </c>
      <c r="F425" s="31" t="s">
        <v>47</v>
      </c>
      <c r="G425" s="31" t="s">
        <v>59</v>
      </c>
      <c r="H425" s="31" t="s">
        <v>175</v>
      </c>
      <c r="I425" s="32" t="str">
        <f aca="false">INDEX(Productos!$B$2:$B$13,MATCH($H425,Productos!$A$2:$A$13,0))</f>
        <v>Tirafondo madera 5x60 cabeza plana Torx</v>
      </c>
      <c r="J425" s="32" t="str">
        <f aca="false">INDEX(Productos!$C$2:$C$13,MATCH($H425,Productos!$A$2:$A$13,0))</f>
        <v>Madera</v>
      </c>
      <c r="K425" s="31" t="s">
        <v>246</v>
      </c>
      <c r="L425" s="46" t="n">
        <v>26</v>
      </c>
      <c r="M425" s="50" t="n">
        <f aca="false">INDEX(Productos!$F$2:$F$13,MATCH($H425,Productos!$A$2:$A$13,0))</f>
        <v>26</v>
      </c>
      <c r="N425" s="51" t="n">
        <v>0.045</v>
      </c>
      <c r="O425" s="52" t="n">
        <f aca="false">M425*(1-N425)</f>
        <v>24.83</v>
      </c>
      <c r="P425" s="21" t="n">
        <f aca="false">L425*O425</f>
        <v>645.58</v>
      </c>
      <c r="Q425" s="50" t="n">
        <f aca="false">INDEX(Productos!$E$2:$E$13,MATCH($H425,Productos!$A$2:$A$13,0))*INDEX(Parametros!$B$26:$B$43,MATCH($C425,Parametros!$A$26:$A$43,0))</f>
        <v>13.802</v>
      </c>
      <c r="R425" s="21" t="n">
        <f aca="false">L425*Q425</f>
        <v>358.852</v>
      </c>
      <c r="S425" s="18" t="n">
        <f aca="false">L425*INDEX(Parametros!$B$20:$B$22,MATCH($E425,Parametros!$A$20:$A$22,0))</f>
        <v>49.4</v>
      </c>
      <c r="T425" s="18" t="n">
        <f aca="false">P425*INDEX(Parametros!$B$13:$B$16,MATCH($F425,Parametros!$A$13:$A$16,0))</f>
        <v>22.5953</v>
      </c>
      <c r="U425" s="21" t="n">
        <f aca="false">P425-R425-S425-T425</f>
        <v>214.7327</v>
      </c>
      <c r="V425" s="19" t="n">
        <f aca="false">IFERROR(U425/P425,0)</f>
        <v>0.332619814740233</v>
      </c>
      <c r="W425" s="48" t="n">
        <f aca="false">B425+INDEX(Parametros!$C$13:$C$16,MATCH($F425,Parametros!$A$13:$A$16,0))</f>
        <v>45841</v>
      </c>
      <c r="X425" s="31" t="s">
        <v>67</v>
      </c>
      <c r="Y425" s="53" t="n">
        <f aca="false">IF(COUNTIF($A$2:$A425,A425)=1,1,0)</f>
        <v>0</v>
      </c>
    </row>
    <row r="426" customFormat="false" ht="15" hidden="false" customHeight="false" outlineLevel="0" collapsed="false">
      <c r="A426" s="31" t="s">
        <v>470</v>
      </c>
      <c r="B426" s="36" t="n">
        <v>45796</v>
      </c>
      <c r="C426" s="49" t="n">
        <f aca="false">DATE(YEAR(B426),MONTH(B426),1)</f>
        <v>45778</v>
      </c>
      <c r="D426" s="31" t="s">
        <v>225</v>
      </c>
      <c r="E426" s="31" t="s">
        <v>43</v>
      </c>
      <c r="F426" s="31" t="s">
        <v>47</v>
      </c>
      <c r="G426" s="31" t="s">
        <v>59</v>
      </c>
      <c r="H426" s="31" t="s">
        <v>179</v>
      </c>
      <c r="I426" s="32" t="str">
        <f aca="false">INDEX(Productos!$B$2:$B$13,MATCH($H426,Productos!$A$2:$A$13,0))</f>
        <v>Autotaladrante DIN 7504 4,8x38 zincado</v>
      </c>
      <c r="J426" s="32" t="str">
        <f aca="false">INDEX(Productos!$C$2:$C$13,MATCH($H426,Productos!$A$2:$A$13,0))</f>
        <v>Autotaladrante</v>
      </c>
      <c r="K426" s="31" t="s">
        <v>246</v>
      </c>
      <c r="L426" s="46" t="n">
        <v>17</v>
      </c>
      <c r="M426" s="50" t="n">
        <f aca="false">INDEX(Productos!$F$2:$F$13,MATCH($H426,Productos!$A$2:$A$13,0))</f>
        <v>29.5</v>
      </c>
      <c r="N426" s="51" t="n">
        <v>0.09</v>
      </c>
      <c r="O426" s="52" t="n">
        <f aca="false">M426*(1-N426)</f>
        <v>26.845</v>
      </c>
      <c r="P426" s="21" t="n">
        <f aca="false">L426*O426</f>
        <v>456.365</v>
      </c>
      <c r="Q426" s="50" t="n">
        <f aca="false">INDEX(Productos!$E$2:$E$13,MATCH($H426,Productos!$A$2:$A$13,0))*INDEX(Parametros!$B$26:$B$43,MATCH($C426,Parametros!$A$26:$A$43,0))</f>
        <v>15.656</v>
      </c>
      <c r="R426" s="21" t="n">
        <f aca="false">L426*Q426</f>
        <v>266.152</v>
      </c>
      <c r="S426" s="18" t="n">
        <f aca="false">L426*INDEX(Parametros!$B$20:$B$22,MATCH($E426,Parametros!$A$20:$A$22,0))</f>
        <v>32.3</v>
      </c>
      <c r="T426" s="18" t="n">
        <f aca="false">P426*INDEX(Parametros!$B$13:$B$16,MATCH($F426,Parametros!$A$13:$A$16,0))</f>
        <v>15.972775</v>
      </c>
      <c r="U426" s="21" t="n">
        <f aca="false">P426-R426-S426-T426</f>
        <v>141.940225</v>
      </c>
      <c r="V426" s="19" t="n">
        <f aca="false">IFERROR(U426/P426,0)</f>
        <v>0.311023468057366</v>
      </c>
      <c r="W426" s="48" t="n">
        <f aca="false">B426+INDEX(Parametros!$C$13:$C$16,MATCH($F426,Parametros!$A$13:$A$16,0))</f>
        <v>45841</v>
      </c>
      <c r="X426" s="31" t="s">
        <v>67</v>
      </c>
      <c r="Y426" s="53" t="n">
        <f aca="false">IF(COUNTIF($A$2:$A426,A426)=1,1,0)</f>
        <v>0</v>
      </c>
    </row>
    <row r="427" customFormat="false" ht="15" hidden="false" customHeight="false" outlineLevel="0" collapsed="false">
      <c r="A427" s="31" t="s">
        <v>471</v>
      </c>
      <c r="B427" s="36" t="n">
        <v>45796</v>
      </c>
      <c r="C427" s="49" t="n">
        <f aca="false">DATE(YEAR(B427),MONTH(B427),1)</f>
        <v>45778</v>
      </c>
      <c r="D427" s="31" t="s">
        <v>219</v>
      </c>
      <c r="E427" s="31" t="s">
        <v>42</v>
      </c>
      <c r="F427" s="31" t="s">
        <v>45</v>
      </c>
      <c r="G427" s="31" t="s">
        <v>61</v>
      </c>
      <c r="H427" s="31" t="s">
        <v>185</v>
      </c>
      <c r="I427" s="32" t="str">
        <f aca="false">INDEX(Productos!$B$2:$B$13,MATCH($H427,Productos!$A$2:$A$13,0))</f>
        <v>Varilla roscada M10 x 1 m zincada</v>
      </c>
      <c r="J427" s="32" t="str">
        <f aca="false">INDEX(Productos!$C$2:$C$13,MATCH($H427,Productos!$A$2:$A$13,0))</f>
        <v>Especial</v>
      </c>
      <c r="K427" s="31" t="s">
        <v>246</v>
      </c>
      <c r="L427" s="46" t="n">
        <v>40</v>
      </c>
      <c r="M427" s="50" t="n">
        <f aca="false">INDEX(Productos!$F$2:$F$13,MATCH($H427,Productos!$A$2:$A$13,0))</f>
        <v>54</v>
      </c>
      <c r="N427" s="51" t="n">
        <v>0.172</v>
      </c>
      <c r="O427" s="52" t="n">
        <f aca="false">M427*(1-N427)</f>
        <v>44.712</v>
      </c>
      <c r="P427" s="21" t="n">
        <f aca="false">L427*O427</f>
        <v>1788.48</v>
      </c>
      <c r="Q427" s="50" t="n">
        <f aca="false">INDEX(Productos!$E$2:$E$13,MATCH($H427,Productos!$A$2:$A$13,0))*INDEX(Parametros!$B$26:$B$43,MATCH($C427,Parametros!$A$26:$A$43,0))</f>
        <v>29.355</v>
      </c>
      <c r="R427" s="21" t="n">
        <f aca="false">L427*Q427</f>
        <v>1174.2</v>
      </c>
      <c r="S427" s="18" t="n">
        <f aca="false">L427*INDEX(Parametros!$B$20:$B$22,MATCH($E427,Parametros!$A$20:$A$22,0))</f>
        <v>96</v>
      </c>
      <c r="T427" s="18" t="n">
        <f aca="false">P427*INDEX(Parametros!$B$13:$B$16,MATCH($F427,Parametros!$A$13:$A$16,0))</f>
        <v>53.6544</v>
      </c>
      <c r="U427" s="21" t="n">
        <f aca="false">P427-R427-S427-T427</f>
        <v>464.6256</v>
      </c>
      <c r="V427" s="19" t="n">
        <f aca="false">IFERROR(U427/P427,0)</f>
        <v>0.259787976382179</v>
      </c>
      <c r="W427" s="48" t="n">
        <f aca="false">B427+INDEX(Parametros!$C$13:$C$16,MATCH($F427,Parametros!$A$13:$A$16,0))</f>
        <v>45856</v>
      </c>
      <c r="X427" s="31" t="s">
        <v>67</v>
      </c>
      <c r="Y427" s="53" t="n">
        <f aca="false">IF(COUNTIF($A$2:$A427,A427)=1,1,0)</f>
        <v>1</v>
      </c>
    </row>
    <row r="428" customFormat="false" ht="15" hidden="false" customHeight="false" outlineLevel="0" collapsed="false">
      <c r="A428" s="31" t="s">
        <v>471</v>
      </c>
      <c r="B428" s="36" t="n">
        <v>45796</v>
      </c>
      <c r="C428" s="49" t="n">
        <f aca="false">DATE(YEAR(B428),MONTH(B428),1)</f>
        <v>45778</v>
      </c>
      <c r="D428" s="31" t="s">
        <v>219</v>
      </c>
      <c r="E428" s="31" t="s">
        <v>42</v>
      </c>
      <c r="F428" s="31" t="s">
        <v>45</v>
      </c>
      <c r="G428" s="31" t="s">
        <v>61</v>
      </c>
      <c r="H428" s="31" t="s">
        <v>181</v>
      </c>
      <c r="I428" s="32" t="str">
        <f aca="false">INDEX(Productos!$B$2:$B$13,MATCH($H428,Productos!$A$2:$A$13,0))</f>
        <v>Autotaladrante 5,5x55 punta broca</v>
      </c>
      <c r="J428" s="32" t="str">
        <f aca="false">INDEX(Productos!$C$2:$C$13,MATCH($H428,Productos!$A$2:$A$13,0))</f>
        <v>Autotaladrante</v>
      </c>
      <c r="K428" s="31" t="s">
        <v>246</v>
      </c>
      <c r="L428" s="46" t="n">
        <v>129</v>
      </c>
      <c r="M428" s="50" t="n">
        <f aca="false">INDEX(Productos!$F$2:$F$13,MATCH($H428,Productos!$A$2:$A$13,0))</f>
        <v>39</v>
      </c>
      <c r="N428" s="51" t="n">
        <v>0.142</v>
      </c>
      <c r="O428" s="52" t="n">
        <f aca="false">M428*(1-N428)</f>
        <v>33.462</v>
      </c>
      <c r="P428" s="21" t="n">
        <f aca="false">L428*O428</f>
        <v>4316.598</v>
      </c>
      <c r="Q428" s="50" t="n">
        <f aca="false">INDEX(Productos!$E$2:$E$13,MATCH($H428,Productos!$A$2:$A$13,0))*INDEX(Parametros!$B$26:$B$43,MATCH($C428,Parametros!$A$26:$A$43,0))</f>
        <v>20.909</v>
      </c>
      <c r="R428" s="21" t="n">
        <f aca="false">L428*Q428</f>
        <v>2697.261</v>
      </c>
      <c r="S428" s="18" t="n">
        <f aca="false">L428*INDEX(Parametros!$B$20:$B$22,MATCH($E428,Parametros!$A$20:$A$22,0))</f>
        <v>309.6</v>
      </c>
      <c r="T428" s="18" t="n">
        <f aca="false">P428*INDEX(Parametros!$B$13:$B$16,MATCH($F428,Parametros!$A$13:$A$16,0))</f>
        <v>129.49794</v>
      </c>
      <c r="U428" s="21" t="n">
        <f aca="false">P428-R428-S428-T428</f>
        <v>1180.23906</v>
      </c>
      <c r="V428" s="19" t="n">
        <f aca="false">IFERROR(U428/P428,0)</f>
        <v>0.273418803418803</v>
      </c>
      <c r="W428" s="48" t="n">
        <f aca="false">B428+INDEX(Parametros!$C$13:$C$16,MATCH($F428,Parametros!$A$13:$A$16,0))</f>
        <v>45856</v>
      </c>
      <c r="X428" s="31" t="s">
        <v>67</v>
      </c>
      <c r="Y428" s="53" t="n">
        <f aca="false">IF(COUNTIF($A$2:$A428,A428)=1,1,0)</f>
        <v>0</v>
      </c>
    </row>
    <row r="429" customFormat="false" ht="15" hidden="false" customHeight="false" outlineLevel="0" collapsed="false">
      <c r="A429" s="31" t="s">
        <v>472</v>
      </c>
      <c r="B429" s="36" t="n">
        <v>45796</v>
      </c>
      <c r="C429" s="49" t="n">
        <f aca="false">DATE(YEAR(B429),MONTH(B429),1)</f>
        <v>45778</v>
      </c>
      <c r="D429" s="31" t="s">
        <v>200</v>
      </c>
      <c r="E429" s="31" t="s">
        <v>41</v>
      </c>
      <c r="F429" s="31" t="s">
        <v>45</v>
      </c>
      <c r="G429" s="31" t="s">
        <v>62</v>
      </c>
      <c r="H429" s="31" t="s">
        <v>179</v>
      </c>
      <c r="I429" s="32" t="str">
        <f aca="false">INDEX(Productos!$B$2:$B$13,MATCH($H429,Productos!$A$2:$A$13,0))</f>
        <v>Autotaladrante DIN 7504 4,8x38 zincado</v>
      </c>
      <c r="J429" s="32" t="str">
        <f aca="false">INDEX(Productos!$C$2:$C$13,MATCH($H429,Productos!$A$2:$A$13,0))</f>
        <v>Autotaladrante</v>
      </c>
      <c r="K429" s="31" t="s">
        <v>246</v>
      </c>
      <c r="L429" s="46" t="n">
        <v>148</v>
      </c>
      <c r="M429" s="50" t="n">
        <f aca="false">INDEX(Productos!$F$2:$F$13,MATCH($H429,Productos!$A$2:$A$13,0))</f>
        <v>29.5</v>
      </c>
      <c r="N429" s="51" t="n">
        <v>0.206</v>
      </c>
      <c r="O429" s="52" t="n">
        <f aca="false">M429*(1-N429)</f>
        <v>23.423</v>
      </c>
      <c r="P429" s="21" t="n">
        <f aca="false">L429*O429</f>
        <v>3466.604</v>
      </c>
      <c r="Q429" s="50" t="n">
        <f aca="false">INDEX(Productos!$E$2:$E$13,MATCH($H429,Productos!$A$2:$A$13,0))*INDEX(Parametros!$B$26:$B$43,MATCH($C429,Parametros!$A$26:$A$43,0))</f>
        <v>15.656</v>
      </c>
      <c r="R429" s="21" t="n">
        <f aca="false">L429*Q429</f>
        <v>2317.088</v>
      </c>
      <c r="S429" s="18" t="n">
        <f aca="false">L429*INDEX(Parametros!$B$20:$B$22,MATCH($E429,Parametros!$A$20:$A$22,0))</f>
        <v>125.8</v>
      </c>
      <c r="T429" s="18" t="n">
        <f aca="false">P429*INDEX(Parametros!$B$13:$B$16,MATCH($F429,Parametros!$A$13:$A$16,0))</f>
        <v>103.99812</v>
      </c>
      <c r="U429" s="21" t="n">
        <f aca="false">P429-R429-S429-T429</f>
        <v>919.717880000001</v>
      </c>
      <c r="V429" s="19" t="n">
        <f aca="false">IFERROR(U429/P429,0)</f>
        <v>0.265308030568245</v>
      </c>
      <c r="W429" s="48" t="n">
        <f aca="false">B429+INDEX(Parametros!$C$13:$C$16,MATCH($F429,Parametros!$A$13:$A$16,0))</f>
        <v>45856</v>
      </c>
      <c r="X429" s="31" t="s">
        <v>67</v>
      </c>
      <c r="Y429" s="53" t="n">
        <f aca="false">IF(COUNTIF($A$2:$A429,A429)=1,1,0)</f>
        <v>1</v>
      </c>
    </row>
    <row r="430" customFormat="false" ht="15" hidden="false" customHeight="false" outlineLevel="0" collapsed="false">
      <c r="A430" s="31" t="s">
        <v>472</v>
      </c>
      <c r="B430" s="36" t="n">
        <v>45796</v>
      </c>
      <c r="C430" s="49" t="n">
        <f aca="false">DATE(YEAR(B430),MONTH(B430),1)</f>
        <v>45778</v>
      </c>
      <c r="D430" s="31" t="s">
        <v>200</v>
      </c>
      <c r="E430" s="31" t="s">
        <v>41</v>
      </c>
      <c r="F430" s="31" t="s">
        <v>45</v>
      </c>
      <c r="G430" s="31" t="s">
        <v>62</v>
      </c>
      <c r="H430" s="31" t="s">
        <v>185</v>
      </c>
      <c r="I430" s="32" t="str">
        <f aca="false">INDEX(Productos!$B$2:$B$13,MATCH($H430,Productos!$A$2:$A$13,0))</f>
        <v>Varilla roscada M10 x 1 m zincada</v>
      </c>
      <c r="J430" s="32" t="str">
        <f aca="false">INDEX(Productos!$C$2:$C$13,MATCH($H430,Productos!$A$2:$A$13,0))</f>
        <v>Especial</v>
      </c>
      <c r="K430" s="31" t="s">
        <v>246</v>
      </c>
      <c r="L430" s="46" t="n">
        <v>137</v>
      </c>
      <c r="M430" s="50" t="n">
        <f aca="false">INDEX(Productos!$F$2:$F$13,MATCH($H430,Productos!$A$2:$A$13,0))</f>
        <v>54</v>
      </c>
      <c r="N430" s="51" t="n">
        <v>0.175</v>
      </c>
      <c r="O430" s="52" t="n">
        <f aca="false">M430*(1-N430)</f>
        <v>44.55</v>
      </c>
      <c r="P430" s="21" t="n">
        <f aca="false">L430*O430</f>
        <v>6103.35</v>
      </c>
      <c r="Q430" s="50" t="n">
        <f aca="false">INDEX(Productos!$E$2:$E$13,MATCH($H430,Productos!$A$2:$A$13,0))*INDEX(Parametros!$B$26:$B$43,MATCH($C430,Parametros!$A$26:$A$43,0))</f>
        <v>29.355</v>
      </c>
      <c r="R430" s="21" t="n">
        <f aca="false">L430*Q430</f>
        <v>4021.635</v>
      </c>
      <c r="S430" s="18" t="n">
        <f aca="false">L430*INDEX(Parametros!$B$20:$B$22,MATCH($E430,Parametros!$A$20:$A$22,0))</f>
        <v>116.45</v>
      </c>
      <c r="T430" s="18" t="n">
        <f aca="false">P430*INDEX(Parametros!$B$13:$B$16,MATCH($F430,Parametros!$A$13:$A$16,0))</f>
        <v>183.1005</v>
      </c>
      <c r="U430" s="21" t="n">
        <f aca="false">P430-R430-S430-T430</f>
        <v>1782.1645</v>
      </c>
      <c r="V430" s="19" t="n">
        <f aca="false">IFERROR(U430/P430,0)</f>
        <v>0.291997755331089</v>
      </c>
      <c r="W430" s="48" t="n">
        <f aca="false">B430+INDEX(Parametros!$C$13:$C$16,MATCH($F430,Parametros!$A$13:$A$16,0))</f>
        <v>45856</v>
      </c>
      <c r="X430" s="31" t="s">
        <v>67</v>
      </c>
      <c r="Y430" s="53" t="n">
        <f aca="false">IF(COUNTIF($A$2:$A430,A430)=1,1,0)</f>
        <v>0</v>
      </c>
    </row>
    <row r="431" customFormat="false" ht="15" hidden="false" customHeight="false" outlineLevel="0" collapsed="false">
      <c r="A431" s="31" t="s">
        <v>472</v>
      </c>
      <c r="B431" s="36" t="n">
        <v>45796</v>
      </c>
      <c r="C431" s="49" t="n">
        <f aca="false">DATE(YEAR(B431),MONTH(B431),1)</f>
        <v>45778</v>
      </c>
      <c r="D431" s="31" t="s">
        <v>200</v>
      </c>
      <c r="E431" s="31" t="s">
        <v>41</v>
      </c>
      <c r="F431" s="31" t="s">
        <v>45</v>
      </c>
      <c r="G431" s="31" t="s">
        <v>62</v>
      </c>
      <c r="H431" s="31" t="s">
        <v>171</v>
      </c>
      <c r="I431" s="32" t="str">
        <f aca="false">INDEX(Productos!$B$2:$B$13,MATCH($H431,Productos!$A$2:$A$13,0))</f>
        <v>Tornillo DIN 7991 M8x30 avellanado inox A2</v>
      </c>
      <c r="J431" s="32" t="str">
        <f aca="false">INDEX(Productos!$C$2:$C$13,MATCH($H431,Productos!$A$2:$A$13,0))</f>
        <v>Inoxidable</v>
      </c>
      <c r="K431" s="31" t="s">
        <v>246</v>
      </c>
      <c r="L431" s="46" t="n">
        <v>119</v>
      </c>
      <c r="M431" s="50" t="n">
        <f aca="false">INDEX(Productos!$F$2:$F$13,MATCH($H431,Productos!$A$2:$A$13,0))</f>
        <v>88</v>
      </c>
      <c r="N431" s="51" t="n">
        <v>0.172</v>
      </c>
      <c r="O431" s="52" t="n">
        <f aca="false">M431*(1-N431)</f>
        <v>72.864</v>
      </c>
      <c r="P431" s="21" t="n">
        <f aca="false">L431*O431</f>
        <v>8670.816</v>
      </c>
      <c r="Q431" s="50" t="n">
        <f aca="false">INDEX(Productos!$E$2:$E$13,MATCH($H431,Productos!$A$2:$A$13,0))*INDEX(Parametros!$B$26:$B$43,MATCH($C431,Parametros!$A$26:$A$43,0))</f>
        <v>47.895</v>
      </c>
      <c r="R431" s="21" t="n">
        <f aca="false">L431*Q431</f>
        <v>5699.505</v>
      </c>
      <c r="S431" s="18" t="n">
        <f aca="false">L431*INDEX(Parametros!$B$20:$B$22,MATCH($E431,Parametros!$A$20:$A$22,0))</f>
        <v>101.15</v>
      </c>
      <c r="T431" s="18" t="n">
        <f aca="false">P431*INDEX(Parametros!$B$13:$B$16,MATCH($F431,Parametros!$A$13:$A$16,0))</f>
        <v>260.12448</v>
      </c>
      <c r="U431" s="21" t="n">
        <f aca="false">P431-R431-S431-T431</f>
        <v>2610.03652</v>
      </c>
      <c r="V431" s="19" t="n">
        <f aca="false">IFERROR(U431/P431,0)</f>
        <v>0.301013943785683</v>
      </c>
      <c r="W431" s="48" t="n">
        <f aca="false">B431+INDEX(Parametros!$C$13:$C$16,MATCH($F431,Parametros!$A$13:$A$16,0))</f>
        <v>45856</v>
      </c>
      <c r="X431" s="31" t="s">
        <v>69</v>
      </c>
      <c r="Y431" s="53" t="n">
        <f aca="false">IF(COUNTIF($A$2:$A431,A431)=1,1,0)</f>
        <v>0</v>
      </c>
    </row>
    <row r="432" customFormat="false" ht="15" hidden="false" customHeight="false" outlineLevel="0" collapsed="false">
      <c r="A432" s="31" t="s">
        <v>473</v>
      </c>
      <c r="B432" s="36" t="n">
        <v>45796</v>
      </c>
      <c r="C432" s="49" t="n">
        <f aca="false">DATE(YEAR(B432),MONTH(B432),1)</f>
        <v>45778</v>
      </c>
      <c r="D432" s="31" t="s">
        <v>197</v>
      </c>
      <c r="E432" s="31" t="s">
        <v>41</v>
      </c>
      <c r="F432" s="31" t="s">
        <v>46</v>
      </c>
      <c r="G432" s="31" t="s">
        <v>58</v>
      </c>
      <c r="H432" s="31" t="s">
        <v>163</v>
      </c>
      <c r="I432" s="32" t="str">
        <f aca="false">INDEX(Productos!$B$2:$B$13,MATCH($H432,Productos!$A$2:$A$13,0))</f>
        <v>Tornillo DIN 933 M6x30 rosca completa zincado</v>
      </c>
      <c r="J432" s="32" t="str">
        <f aca="false">INDEX(Productos!$C$2:$C$13,MATCH($H432,Productos!$A$2:$A$13,0))</f>
        <v>Métrica</v>
      </c>
      <c r="K432" s="31" t="s">
        <v>246</v>
      </c>
      <c r="L432" s="46" t="n">
        <v>80</v>
      </c>
      <c r="M432" s="50" t="n">
        <f aca="false">INDEX(Productos!$F$2:$F$13,MATCH($H432,Productos!$A$2:$A$13,0))</f>
        <v>32</v>
      </c>
      <c r="N432" s="51" t="n">
        <v>0.094</v>
      </c>
      <c r="O432" s="52" t="n">
        <f aca="false">M432*(1-N432)</f>
        <v>28.992</v>
      </c>
      <c r="P432" s="21" t="n">
        <f aca="false">L432*O432</f>
        <v>2319.36</v>
      </c>
      <c r="Q432" s="50" t="n">
        <f aca="false">INDEX(Productos!$E$2:$E$13,MATCH($H432,Productos!$A$2:$A$13,0))*INDEX(Parametros!$B$26:$B$43,MATCH($C432,Parametros!$A$26:$A$43,0))</f>
        <v>17.098</v>
      </c>
      <c r="R432" s="21" t="n">
        <f aca="false">L432*Q432</f>
        <v>1367.84</v>
      </c>
      <c r="S432" s="18" t="n">
        <f aca="false">L432*INDEX(Parametros!$B$20:$B$22,MATCH($E432,Parametros!$A$20:$A$22,0))</f>
        <v>68</v>
      </c>
      <c r="T432" s="18" t="n">
        <f aca="false">P432*INDEX(Parametros!$B$13:$B$16,MATCH($F432,Parametros!$A$13:$A$16,0))</f>
        <v>92.7744</v>
      </c>
      <c r="U432" s="21" t="n">
        <f aca="false">P432-R432-S432-T432</f>
        <v>790.7456</v>
      </c>
      <c r="V432" s="19" t="n">
        <f aca="false">IFERROR(U432/P432,0)</f>
        <v>0.340932671081678</v>
      </c>
      <c r="W432" s="48" t="n">
        <f aca="false">B432+INDEX(Parametros!$C$13:$C$16,MATCH($F432,Parametros!$A$13:$A$16,0))</f>
        <v>45871</v>
      </c>
      <c r="X432" s="31" t="s">
        <v>67</v>
      </c>
      <c r="Y432" s="53" t="n">
        <f aca="false">IF(COUNTIF($A$2:$A432,A432)=1,1,0)</f>
        <v>1</v>
      </c>
    </row>
    <row r="433" customFormat="false" ht="15" hidden="false" customHeight="false" outlineLevel="0" collapsed="false">
      <c r="A433" s="31" t="s">
        <v>474</v>
      </c>
      <c r="B433" s="36" t="n">
        <v>45797</v>
      </c>
      <c r="C433" s="49" t="n">
        <f aca="false">DATE(YEAR(B433),MONTH(B433),1)</f>
        <v>45778</v>
      </c>
      <c r="D433" s="31" t="s">
        <v>212</v>
      </c>
      <c r="E433" s="31" t="s">
        <v>42</v>
      </c>
      <c r="F433" s="31" t="s">
        <v>45</v>
      </c>
      <c r="G433" s="31" t="s">
        <v>61</v>
      </c>
      <c r="H433" s="31" t="s">
        <v>167</v>
      </c>
      <c r="I433" s="32" t="str">
        <f aca="false">INDEX(Productos!$B$2:$B$13,MATCH($H433,Productos!$A$2:$A$13,0))</f>
        <v>Tornillo DIN 912 M6x25 Allen zincado</v>
      </c>
      <c r="J433" s="32" t="str">
        <f aca="false">INDEX(Productos!$C$2:$C$13,MATCH($H433,Productos!$A$2:$A$13,0))</f>
        <v>Métrica</v>
      </c>
      <c r="K433" s="31" t="s">
        <v>246</v>
      </c>
      <c r="L433" s="46" t="n">
        <v>115</v>
      </c>
      <c r="M433" s="50" t="n">
        <f aca="false">INDEX(Productos!$F$2:$F$13,MATCH($H433,Productos!$A$2:$A$13,0))</f>
        <v>42</v>
      </c>
      <c r="N433" s="51" t="n">
        <v>0.143</v>
      </c>
      <c r="O433" s="52" t="n">
        <f aca="false">M433*(1-N433)</f>
        <v>35.994</v>
      </c>
      <c r="P433" s="21" t="n">
        <f aca="false">L433*O433</f>
        <v>4139.31</v>
      </c>
      <c r="Q433" s="50" t="n">
        <f aca="false">INDEX(Productos!$E$2:$E$13,MATCH($H433,Productos!$A$2:$A$13,0))*INDEX(Parametros!$B$26:$B$43,MATCH($C433,Parametros!$A$26:$A$43,0))</f>
        <v>22.454</v>
      </c>
      <c r="R433" s="21" t="n">
        <f aca="false">L433*Q433</f>
        <v>2582.21</v>
      </c>
      <c r="S433" s="18" t="n">
        <f aca="false">L433*INDEX(Parametros!$B$20:$B$22,MATCH($E433,Parametros!$A$20:$A$22,0))</f>
        <v>276</v>
      </c>
      <c r="T433" s="18" t="n">
        <f aca="false">P433*INDEX(Parametros!$B$13:$B$16,MATCH($F433,Parametros!$A$13:$A$16,0))</f>
        <v>124.1793</v>
      </c>
      <c r="U433" s="21" t="n">
        <f aca="false">P433-R433-S433-T433</f>
        <v>1156.9207</v>
      </c>
      <c r="V433" s="19" t="n">
        <f aca="false">IFERROR(U433/P433,0)</f>
        <v>0.27949602711563</v>
      </c>
      <c r="W433" s="48" t="n">
        <f aca="false">B433+INDEX(Parametros!$C$13:$C$16,MATCH($F433,Parametros!$A$13:$A$16,0))</f>
        <v>45857</v>
      </c>
      <c r="X433" s="31" t="s">
        <v>67</v>
      </c>
      <c r="Y433" s="53" t="n">
        <f aca="false">IF(COUNTIF($A$2:$A433,A433)=1,1,0)</f>
        <v>1</v>
      </c>
    </row>
    <row r="434" customFormat="false" ht="15" hidden="false" customHeight="false" outlineLevel="0" collapsed="false">
      <c r="A434" s="31" t="s">
        <v>474</v>
      </c>
      <c r="B434" s="36" t="n">
        <v>45797</v>
      </c>
      <c r="C434" s="49" t="n">
        <f aca="false">DATE(YEAR(B434),MONTH(B434),1)</f>
        <v>45778</v>
      </c>
      <c r="D434" s="31" t="s">
        <v>212</v>
      </c>
      <c r="E434" s="31" t="s">
        <v>42</v>
      </c>
      <c r="F434" s="31" t="s">
        <v>45</v>
      </c>
      <c r="G434" s="31" t="s">
        <v>61</v>
      </c>
      <c r="H434" s="31" t="s">
        <v>173</v>
      </c>
      <c r="I434" s="32" t="str">
        <f aca="false">INDEX(Productos!$B$2:$B$13,MATCH($H434,Productos!$A$2:$A$13,0))</f>
        <v>Tornillo DIN 933 M12x70 clase 8.8</v>
      </c>
      <c r="J434" s="32" t="str">
        <f aca="false">INDEX(Productos!$C$2:$C$13,MATCH($H434,Productos!$A$2:$A$13,0))</f>
        <v>Métrica</v>
      </c>
      <c r="K434" s="31" t="s">
        <v>246</v>
      </c>
      <c r="L434" s="46" t="n">
        <v>74</v>
      </c>
      <c r="M434" s="50" t="n">
        <f aca="false">INDEX(Productos!$F$2:$F$13,MATCH($H434,Productos!$A$2:$A$13,0))</f>
        <v>64</v>
      </c>
      <c r="N434" s="51" t="n">
        <v>0.174</v>
      </c>
      <c r="O434" s="52" t="n">
        <f aca="false">M434*(1-N434)</f>
        <v>52.864</v>
      </c>
      <c r="P434" s="21" t="n">
        <f aca="false">L434*O434</f>
        <v>3911.936</v>
      </c>
      <c r="Q434" s="50" t="n">
        <f aca="false">INDEX(Productos!$E$2:$E$13,MATCH($H434,Productos!$A$2:$A$13,0))*INDEX(Parametros!$B$26:$B$43,MATCH($C434,Parametros!$A$26:$A$43,0))</f>
        <v>34.505</v>
      </c>
      <c r="R434" s="21" t="n">
        <f aca="false">L434*Q434</f>
        <v>2553.37</v>
      </c>
      <c r="S434" s="18" t="n">
        <f aca="false">L434*INDEX(Parametros!$B$20:$B$22,MATCH($E434,Parametros!$A$20:$A$22,0))</f>
        <v>177.6</v>
      </c>
      <c r="T434" s="18" t="n">
        <f aca="false">P434*INDEX(Parametros!$B$13:$B$16,MATCH($F434,Parametros!$A$13:$A$16,0))</f>
        <v>117.35808</v>
      </c>
      <c r="U434" s="21" t="n">
        <f aca="false">P434-R434-S434-T434</f>
        <v>1063.60792</v>
      </c>
      <c r="V434" s="19" t="n">
        <f aca="false">IFERROR(U434/P434,0)</f>
        <v>0.271887863196126</v>
      </c>
      <c r="W434" s="48" t="n">
        <f aca="false">B434+INDEX(Parametros!$C$13:$C$16,MATCH($F434,Parametros!$A$13:$A$16,0))</f>
        <v>45857</v>
      </c>
      <c r="X434" s="31" t="s">
        <v>67</v>
      </c>
      <c r="Y434" s="53" t="n">
        <f aca="false">IF(COUNTIF($A$2:$A434,A434)=1,1,0)</f>
        <v>0</v>
      </c>
    </row>
    <row r="435" customFormat="false" ht="15" hidden="false" customHeight="false" outlineLevel="0" collapsed="false">
      <c r="A435" s="31" t="s">
        <v>474</v>
      </c>
      <c r="B435" s="36" t="n">
        <v>45797</v>
      </c>
      <c r="C435" s="49" t="n">
        <f aca="false">DATE(YEAR(B435),MONTH(B435),1)</f>
        <v>45778</v>
      </c>
      <c r="D435" s="31" t="s">
        <v>212</v>
      </c>
      <c r="E435" s="31" t="s">
        <v>42</v>
      </c>
      <c r="F435" s="31" t="s">
        <v>45</v>
      </c>
      <c r="G435" s="31" t="s">
        <v>61</v>
      </c>
      <c r="H435" s="31" t="s">
        <v>165</v>
      </c>
      <c r="I435" s="32" t="str">
        <f aca="false">INDEX(Productos!$B$2:$B$13,MATCH($H435,Productos!$A$2:$A$13,0))</f>
        <v>Tornillo DIN 933 M8x40 rosca completa zincado</v>
      </c>
      <c r="J435" s="32" t="str">
        <f aca="false">INDEX(Productos!$C$2:$C$13,MATCH($H435,Productos!$A$2:$A$13,0))</f>
        <v>Métrica</v>
      </c>
      <c r="K435" s="31" t="s">
        <v>246</v>
      </c>
      <c r="L435" s="46" t="n">
        <v>200</v>
      </c>
      <c r="M435" s="50" t="n">
        <f aca="false">INDEX(Productos!$F$2:$F$13,MATCH($H435,Productos!$A$2:$A$13,0))</f>
        <v>37.5</v>
      </c>
      <c r="N435" s="51" t="n">
        <v>0.172</v>
      </c>
      <c r="O435" s="52" t="n">
        <f aca="false">M435*(1-N435)</f>
        <v>31.05</v>
      </c>
      <c r="P435" s="21" t="n">
        <f aca="false">L435*O435</f>
        <v>6210</v>
      </c>
      <c r="Q435" s="50" t="n">
        <f aca="false">INDEX(Productos!$E$2:$E$13,MATCH($H435,Productos!$A$2:$A$13,0))*INDEX(Parametros!$B$26:$B$43,MATCH($C435,Parametros!$A$26:$A$43,0))</f>
        <v>19.982</v>
      </c>
      <c r="R435" s="21" t="n">
        <f aca="false">L435*Q435</f>
        <v>3996.4</v>
      </c>
      <c r="S435" s="18" t="n">
        <f aca="false">L435*INDEX(Parametros!$B$20:$B$22,MATCH($E435,Parametros!$A$20:$A$22,0))</f>
        <v>480</v>
      </c>
      <c r="T435" s="18" t="n">
        <f aca="false">P435*INDEX(Parametros!$B$13:$B$16,MATCH($F435,Parametros!$A$13:$A$16,0))</f>
        <v>186.3</v>
      </c>
      <c r="U435" s="21" t="n">
        <f aca="false">P435-R435-S435-T435</f>
        <v>1547.3</v>
      </c>
      <c r="V435" s="19" t="n">
        <f aca="false">IFERROR(U435/P435,0)</f>
        <v>0.249162640901772</v>
      </c>
      <c r="W435" s="48" t="n">
        <f aca="false">B435+INDEX(Parametros!$C$13:$C$16,MATCH($F435,Parametros!$A$13:$A$16,0))</f>
        <v>45857</v>
      </c>
      <c r="X435" s="31" t="s">
        <v>67</v>
      </c>
      <c r="Y435" s="53" t="n">
        <f aca="false">IF(COUNTIF($A$2:$A435,A435)=1,1,0)</f>
        <v>0</v>
      </c>
    </row>
    <row r="436" customFormat="false" ht="15" hidden="false" customHeight="false" outlineLevel="0" collapsed="false">
      <c r="A436" s="31" t="s">
        <v>475</v>
      </c>
      <c r="B436" s="36" t="n">
        <v>45797</v>
      </c>
      <c r="C436" s="49" t="n">
        <f aca="false">DATE(YEAR(B436),MONTH(B436),1)</f>
        <v>45778</v>
      </c>
      <c r="D436" s="31" t="s">
        <v>205</v>
      </c>
      <c r="E436" s="31" t="s">
        <v>41</v>
      </c>
      <c r="F436" s="31" t="s">
        <v>45</v>
      </c>
      <c r="G436" s="31" t="s">
        <v>62</v>
      </c>
      <c r="H436" s="31" t="s">
        <v>165</v>
      </c>
      <c r="I436" s="32" t="str">
        <f aca="false">INDEX(Productos!$B$2:$B$13,MATCH($H436,Productos!$A$2:$A$13,0))</f>
        <v>Tornillo DIN 933 M8x40 rosca completa zincado</v>
      </c>
      <c r="J436" s="32" t="str">
        <f aca="false">INDEX(Productos!$C$2:$C$13,MATCH($H436,Productos!$A$2:$A$13,0))</f>
        <v>Métrica</v>
      </c>
      <c r="K436" s="31" t="s">
        <v>246</v>
      </c>
      <c r="L436" s="46" t="n">
        <v>144</v>
      </c>
      <c r="M436" s="50" t="n">
        <f aca="false">INDEX(Productos!$F$2:$F$13,MATCH($H436,Productos!$A$2:$A$13,0))</f>
        <v>37.5</v>
      </c>
      <c r="N436" s="51" t="n">
        <v>0.121</v>
      </c>
      <c r="O436" s="52" t="n">
        <f aca="false">M436*(1-N436)</f>
        <v>32.9625</v>
      </c>
      <c r="P436" s="21" t="n">
        <f aca="false">L436*O436</f>
        <v>4746.6</v>
      </c>
      <c r="Q436" s="50" t="n">
        <f aca="false">INDEX(Productos!$E$2:$E$13,MATCH($H436,Productos!$A$2:$A$13,0))*INDEX(Parametros!$B$26:$B$43,MATCH($C436,Parametros!$A$26:$A$43,0))</f>
        <v>19.982</v>
      </c>
      <c r="R436" s="21" t="n">
        <f aca="false">L436*Q436</f>
        <v>2877.408</v>
      </c>
      <c r="S436" s="18" t="n">
        <f aca="false">L436*INDEX(Parametros!$B$20:$B$22,MATCH($E436,Parametros!$A$20:$A$22,0))</f>
        <v>122.4</v>
      </c>
      <c r="T436" s="18" t="n">
        <f aca="false">P436*INDEX(Parametros!$B$13:$B$16,MATCH($F436,Parametros!$A$13:$A$16,0))</f>
        <v>142.398</v>
      </c>
      <c r="U436" s="21" t="n">
        <f aca="false">P436-R436-S436-T436</f>
        <v>1604.394</v>
      </c>
      <c r="V436" s="19" t="n">
        <f aca="false">IFERROR(U436/P436,0)</f>
        <v>0.338009101251422</v>
      </c>
      <c r="W436" s="48" t="n">
        <f aca="false">B436+INDEX(Parametros!$C$13:$C$16,MATCH($F436,Parametros!$A$13:$A$16,0))</f>
        <v>45857</v>
      </c>
      <c r="X436" s="31" t="s">
        <v>67</v>
      </c>
      <c r="Y436" s="53" t="n">
        <f aca="false">IF(COUNTIF($A$2:$A436,A436)=1,1,0)</f>
        <v>1</v>
      </c>
    </row>
    <row r="437" customFormat="false" ht="15" hidden="false" customHeight="false" outlineLevel="0" collapsed="false">
      <c r="A437" s="31" t="s">
        <v>476</v>
      </c>
      <c r="B437" s="36" t="n">
        <v>45798</v>
      </c>
      <c r="C437" s="49" t="n">
        <f aca="false">DATE(YEAR(B437),MONTH(B437),1)</f>
        <v>45778</v>
      </c>
      <c r="D437" s="31" t="s">
        <v>213</v>
      </c>
      <c r="E437" s="31" t="s">
        <v>42</v>
      </c>
      <c r="F437" s="31" t="s">
        <v>46</v>
      </c>
      <c r="G437" s="31" t="s">
        <v>61</v>
      </c>
      <c r="H437" s="31" t="s">
        <v>175</v>
      </c>
      <c r="I437" s="32" t="str">
        <f aca="false">INDEX(Productos!$B$2:$B$13,MATCH($H437,Productos!$A$2:$A$13,0))</f>
        <v>Tirafondo madera 5x60 cabeza plana Torx</v>
      </c>
      <c r="J437" s="32" t="str">
        <f aca="false">INDEX(Productos!$C$2:$C$13,MATCH($H437,Productos!$A$2:$A$13,0))</f>
        <v>Madera</v>
      </c>
      <c r="K437" s="31" t="s">
        <v>246</v>
      </c>
      <c r="L437" s="46" t="n">
        <v>36</v>
      </c>
      <c r="M437" s="50" t="n">
        <f aca="false">INDEX(Productos!$F$2:$F$13,MATCH($H437,Productos!$A$2:$A$13,0))</f>
        <v>26</v>
      </c>
      <c r="N437" s="51" t="n">
        <v>0.11</v>
      </c>
      <c r="O437" s="52" t="n">
        <f aca="false">M437*(1-N437)</f>
        <v>23.14</v>
      </c>
      <c r="P437" s="21" t="n">
        <f aca="false">L437*O437</f>
        <v>833.04</v>
      </c>
      <c r="Q437" s="50" t="n">
        <f aca="false">INDEX(Productos!$E$2:$E$13,MATCH($H437,Productos!$A$2:$A$13,0))*INDEX(Parametros!$B$26:$B$43,MATCH($C437,Parametros!$A$26:$A$43,0))</f>
        <v>13.802</v>
      </c>
      <c r="R437" s="21" t="n">
        <f aca="false">L437*Q437</f>
        <v>496.872</v>
      </c>
      <c r="S437" s="18" t="n">
        <f aca="false">L437*INDEX(Parametros!$B$20:$B$22,MATCH($E437,Parametros!$A$20:$A$22,0))</f>
        <v>86.4</v>
      </c>
      <c r="T437" s="18" t="n">
        <f aca="false">P437*INDEX(Parametros!$B$13:$B$16,MATCH($F437,Parametros!$A$13:$A$16,0))</f>
        <v>33.3216</v>
      </c>
      <c r="U437" s="21" t="n">
        <f aca="false">P437-R437-S437-T437</f>
        <v>216.4464</v>
      </c>
      <c r="V437" s="19" t="n">
        <f aca="false">IFERROR(U437/P437,0)</f>
        <v>0.259827139152982</v>
      </c>
      <c r="W437" s="48" t="n">
        <f aca="false">B437+INDEX(Parametros!$C$13:$C$16,MATCH($F437,Parametros!$A$13:$A$16,0))</f>
        <v>45873</v>
      </c>
      <c r="X437" s="31" t="s">
        <v>67</v>
      </c>
      <c r="Y437" s="53" t="n">
        <f aca="false">IF(COUNTIF($A$2:$A437,A437)=1,1,0)</f>
        <v>1</v>
      </c>
    </row>
    <row r="438" customFormat="false" ht="15" hidden="false" customHeight="false" outlineLevel="0" collapsed="false">
      <c r="A438" s="31" t="s">
        <v>476</v>
      </c>
      <c r="B438" s="36" t="n">
        <v>45798</v>
      </c>
      <c r="C438" s="49" t="n">
        <f aca="false">DATE(YEAR(B438),MONTH(B438),1)</f>
        <v>45778</v>
      </c>
      <c r="D438" s="31" t="s">
        <v>213</v>
      </c>
      <c r="E438" s="31" t="s">
        <v>42</v>
      </c>
      <c r="F438" s="31" t="s">
        <v>46</v>
      </c>
      <c r="G438" s="31" t="s">
        <v>61</v>
      </c>
      <c r="H438" s="31" t="s">
        <v>167</v>
      </c>
      <c r="I438" s="32" t="str">
        <f aca="false">INDEX(Productos!$B$2:$B$13,MATCH($H438,Productos!$A$2:$A$13,0))</f>
        <v>Tornillo DIN 912 M6x25 Allen zincado</v>
      </c>
      <c r="J438" s="32" t="str">
        <f aca="false">INDEX(Productos!$C$2:$C$13,MATCH($H438,Productos!$A$2:$A$13,0))</f>
        <v>Métrica</v>
      </c>
      <c r="K438" s="31" t="s">
        <v>246</v>
      </c>
      <c r="L438" s="46" t="n">
        <v>43</v>
      </c>
      <c r="M438" s="50" t="n">
        <f aca="false">INDEX(Productos!$F$2:$F$13,MATCH($H438,Productos!$A$2:$A$13,0))</f>
        <v>42</v>
      </c>
      <c r="N438" s="51" t="n">
        <v>0.133</v>
      </c>
      <c r="O438" s="52" t="n">
        <f aca="false">M438*(1-N438)</f>
        <v>36.414</v>
      </c>
      <c r="P438" s="21" t="n">
        <f aca="false">L438*O438</f>
        <v>1565.802</v>
      </c>
      <c r="Q438" s="50" t="n">
        <f aca="false">INDEX(Productos!$E$2:$E$13,MATCH($H438,Productos!$A$2:$A$13,0))*INDEX(Parametros!$B$26:$B$43,MATCH($C438,Parametros!$A$26:$A$43,0))</f>
        <v>22.454</v>
      </c>
      <c r="R438" s="21" t="n">
        <f aca="false">L438*Q438</f>
        <v>965.522</v>
      </c>
      <c r="S438" s="18" t="n">
        <f aca="false">L438*INDEX(Parametros!$B$20:$B$22,MATCH($E438,Parametros!$A$20:$A$22,0))</f>
        <v>103.2</v>
      </c>
      <c r="T438" s="18" t="n">
        <f aca="false">P438*INDEX(Parametros!$B$13:$B$16,MATCH($F438,Parametros!$A$13:$A$16,0))</f>
        <v>62.63208</v>
      </c>
      <c r="U438" s="21" t="n">
        <f aca="false">P438-R438-S438-T438</f>
        <v>434.44792</v>
      </c>
      <c r="V438" s="19" t="n">
        <f aca="false">IFERROR(U438/P438,0)</f>
        <v>0.277460317460317</v>
      </c>
      <c r="W438" s="48" t="n">
        <f aca="false">B438+INDEX(Parametros!$C$13:$C$16,MATCH($F438,Parametros!$A$13:$A$16,0))</f>
        <v>45873</v>
      </c>
      <c r="X438" s="31" t="s">
        <v>67</v>
      </c>
      <c r="Y438" s="53" t="n">
        <f aca="false">IF(COUNTIF($A$2:$A438,A438)=1,1,0)</f>
        <v>0</v>
      </c>
    </row>
    <row r="439" customFormat="false" ht="15" hidden="false" customHeight="false" outlineLevel="0" collapsed="false">
      <c r="A439" s="31" t="s">
        <v>477</v>
      </c>
      <c r="B439" s="36" t="n">
        <v>45798</v>
      </c>
      <c r="C439" s="49" t="n">
        <f aca="false">DATE(YEAR(B439),MONTH(B439),1)</f>
        <v>45778</v>
      </c>
      <c r="D439" s="31" t="s">
        <v>213</v>
      </c>
      <c r="E439" s="31" t="s">
        <v>42</v>
      </c>
      <c r="F439" s="31" t="s">
        <v>46</v>
      </c>
      <c r="G439" s="31" t="s">
        <v>61</v>
      </c>
      <c r="H439" s="31" t="s">
        <v>183</v>
      </c>
      <c r="I439" s="32" t="str">
        <f aca="false">INDEX(Productos!$B$2:$B$13,MATCH($H439,Productos!$A$2:$A$13,0))</f>
        <v>Tornillo estructural M16x90 clase 10.9</v>
      </c>
      <c r="J439" s="32" t="str">
        <f aca="false">INDEX(Productos!$C$2:$C$13,MATCH($H439,Productos!$A$2:$A$13,0))</f>
        <v>Especial</v>
      </c>
      <c r="K439" s="31" t="s">
        <v>246</v>
      </c>
      <c r="L439" s="46" t="n">
        <v>65</v>
      </c>
      <c r="M439" s="50" t="n">
        <f aca="false">INDEX(Productos!$F$2:$F$13,MATCH($H439,Productos!$A$2:$A$13,0))</f>
        <v>112</v>
      </c>
      <c r="N439" s="51" t="n">
        <v>0.103</v>
      </c>
      <c r="O439" s="52" t="n">
        <f aca="false">M439*(1-N439)</f>
        <v>100.464</v>
      </c>
      <c r="P439" s="21" t="n">
        <f aca="false">L439*O439</f>
        <v>6530.16</v>
      </c>
      <c r="Q439" s="50" t="n">
        <f aca="false">INDEX(Productos!$E$2:$E$13,MATCH($H439,Productos!$A$2:$A$13,0))*INDEX(Parametros!$B$26:$B$43,MATCH($C439,Parametros!$A$26:$A$43,0))</f>
        <v>61.8</v>
      </c>
      <c r="R439" s="21" t="n">
        <f aca="false">L439*Q439</f>
        <v>4017</v>
      </c>
      <c r="S439" s="18" t="n">
        <f aca="false">L439*INDEX(Parametros!$B$20:$B$22,MATCH($E439,Parametros!$A$20:$A$22,0))</f>
        <v>156</v>
      </c>
      <c r="T439" s="18" t="n">
        <f aca="false">P439*INDEX(Parametros!$B$13:$B$16,MATCH($F439,Parametros!$A$13:$A$16,0))</f>
        <v>261.2064</v>
      </c>
      <c r="U439" s="21" t="n">
        <f aca="false">P439-R439-S439-T439</f>
        <v>2095.9536</v>
      </c>
      <c r="V439" s="19" t="n">
        <f aca="false">IFERROR(U439/P439,0)</f>
        <v>0.320965121834687</v>
      </c>
      <c r="W439" s="48" t="n">
        <f aca="false">B439+INDEX(Parametros!$C$13:$C$16,MATCH($F439,Parametros!$A$13:$A$16,0))</f>
        <v>45873</v>
      </c>
      <c r="X439" s="31" t="s">
        <v>69</v>
      </c>
      <c r="Y439" s="53" t="n">
        <f aca="false">IF(COUNTIF($A$2:$A439,A439)=1,1,0)</f>
        <v>1</v>
      </c>
    </row>
    <row r="440" customFormat="false" ht="15" hidden="false" customHeight="false" outlineLevel="0" collapsed="false">
      <c r="A440" s="31" t="s">
        <v>477</v>
      </c>
      <c r="B440" s="36" t="n">
        <v>45798</v>
      </c>
      <c r="C440" s="49" t="n">
        <f aca="false">DATE(YEAR(B440),MONTH(B440),1)</f>
        <v>45778</v>
      </c>
      <c r="D440" s="31" t="s">
        <v>213</v>
      </c>
      <c r="E440" s="31" t="s">
        <v>42</v>
      </c>
      <c r="F440" s="31" t="s">
        <v>46</v>
      </c>
      <c r="G440" s="31" t="s">
        <v>61</v>
      </c>
      <c r="H440" s="31" t="s">
        <v>175</v>
      </c>
      <c r="I440" s="32" t="str">
        <f aca="false">INDEX(Productos!$B$2:$B$13,MATCH($H440,Productos!$A$2:$A$13,0))</f>
        <v>Tirafondo madera 5x60 cabeza plana Torx</v>
      </c>
      <c r="J440" s="32" t="str">
        <f aca="false">INDEX(Productos!$C$2:$C$13,MATCH($H440,Productos!$A$2:$A$13,0))</f>
        <v>Madera</v>
      </c>
      <c r="K440" s="31" t="s">
        <v>246</v>
      </c>
      <c r="L440" s="46" t="n">
        <v>188</v>
      </c>
      <c r="M440" s="50" t="n">
        <f aca="false">INDEX(Productos!$F$2:$F$13,MATCH($H440,Productos!$A$2:$A$13,0))</f>
        <v>26</v>
      </c>
      <c r="N440" s="51" t="n">
        <v>0.103</v>
      </c>
      <c r="O440" s="52" t="n">
        <f aca="false">M440*(1-N440)</f>
        <v>23.322</v>
      </c>
      <c r="P440" s="21" t="n">
        <f aca="false">L440*O440</f>
        <v>4384.536</v>
      </c>
      <c r="Q440" s="50" t="n">
        <f aca="false">INDEX(Productos!$E$2:$E$13,MATCH($H440,Productos!$A$2:$A$13,0))*INDEX(Parametros!$B$26:$B$43,MATCH($C440,Parametros!$A$26:$A$43,0))</f>
        <v>13.802</v>
      </c>
      <c r="R440" s="21" t="n">
        <f aca="false">L440*Q440</f>
        <v>2594.776</v>
      </c>
      <c r="S440" s="18" t="n">
        <f aca="false">L440*INDEX(Parametros!$B$20:$B$22,MATCH($E440,Parametros!$A$20:$A$22,0))</f>
        <v>451.2</v>
      </c>
      <c r="T440" s="18" t="n">
        <f aca="false">P440*INDEX(Parametros!$B$13:$B$16,MATCH($F440,Parametros!$A$13:$A$16,0))</f>
        <v>175.38144</v>
      </c>
      <c r="U440" s="21" t="n">
        <f aca="false">P440-R440-S440-T440</f>
        <v>1163.17856</v>
      </c>
      <c r="V440" s="19" t="n">
        <f aca="false">IFERROR(U440/P440,0)</f>
        <v>0.265291141411543</v>
      </c>
      <c r="W440" s="48" t="n">
        <f aca="false">B440+INDEX(Parametros!$C$13:$C$16,MATCH($F440,Parametros!$A$13:$A$16,0))</f>
        <v>45873</v>
      </c>
      <c r="X440" s="31" t="s">
        <v>67</v>
      </c>
      <c r="Y440" s="53" t="n">
        <f aca="false">IF(COUNTIF($A$2:$A440,A440)=1,1,0)</f>
        <v>0</v>
      </c>
    </row>
    <row r="441" customFormat="false" ht="15" hidden="false" customHeight="false" outlineLevel="0" collapsed="false">
      <c r="A441" s="31" t="s">
        <v>478</v>
      </c>
      <c r="B441" s="36" t="n">
        <v>45798</v>
      </c>
      <c r="C441" s="49" t="n">
        <f aca="false">DATE(YEAR(B441),MONTH(B441),1)</f>
        <v>45778</v>
      </c>
      <c r="D441" s="31" t="s">
        <v>228</v>
      </c>
      <c r="E441" s="31" t="s">
        <v>43</v>
      </c>
      <c r="F441" s="31" t="s">
        <v>47</v>
      </c>
      <c r="G441" s="31" t="s">
        <v>59</v>
      </c>
      <c r="H441" s="31" t="s">
        <v>175</v>
      </c>
      <c r="I441" s="32" t="str">
        <f aca="false">INDEX(Productos!$B$2:$B$13,MATCH($H441,Productos!$A$2:$A$13,0))</f>
        <v>Tirafondo madera 5x60 cabeza plana Torx</v>
      </c>
      <c r="J441" s="32" t="str">
        <f aca="false">INDEX(Productos!$C$2:$C$13,MATCH($H441,Productos!$A$2:$A$13,0))</f>
        <v>Madera</v>
      </c>
      <c r="K441" s="31" t="s">
        <v>246</v>
      </c>
      <c r="L441" s="46" t="n">
        <v>68</v>
      </c>
      <c r="M441" s="50" t="n">
        <f aca="false">INDEX(Productos!$F$2:$F$13,MATCH($H441,Productos!$A$2:$A$13,0))</f>
        <v>26</v>
      </c>
      <c r="N441" s="51" t="n">
        <v>0.087</v>
      </c>
      <c r="O441" s="52" t="n">
        <f aca="false">M441*(1-N441)</f>
        <v>23.738</v>
      </c>
      <c r="P441" s="21" t="n">
        <f aca="false">L441*O441</f>
        <v>1614.184</v>
      </c>
      <c r="Q441" s="50" t="n">
        <f aca="false">INDEX(Productos!$E$2:$E$13,MATCH($H441,Productos!$A$2:$A$13,0))*INDEX(Parametros!$B$26:$B$43,MATCH($C441,Parametros!$A$26:$A$43,0))</f>
        <v>13.802</v>
      </c>
      <c r="R441" s="21" t="n">
        <f aca="false">L441*Q441</f>
        <v>938.536</v>
      </c>
      <c r="S441" s="18" t="n">
        <f aca="false">L441*INDEX(Parametros!$B$20:$B$22,MATCH($E441,Parametros!$A$20:$A$22,0))</f>
        <v>129.2</v>
      </c>
      <c r="T441" s="18" t="n">
        <f aca="false">P441*INDEX(Parametros!$B$13:$B$16,MATCH($F441,Parametros!$A$13:$A$16,0))</f>
        <v>56.49644</v>
      </c>
      <c r="U441" s="21" t="n">
        <f aca="false">P441-R441-S441-T441</f>
        <v>489.95156</v>
      </c>
      <c r="V441" s="19" t="n">
        <f aca="false">IFERROR(U441/P441,0)</f>
        <v>0.303528940938579</v>
      </c>
      <c r="W441" s="48" t="n">
        <f aca="false">B441+INDEX(Parametros!$C$13:$C$16,MATCH($F441,Parametros!$A$13:$A$16,0))</f>
        <v>45843</v>
      </c>
      <c r="X441" s="31" t="s">
        <v>67</v>
      </c>
      <c r="Y441" s="53" t="n">
        <f aca="false">IF(COUNTIF($A$2:$A441,A441)=1,1,0)</f>
        <v>1</v>
      </c>
    </row>
    <row r="442" customFormat="false" ht="15" hidden="false" customHeight="false" outlineLevel="0" collapsed="false">
      <c r="A442" s="31" t="s">
        <v>478</v>
      </c>
      <c r="B442" s="36" t="n">
        <v>45798</v>
      </c>
      <c r="C442" s="49" t="n">
        <f aca="false">DATE(YEAR(B442),MONTH(B442),1)</f>
        <v>45778</v>
      </c>
      <c r="D442" s="31" t="s">
        <v>228</v>
      </c>
      <c r="E442" s="31" t="s">
        <v>43</v>
      </c>
      <c r="F442" s="31" t="s">
        <v>47</v>
      </c>
      <c r="G442" s="31" t="s">
        <v>59</v>
      </c>
      <c r="H442" s="31" t="s">
        <v>173</v>
      </c>
      <c r="I442" s="32" t="str">
        <f aca="false">INDEX(Productos!$B$2:$B$13,MATCH($H442,Productos!$A$2:$A$13,0))</f>
        <v>Tornillo DIN 933 M12x70 clase 8.8</v>
      </c>
      <c r="J442" s="32" t="str">
        <f aca="false">INDEX(Productos!$C$2:$C$13,MATCH($H442,Productos!$A$2:$A$13,0))</f>
        <v>Métrica</v>
      </c>
      <c r="K442" s="31" t="s">
        <v>246</v>
      </c>
      <c r="L442" s="46" t="n">
        <v>69</v>
      </c>
      <c r="M442" s="50" t="n">
        <f aca="false">INDEX(Productos!$F$2:$F$13,MATCH($H442,Productos!$A$2:$A$13,0))</f>
        <v>64</v>
      </c>
      <c r="N442" s="51" t="n">
        <v>0.059</v>
      </c>
      <c r="O442" s="52" t="n">
        <f aca="false">M442*(1-N442)</f>
        <v>60.224</v>
      </c>
      <c r="P442" s="21" t="n">
        <f aca="false">L442*O442</f>
        <v>4155.456</v>
      </c>
      <c r="Q442" s="50" t="n">
        <f aca="false">INDEX(Productos!$E$2:$E$13,MATCH($H442,Productos!$A$2:$A$13,0))*INDEX(Parametros!$B$26:$B$43,MATCH($C442,Parametros!$A$26:$A$43,0))</f>
        <v>34.505</v>
      </c>
      <c r="R442" s="21" t="n">
        <f aca="false">L442*Q442</f>
        <v>2380.845</v>
      </c>
      <c r="S442" s="18" t="n">
        <f aca="false">L442*INDEX(Parametros!$B$20:$B$22,MATCH($E442,Parametros!$A$20:$A$22,0))</f>
        <v>131.1</v>
      </c>
      <c r="T442" s="18" t="n">
        <f aca="false">P442*INDEX(Parametros!$B$13:$B$16,MATCH($F442,Parametros!$A$13:$A$16,0))</f>
        <v>145.44096</v>
      </c>
      <c r="U442" s="21" t="n">
        <f aca="false">P442-R442-S442-T442</f>
        <v>1498.07004</v>
      </c>
      <c r="V442" s="19" t="n">
        <f aca="false">IFERROR(U442/P442,0)</f>
        <v>0.360506774707758</v>
      </c>
      <c r="W442" s="48" t="n">
        <f aca="false">B442+INDEX(Parametros!$C$13:$C$16,MATCH($F442,Parametros!$A$13:$A$16,0))</f>
        <v>45843</v>
      </c>
      <c r="X442" s="31" t="s">
        <v>67</v>
      </c>
      <c r="Y442" s="53" t="n">
        <f aca="false">IF(COUNTIF($A$2:$A442,A442)=1,1,0)</f>
        <v>0</v>
      </c>
    </row>
    <row r="443" customFormat="false" ht="15" hidden="false" customHeight="false" outlineLevel="0" collapsed="false">
      <c r="A443" s="31" t="s">
        <v>479</v>
      </c>
      <c r="B443" s="36" t="n">
        <v>45799</v>
      </c>
      <c r="C443" s="49" t="n">
        <f aca="false">DATE(YEAR(B443),MONTH(B443),1)</f>
        <v>45778</v>
      </c>
      <c r="D443" s="31" t="s">
        <v>217</v>
      </c>
      <c r="E443" s="31" t="s">
        <v>42</v>
      </c>
      <c r="F443" s="31" t="s">
        <v>47</v>
      </c>
      <c r="G443" s="31" t="s">
        <v>61</v>
      </c>
      <c r="H443" s="31" t="s">
        <v>167</v>
      </c>
      <c r="I443" s="32" t="str">
        <f aca="false">INDEX(Productos!$B$2:$B$13,MATCH($H443,Productos!$A$2:$A$13,0))</f>
        <v>Tornillo DIN 912 M6x25 Allen zincado</v>
      </c>
      <c r="J443" s="32" t="str">
        <f aca="false">INDEX(Productos!$C$2:$C$13,MATCH($H443,Productos!$A$2:$A$13,0))</f>
        <v>Métrica</v>
      </c>
      <c r="K443" s="31" t="s">
        <v>246</v>
      </c>
      <c r="L443" s="46" t="n">
        <v>39</v>
      </c>
      <c r="M443" s="50" t="n">
        <f aca="false">INDEX(Productos!$F$2:$F$13,MATCH($H443,Productos!$A$2:$A$13,0))</f>
        <v>42</v>
      </c>
      <c r="N443" s="51" t="n">
        <v>0.033</v>
      </c>
      <c r="O443" s="52" t="n">
        <f aca="false">M443*(1-N443)</f>
        <v>40.614</v>
      </c>
      <c r="P443" s="21" t="n">
        <f aca="false">L443*O443</f>
        <v>1583.946</v>
      </c>
      <c r="Q443" s="50" t="n">
        <f aca="false">INDEX(Productos!$E$2:$E$13,MATCH($H443,Productos!$A$2:$A$13,0))*INDEX(Parametros!$B$26:$B$43,MATCH($C443,Parametros!$A$26:$A$43,0))</f>
        <v>22.454</v>
      </c>
      <c r="R443" s="21" t="n">
        <f aca="false">L443*Q443</f>
        <v>875.706</v>
      </c>
      <c r="S443" s="18" t="n">
        <f aca="false">L443*INDEX(Parametros!$B$20:$B$22,MATCH($E443,Parametros!$A$20:$A$22,0))</f>
        <v>93.6</v>
      </c>
      <c r="T443" s="18" t="n">
        <f aca="false">P443*INDEX(Parametros!$B$13:$B$16,MATCH($F443,Parametros!$A$13:$A$16,0))</f>
        <v>55.43811</v>
      </c>
      <c r="U443" s="21" t="n">
        <f aca="false">P443-R443-S443-T443</f>
        <v>559.20189</v>
      </c>
      <c r="V443" s="19" t="n">
        <f aca="false">IFERROR(U443/P443,0)</f>
        <v>0.353043531787068</v>
      </c>
      <c r="W443" s="48" t="n">
        <f aca="false">B443+INDEX(Parametros!$C$13:$C$16,MATCH($F443,Parametros!$A$13:$A$16,0))</f>
        <v>45844</v>
      </c>
      <c r="X443" s="31" t="s">
        <v>67</v>
      </c>
      <c r="Y443" s="53" t="n">
        <f aca="false">IF(COUNTIF($A$2:$A443,A443)=1,1,0)</f>
        <v>1</v>
      </c>
    </row>
    <row r="444" customFormat="false" ht="15" hidden="false" customHeight="false" outlineLevel="0" collapsed="false">
      <c r="A444" s="31" t="s">
        <v>479</v>
      </c>
      <c r="B444" s="36" t="n">
        <v>45799</v>
      </c>
      <c r="C444" s="49" t="n">
        <f aca="false">DATE(YEAR(B444),MONTH(B444),1)</f>
        <v>45778</v>
      </c>
      <c r="D444" s="31" t="s">
        <v>217</v>
      </c>
      <c r="E444" s="31" t="s">
        <v>42</v>
      </c>
      <c r="F444" s="31" t="s">
        <v>47</v>
      </c>
      <c r="G444" s="31" t="s">
        <v>61</v>
      </c>
      <c r="H444" s="31" t="s">
        <v>185</v>
      </c>
      <c r="I444" s="32" t="str">
        <f aca="false">INDEX(Productos!$B$2:$B$13,MATCH($H444,Productos!$A$2:$A$13,0))</f>
        <v>Varilla roscada M10 x 1 m zincada</v>
      </c>
      <c r="J444" s="32" t="str">
        <f aca="false">INDEX(Productos!$C$2:$C$13,MATCH($H444,Productos!$A$2:$A$13,0))</f>
        <v>Especial</v>
      </c>
      <c r="K444" s="31" t="s">
        <v>246</v>
      </c>
      <c r="L444" s="46" t="n">
        <v>26</v>
      </c>
      <c r="M444" s="50" t="n">
        <f aca="false">INDEX(Productos!$F$2:$F$13,MATCH($H444,Productos!$A$2:$A$13,0))</f>
        <v>54</v>
      </c>
      <c r="N444" s="51" t="n">
        <v>0.041</v>
      </c>
      <c r="O444" s="52" t="n">
        <f aca="false">M444*(1-N444)</f>
        <v>51.786</v>
      </c>
      <c r="P444" s="21" t="n">
        <f aca="false">L444*O444</f>
        <v>1346.436</v>
      </c>
      <c r="Q444" s="50" t="n">
        <f aca="false">INDEX(Productos!$E$2:$E$13,MATCH($H444,Productos!$A$2:$A$13,0))*INDEX(Parametros!$B$26:$B$43,MATCH($C444,Parametros!$A$26:$A$43,0))</f>
        <v>29.355</v>
      </c>
      <c r="R444" s="21" t="n">
        <f aca="false">L444*Q444</f>
        <v>763.23</v>
      </c>
      <c r="S444" s="18" t="n">
        <f aca="false">L444*INDEX(Parametros!$B$20:$B$22,MATCH($E444,Parametros!$A$20:$A$22,0))</f>
        <v>62.4</v>
      </c>
      <c r="T444" s="18" t="n">
        <f aca="false">P444*INDEX(Parametros!$B$13:$B$16,MATCH($F444,Parametros!$A$13:$A$16,0))</f>
        <v>47.12526</v>
      </c>
      <c r="U444" s="21" t="n">
        <f aca="false">P444-R444-S444-T444</f>
        <v>473.68074</v>
      </c>
      <c r="V444" s="19" t="n">
        <f aca="false">IFERROR(U444/P444,0)</f>
        <v>0.351803383153748</v>
      </c>
      <c r="W444" s="48" t="n">
        <f aca="false">B444+INDEX(Parametros!$C$13:$C$16,MATCH($F444,Parametros!$A$13:$A$16,0))</f>
        <v>45844</v>
      </c>
      <c r="X444" s="31" t="s">
        <v>67</v>
      </c>
      <c r="Y444" s="53" t="n">
        <f aca="false">IF(COUNTIF($A$2:$A444,A444)=1,1,0)</f>
        <v>0</v>
      </c>
    </row>
    <row r="445" customFormat="false" ht="15" hidden="false" customHeight="false" outlineLevel="0" collapsed="false">
      <c r="A445" s="31" t="s">
        <v>480</v>
      </c>
      <c r="B445" s="36" t="n">
        <v>45799</v>
      </c>
      <c r="C445" s="49" t="n">
        <f aca="false">DATE(YEAR(B445),MONTH(B445),1)</f>
        <v>45778</v>
      </c>
      <c r="D445" s="31" t="s">
        <v>202</v>
      </c>
      <c r="E445" s="31" t="s">
        <v>41</v>
      </c>
      <c r="F445" s="31" t="s">
        <v>46</v>
      </c>
      <c r="G445" s="31" t="s">
        <v>62</v>
      </c>
      <c r="H445" s="31" t="s">
        <v>167</v>
      </c>
      <c r="I445" s="32" t="str">
        <f aca="false">INDEX(Productos!$B$2:$B$13,MATCH($H445,Productos!$A$2:$A$13,0))</f>
        <v>Tornillo DIN 912 M6x25 Allen zincado</v>
      </c>
      <c r="J445" s="32" t="str">
        <f aca="false">INDEX(Productos!$C$2:$C$13,MATCH($H445,Productos!$A$2:$A$13,0))</f>
        <v>Métrica</v>
      </c>
      <c r="K445" s="31" t="s">
        <v>246</v>
      </c>
      <c r="L445" s="46" t="n">
        <v>20</v>
      </c>
      <c r="M445" s="50" t="n">
        <f aca="false">INDEX(Productos!$F$2:$F$13,MATCH($H445,Productos!$A$2:$A$13,0))</f>
        <v>42</v>
      </c>
      <c r="N445" s="51" t="n">
        <v>0.155</v>
      </c>
      <c r="O445" s="52" t="n">
        <f aca="false">M445*(1-N445)</f>
        <v>35.49</v>
      </c>
      <c r="P445" s="21" t="n">
        <f aca="false">L445*O445</f>
        <v>709.8</v>
      </c>
      <c r="Q445" s="50" t="n">
        <f aca="false">INDEX(Productos!$E$2:$E$13,MATCH($H445,Productos!$A$2:$A$13,0))*INDEX(Parametros!$B$26:$B$43,MATCH($C445,Parametros!$A$26:$A$43,0))</f>
        <v>22.454</v>
      </c>
      <c r="R445" s="21" t="n">
        <f aca="false">L445*Q445</f>
        <v>449.08</v>
      </c>
      <c r="S445" s="18" t="n">
        <f aca="false">L445*INDEX(Parametros!$B$20:$B$22,MATCH($E445,Parametros!$A$20:$A$22,0))</f>
        <v>17</v>
      </c>
      <c r="T445" s="18" t="n">
        <f aca="false">P445*INDEX(Parametros!$B$13:$B$16,MATCH($F445,Parametros!$A$13:$A$16,0))</f>
        <v>28.392</v>
      </c>
      <c r="U445" s="21" t="n">
        <f aca="false">P445-R445-S445-T445</f>
        <v>215.328</v>
      </c>
      <c r="V445" s="19" t="n">
        <f aca="false">IFERROR(U445/P445,0)</f>
        <v>0.303364327979713</v>
      </c>
      <c r="W445" s="48" t="n">
        <f aca="false">B445+INDEX(Parametros!$C$13:$C$16,MATCH($F445,Parametros!$A$13:$A$16,0))</f>
        <v>45874</v>
      </c>
      <c r="X445" s="31" t="s">
        <v>67</v>
      </c>
      <c r="Y445" s="53" t="n">
        <f aca="false">IF(COUNTIF($A$2:$A445,A445)=1,1,0)</f>
        <v>1</v>
      </c>
    </row>
    <row r="446" customFormat="false" ht="15" hidden="false" customHeight="false" outlineLevel="0" collapsed="false">
      <c r="A446" s="31" t="s">
        <v>481</v>
      </c>
      <c r="B446" s="36" t="n">
        <v>45800</v>
      </c>
      <c r="C446" s="49" t="n">
        <f aca="false">DATE(YEAR(B446),MONTH(B446),1)</f>
        <v>45778</v>
      </c>
      <c r="D446" s="31" t="s">
        <v>202</v>
      </c>
      <c r="E446" s="31" t="s">
        <v>41</v>
      </c>
      <c r="F446" s="31" t="s">
        <v>46</v>
      </c>
      <c r="G446" s="31" t="s">
        <v>62</v>
      </c>
      <c r="H446" s="31" t="s">
        <v>163</v>
      </c>
      <c r="I446" s="32" t="str">
        <f aca="false">INDEX(Productos!$B$2:$B$13,MATCH($H446,Productos!$A$2:$A$13,0))</f>
        <v>Tornillo DIN 933 M6x30 rosca completa zincado</v>
      </c>
      <c r="J446" s="32" t="str">
        <f aca="false">INDEX(Productos!$C$2:$C$13,MATCH($H446,Productos!$A$2:$A$13,0))</f>
        <v>Métrica</v>
      </c>
      <c r="K446" s="31" t="s">
        <v>246</v>
      </c>
      <c r="L446" s="46" t="n">
        <v>75</v>
      </c>
      <c r="M446" s="50" t="n">
        <f aca="false">INDEX(Productos!$F$2:$F$13,MATCH($H446,Productos!$A$2:$A$13,0))</f>
        <v>32</v>
      </c>
      <c r="N446" s="51" t="n">
        <v>0.168</v>
      </c>
      <c r="O446" s="52" t="n">
        <f aca="false">M446*(1-N446)</f>
        <v>26.624</v>
      </c>
      <c r="P446" s="21" t="n">
        <f aca="false">L446*O446</f>
        <v>1996.8</v>
      </c>
      <c r="Q446" s="50" t="n">
        <f aca="false">INDEX(Productos!$E$2:$E$13,MATCH($H446,Productos!$A$2:$A$13,0))*INDEX(Parametros!$B$26:$B$43,MATCH($C446,Parametros!$A$26:$A$43,0))</f>
        <v>17.098</v>
      </c>
      <c r="R446" s="21" t="n">
        <f aca="false">L446*Q446</f>
        <v>1282.35</v>
      </c>
      <c r="S446" s="18" t="n">
        <f aca="false">L446*INDEX(Parametros!$B$20:$B$22,MATCH($E446,Parametros!$A$20:$A$22,0))</f>
        <v>63.75</v>
      </c>
      <c r="T446" s="18" t="n">
        <f aca="false">P446*INDEX(Parametros!$B$13:$B$16,MATCH($F446,Parametros!$A$13:$A$16,0))</f>
        <v>79.872</v>
      </c>
      <c r="U446" s="21" t="n">
        <f aca="false">P446-R446-S446-T446</f>
        <v>570.828</v>
      </c>
      <c r="V446" s="19" t="n">
        <f aca="false">IFERROR(U446/P446,0)</f>
        <v>0.285871394230769</v>
      </c>
      <c r="W446" s="48" t="n">
        <f aca="false">B446+INDEX(Parametros!$C$13:$C$16,MATCH($F446,Parametros!$A$13:$A$16,0))</f>
        <v>45875</v>
      </c>
      <c r="X446" s="31" t="s">
        <v>69</v>
      </c>
      <c r="Y446" s="53" t="n">
        <f aca="false">IF(COUNTIF($A$2:$A446,A446)=1,1,0)</f>
        <v>1</v>
      </c>
    </row>
    <row r="447" customFormat="false" ht="15" hidden="false" customHeight="false" outlineLevel="0" collapsed="false">
      <c r="A447" s="31" t="s">
        <v>481</v>
      </c>
      <c r="B447" s="36" t="n">
        <v>45800</v>
      </c>
      <c r="C447" s="49" t="n">
        <f aca="false">DATE(YEAR(B447),MONTH(B447),1)</f>
        <v>45778</v>
      </c>
      <c r="D447" s="31" t="s">
        <v>202</v>
      </c>
      <c r="E447" s="31" t="s">
        <v>41</v>
      </c>
      <c r="F447" s="31" t="s">
        <v>46</v>
      </c>
      <c r="G447" s="31" t="s">
        <v>62</v>
      </c>
      <c r="H447" s="31" t="s">
        <v>175</v>
      </c>
      <c r="I447" s="32" t="str">
        <f aca="false">INDEX(Productos!$B$2:$B$13,MATCH($H447,Productos!$A$2:$A$13,0))</f>
        <v>Tirafondo madera 5x60 cabeza plana Torx</v>
      </c>
      <c r="J447" s="32" t="str">
        <f aca="false">INDEX(Productos!$C$2:$C$13,MATCH($H447,Productos!$A$2:$A$13,0))</f>
        <v>Madera</v>
      </c>
      <c r="K447" s="31" t="s">
        <v>246</v>
      </c>
      <c r="L447" s="46" t="n">
        <v>28</v>
      </c>
      <c r="M447" s="50" t="n">
        <f aca="false">INDEX(Productos!$F$2:$F$13,MATCH($H447,Productos!$A$2:$A$13,0))</f>
        <v>26</v>
      </c>
      <c r="N447" s="51" t="n">
        <v>0.084</v>
      </c>
      <c r="O447" s="52" t="n">
        <f aca="false">M447*(1-N447)</f>
        <v>23.816</v>
      </c>
      <c r="P447" s="21" t="n">
        <f aca="false">L447*O447</f>
        <v>666.848</v>
      </c>
      <c r="Q447" s="50" t="n">
        <f aca="false">INDEX(Productos!$E$2:$E$13,MATCH($H447,Productos!$A$2:$A$13,0))*INDEX(Parametros!$B$26:$B$43,MATCH($C447,Parametros!$A$26:$A$43,0))</f>
        <v>13.802</v>
      </c>
      <c r="R447" s="21" t="n">
        <f aca="false">L447*Q447</f>
        <v>386.456</v>
      </c>
      <c r="S447" s="18" t="n">
        <f aca="false">L447*INDEX(Parametros!$B$20:$B$22,MATCH($E447,Parametros!$A$20:$A$22,0))</f>
        <v>23.8</v>
      </c>
      <c r="T447" s="18" t="n">
        <f aca="false">P447*INDEX(Parametros!$B$13:$B$16,MATCH($F447,Parametros!$A$13:$A$16,0))</f>
        <v>26.67392</v>
      </c>
      <c r="U447" s="21" t="n">
        <f aca="false">P447-R447-S447-T447</f>
        <v>229.91808</v>
      </c>
      <c r="V447" s="19" t="n">
        <f aca="false">IFERROR(U447/P447,0)</f>
        <v>0.344783338931811</v>
      </c>
      <c r="W447" s="48" t="n">
        <f aca="false">B447+INDEX(Parametros!$C$13:$C$16,MATCH($F447,Parametros!$A$13:$A$16,0))</f>
        <v>45875</v>
      </c>
      <c r="X447" s="31" t="s">
        <v>67</v>
      </c>
      <c r="Y447" s="53" t="n">
        <f aca="false">IF(COUNTIF($A$2:$A447,A447)=1,1,0)</f>
        <v>0</v>
      </c>
    </row>
    <row r="448" customFormat="false" ht="15" hidden="false" customHeight="false" outlineLevel="0" collapsed="false">
      <c r="A448" s="31" t="s">
        <v>481</v>
      </c>
      <c r="B448" s="36" t="n">
        <v>45800</v>
      </c>
      <c r="C448" s="49" t="n">
        <f aca="false">DATE(YEAR(B448),MONTH(B448),1)</f>
        <v>45778</v>
      </c>
      <c r="D448" s="31" t="s">
        <v>202</v>
      </c>
      <c r="E448" s="31" t="s">
        <v>41</v>
      </c>
      <c r="F448" s="31" t="s">
        <v>46</v>
      </c>
      <c r="G448" s="31" t="s">
        <v>62</v>
      </c>
      <c r="H448" s="31" t="s">
        <v>167</v>
      </c>
      <c r="I448" s="32" t="str">
        <f aca="false">INDEX(Productos!$B$2:$B$13,MATCH($H448,Productos!$A$2:$A$13,0))</f>
        <v>Tornillo DIN 912 M6x25 Allen zincado</v>
      </c>
      <c r="J448" s="32" t="str">
        <f aca="false">INDEX(Productos!$C$2:$C$13,MATCH($H448,Productos!$A$2:$A$13,0))</f>
        <v>Métrica</v>
      </c>
      <c r="K448" s="31" t="s">
        <v>246</v>
      </c>
      <c r="L448" s="46" t="n">
        <v>147</v>
      </c>
      <c r="M448" s="50" t="n">
        <f aca="false">INDEX(Productos!$F$2:$F$13,MATCH($H448,Productos!$A$2:$A$13,0))</f>
        <v>42</v>
      </c>
      <c r="N448" s="51" t="n">
        <v>0.158</v>
      </c>
      <c r="O448" s="52" t="n">
        <f aca="false">M448*(1-N448)</f>
        <v>35.364</v>
      </c>
      <c r="P448" s="21" t="n">
        <f aca="false">L448*O448</f>
        <v>5198.508</v>
      </c>
      <c r="Q448" s="50" t="n">
        <f aca="false">INDEX(Productos!$E$2:$E$13,MATCH($H448,Productos!$A$2:$A$13,0))*INDEX(Parametros!$B$26:$B$43,MATCH($C448,Parametros!$A$26:$A$43,0))</f>
        <v>22.454</v>
      </c>
      <c r="R448" s="21" t="n">
        <f aca="false">L448*Q448</f>
        <v>3300.738</v>
      </c>
      <c r="S448" s="18" t="n">
        <f aca="false">L448*INDEX(Parametros!$B$20:$B$22,MATCH($E448,Parametros!$A$20:$A$22,0))</f>
        <v>124.95</v>
      </c>
      <c r="T448" s="18" t="n">
        <f aca="false">P448*INDEX(Parametros!$B$13:$B$16,MATCH($F448,Parametros!$A$13:$A$16,0))</f>
        <v>207.94032</v>
      </c>
      <c r="U448" s="21" t="n">
        <f aca="false">P448-R448-S448-T448</f>
        <v>1564.87968</v>
      </c>
      <c r="V448" s="19" t="n">
        <f aca="false">IFERROR(U448/P448,0)</f>
        <v>0.301024770953512</v>
      </c>
      <c r="W448" s="48" t="n">
        <f aca="false">B448+INDEX(Parametros!$C$13:$C$16,MATCH($F448,Parametros!$A$13:$A$16,0))</f>
        <v>45875</v>
      </c>
      <c r="X448" s="31" t="s">
        <v>67</v>
      </c>
      <c r="Y448" s="53" t="n">
        <f aca="false">IF(COUNTIF($A$2:$A448,A448)=1,1,0)</f>
        <v>0</v>
      </c>
    </row>
    <row r="449" customFormat="false" ht="15" hidden="false" customHeight="false" outlineLevel="0" collapsed="false">
      <c r="A449" s="31" t="s">
        <v>482</v>
      </c>
      <c r="B449" s="36" t="n">
        <v>45803</v>
      </c>
      <c r="C449" s="49" t="n">
        <f aca="false">DATE(YEAR(B449),MONTH(B449),1)</f>
        <v>45778</v>
      </c>
      <c r="D449" s="31" t="s">
        <v>191</v>
      </c>
      <c r="E449" s="31" t="s">
        <v>41</v>
      </c>
      <c r="F449" s="31" t="s">
        <v>47</v>
      </c>
      <c r="G449" s="31" t="s">
        <v>58</v>
      </c>
      <c r="H449" s="31" t="s">
        <v>171</v>
      </c>
      <c r="I449" s="32" t="str">
        <f aca="false">INDEX(Productos!$B$2:$B$13,MATCH($H449,Productos!$A$2:$A$13,0))</f>
        <v>Tornillo DIN 7991 M8x30 avellanado inox A2</v>
      </c>
      <c r="J449" s="32" t="str">
        <f aca="false">INDEX(Productos!$C$2:$C$13,MATCH($H449,Productos!$A$2:$A$13,0))</f>
        <v>Inoxidable</v>
      </c>
      <c r="K449" s="31" t="s">
        <v>246</v>
      </c>
      <c r="L449" s="46" t="n">
        <v>141</v>
      </c>
      <c r="M449" s="50" t="n">
        <f aca="false">INDEX(Productos!$F$2:$F$13,MATCH($H449,Productos!$A$2:$A$13,0))</f>
        <v>88</v>
      </c>
      <c r="N449" s="51" t="n">
        <v>0.048</v>
      </c>
      <c r="O449" s="52" t="n">
        <f aca="false">M449*(1-N449)</f>
        <v>83.776</v>
      </c>
      <c r="P449" s="21" t="n">
        <f aca="false">L449*O449</f>
        <v>11812.416</v>
      </c>
      <c r="Q449" s="50" t="n">
        <f aca="false">INDEX(Productos!$E$2:$E$13,MATCH($H449,Productos!$A$2:$A$13,0))*INDEX(Parametros!$B$26:$B$43,MATCH($C449,Parametros!$A$26:$A$43,0))</f>
        <v>47.895</v>
      </c>
      <c r="R449" s="21" t="n">
        <f aca="false">L449*Q449</f>
        <v>6753.195</v>
      </c>
      <c r="S449" s="18" t="n">
        <f aca="false">L449*INDEX(Parametros!$B$20:$B$22,MATCH($E449,Parametros!$A$20:$A$22,0))</f>
        <v>119.85</v>
      </c>
      <c r="T449" s="18" t="n">
        <f aca="false">P449*INDEX(Parametros!$B$13:$B$16,MATCH($F449,Parametros!$A$13:$A$16,0))</f>
        <v>413.43456</v>
      </c>
      <c r="U449" s="21" t="n">
        <f aca="false">P449-R449-S449-T449</f>
        <v>4525.93644</v>
      </c>
      <c r="V449" s="19" t="n">
        <f aca="false">IFERROR(U449/P449,0)</f>
        <v>0.383150783040489</v>
      </c>
      <c r="W449" s="48" t="n">
        <f aca="false">B449+INDEX(Parametros!$C$13:$C$16,MATCH($F449,Parametros!$A$13:$A$16,0))</f>
        <v>45848</v>
      </c>
      <c r="X449" s="31" t="s">
        <v>67</v>
      </c>
      <c r="Y449" s="53" t="n">
        <f aca="false">IF(COUNTIF($A$2:$A449,A449)=1,1,0)</f>
        <v>1</v>
      </c>
    </row>
    <row r="450" customFormat="false" ht="15" hidden="false" customHeight="false" outlineLevel="0" collapsed="false">
      <c r="A450" s="31" t="s">
        <v>483</v>
      </c>
      <c r="B450" s="36" t="n">
        <v>45803</v>
      </c>
      <c r="C450" s="49" t="n">
        <f aca="false">DATE(YEAR(B450),MONTH(B450),1)</f>
        <v>45778</v>
      </c>
      <c r="D450" s="31" t="s">
        <v>211</v>
      </c>
      <c r="E450" s="31" t="s">
        <v>41</v>
      </c>
      <c r="F450" s="31" t="s">
        <v>48</v>
      </c>
      <c r="G450" s="31" t="s">
        <v>60</v>
      </c>
      <c r="H450" s="31" t="s">
        <v>169</v>
      </c>
      <c r="I450" s="32" t="str">
        <f aca="false">INDEX(Productos!$B$2:$B$13,MATCH($H450,Productos!$A$2:$A$13,0))</f>
        <v>Tornillo DIN 912 M10x60 Allen inox A2</v>
      </c>
      <c r="J450" s="32" t="str">
        <f aca="false">INDEX(Productos!$C$2:$C$13,MATCH($H450,Productos!$A$2:$A$13,0))</f>
        <v>Inoxidable</v>
      </c>
      <c r="K450" s="31" t="s">
        <v>246</v>
      </c>
      <c r="L450" s="46" t="n">
        <v>18</v>
      </c>
      <c r="M450" s="50" t="n">
        <f aca="false">INDEX(Productos!$F$2:$F$13,MATCH($H450,Productos!$A$2:$A$13,0))</f>
        <v>79</v>
      </c>
      <c r="N450" s="51" t="n">
        <v>0.009</v>
      </c>
      <c r="O450" s="52" t="n">
        <f aca="false">M450*(1-N450)</f>
        <v>78.289</v>
      </c>
      <c r="P450" s="21" t="n">
        <f aca="false">L450*O450</f>
        <v>1409.202</v>
      </c>
      <c r="Q450" s="50" t="n">
        <f aca="false">INDEX(Productos!$E$2:$E$13,MATCH($H450,Productos!$A$2:$A$13,0))*INDEX(Parametros!$B$26:$B$43,MATCH($C450,Parametros!$A$26:$A$43,0))</f>
        <v>43.26</v>
      </c>
      <c r="R450" s="21" t="n">
        <f aca="false">L450*Q450</f>
        <v>778.68</v>
      </c>
      <c r="S450" s="18" t="n">
        <f aca="false">L450*INDEX(Parametros!$B$20:$B$22,MATCH($E450,Parametros!$A$20:$A$22,0))</f>
        <v>15.3</v>
      </c>
      <c r="T450" s="18" t="n">
        <f aca="false">P450*INDEX(Parametros!$B$13:$B$16,MATCH($F450,Parametros!$A$13:$A$16,0))</f>
        <v>14.09202</v>
      </c>
      <c r="U450" s="21" t="n">
        <f aca="false">P450-R450-S450-T450</f>
        <v>601.12998</v>
      </c>
      <c r="V450" s="19" t="n">
        <f aca="false">IFERROR(U450/P450,0)</f>
        <v>0.426574742300962</v>
      </c>
      <c r="W450" s="48" t="n">
        <f aca="false">B450+INDEX(Parametros!$C$13:$C$16,MATCH($F450,Parametros!$A$13:$A$16,0))</f>
        <v>45803</v>
      </c>
      <c r="X450" s="31" t="s">
        <v>67</v>
      </c>
      <c r="Y450" s="53" t="n">
        <f aca="false">IF(COUNTIF($A$2:$A450,A450)=1,1,0)</f>
        <v>1</v>
      </c>
    </row>
    <row r="451" customFormat="false" ht="15" hidden="false" customHeight="false" outlineLevel="0" collapsed="false">
      <c r="A451" s="31" t="s">
        <v>484</v>
      </c>
      <c r="B451" s="36" t="n">
        <v>45803</v>
      </c>
      <c r="C451" s="49" t="n">
        <f aca="false">DATE(YEAR(B451),MONTH(B451),1)</f>
        <v>45778</v>
      </c>
      <c r="D451" s="31" t="s">
        <v>194</v>
      </c>
      <c r="E451" s="31" t="s">
        <v>41</v>
      </c>
      <c r="F451" s="31" t="s">
        <v>46</v>
      </c>
      <c r="G451" s="31" t="s">
        <v>58</v>
      </c>
      <c r="H451" s="31" t="s">
        <v>165</v>
      </c>
      <c r="I451" s="32" t="str">
        <f aca="false">INDEX(Productos!$B$2:$B$13,MATCH($H451,Productos!$A$2:$A$13,0))</f>
        <v>Tornillo DIN 933 M8x40 rosca completa zincado</v>
      </c>
      <c r="J451" s="32" t="str">
        <f aca="false">INDEX(Productos!$C$2:$C$13,MATCH($H451,Productos!$A$2:$A$13,0))</f>
        <v>Métrica</v>
      </c>
      <c r="K451" s="31" t="s">
        <v>246</v>
      </c>
      <c r="L451" s="46" t="n">
        <v>201</v>
      </c>
      <c r="M451" s="50" t="n">
        <f aca="false">INDEX(Productos!$F$2:$F$13,MATCH($H451,Productos!$A$2:$A$13,0))</f>
        <v>37.5</v>
      </c>
      <c r="N451" s="51" t="n">
        <v>0.09</v>
      </c>
      <c r="O451" s="52" t="n">
        <f aca="false">M451*(1-N451)</f>
        <v>34.125</v>
      </c>
      <c r="P451" s="21" t="n">
        <f aca="false">L451*O451</f>
        <v>6859.125</v>
      </c>
      <c r="Q451" s="50" t="n">
        <f aca="false">INDEX(Productos!$E$2:$E$13,MATCH($H451,Productos!$A$2:$A$13,0))*INDEX(Parametros!$B$26:$B$43,MATCH($C451,Parametros!$A$26:$A$43,0))</f>
        <v>19.982</v>
      </c>
      <c r="R451" s="21" t="n">
        <f aca="false">L451*Q451</f>
        <v>4016.382</v>
      </c>
      <c r="S451" s="18" t="n">
        <f aca="false">L451*INDEX(Parametros!$B$20:$B$22,MATCH($E451,Parametros!$A$20:$A$22,0))</f>
        <v>170.85</v>
      </c>
      <c r="T451" s="18" t="n">
        <f aca="false">P451*INDEX(Parametros!$B$13:$B$16,MATCH($F451,Parametros!$A$13:$A$16,0))</f>
        <v>274.365</v>
      </c>
      <c r="U451" s="21" t="n">
        <f aca="false">P451-R451-S451-T451</f>
        <v>2397.528</v>
      </c>
      <c r="V451" s="19" t="n">
        <f aca="false">IFERROR(U451/P451,0)</f>
        <v>0.349538461538462</v>
      </c>
      <c r="W451" s="48" t="n">
        <f aca="false">B451+INDEX(Parametros!$C$13:$C$16,MATCH($F451,Parametros!$A$13:$A$16,0))</f>
        <v>45878</v>
      </c>
      <c r="X451" s="31" t="s">
        <v>67</v>
      </c>
      <c r="Y451" s="53" t="n">
        <f aca="false">IF(COUNTIF($A$2:$A451,A451)=1,1,0)</f>
        <v>1</v>
      </c>
    </row>
    <row r="452" customFormat="false" ht="15" hidden="false" customHeight="false" outlineLevel="0" collapsed="false">
      <c r="A452" s="31" t="s">
        <v>484</v>
      </c>
      <c r="B452" s="36" t="n">
        <v>45803</v>
      </c>
      <c r="C452" s="49" t="n">
        <f aca="false">DATE(YEAR(B452),MONTH(B452),1)</f>
        <v>45778</v>
      </c>
      <c r="D452" s="31" t="s">
        <v>194</v>
      </c>
      <c r="E452" s="31" t="s">
        <v>41</v>
      </c>
      <c r="F452" s="31" t="s">
        <v>46</v>
      </c>
      <c r="G452" s="31" t="s">
        <v>58</v>
      </c>
      <c r="H452" s="31" t="s">
        <v>181</v>
      </c>
      <c r="I452" s="32" t="str">
        <f aca="false">INDEX(Productos!$B$2:$B$13,MATCH($H452,Productos!$A$2:$A$13,0))</f>
        <v>Autotaladrante 5,5x55 punta broca</v>
      </c>
      <c r="J452" s="32" t="str">
        <f aca="false">INDEX(Productos!$C$2:$C$13,MATCH($H452,Productos!$A$2:$A$13,0))</f>
        <v>Autotaladrante</v>
      </c>
      <c r="K452" s="31" t="s">
        <v>246</v>
      </c>
      <c r="L452" s="46" t="n">
        <v>31</v>
      </c>
      <c r="M452" s="50" t="n">
        <f aca="false">INDEX(Productos!$F$2:$F$13,MATCH($H452,Productos!$A$2:$A$13,0))</f>
        <v>39</v>
      </c>
      <c r="N452" s="51" t="n">
        <v>0.109</v>
      </c>
      <c r="O452" s="52" t="n">
        <f aca="false">M452*(1-N452)</f>
        <v>34.749</v>
      </c>
      <c r="P452" s="21" t="n">
        <f aca="false">L452*O452</f>
        <v>1077.219</v>
      </c>
      <c r="Q452" s="50" t="n">
        <f aca="false">INDEX(Productos!$E$2:$E$13,MATCH($H452,Productos!$A$2:$A$13,0))*INDEX(Parametros!$B$26:$B$43,MATCH($C452,Parametros!$A$26:$A$43,0))</f>
        <v>20.909</v>
      </c>
      <c r="R452" s="21" t="n">
        <f aca="false">L452*Q452</f>
        <v>648.179</v>
      </c>
      <c r="S452" s="18" t="n">
        <f aca="false">L452*INDEX(Parametros!$B$20:$B$22,MATCH($E452,Parametros!$A$20:$A$22,0))</f>
        <v>26.35</v>
      </c>
      <c r="T452" s="18" t="n">
        <f aca="false">P452*INDEX(Parametros!$B$13:$B$16,MATCH($F452,Parametros!$A$13:$A$16,0))</f>
        <v>43.08876</v>
      </c>
      <c r="U452" s="21" t="n">
        <f aca="false">P452-R452-S452-T452</f>
        <v>359.60124</v>
      </c>
      <c r="V452" s="19" t="n">
        <f aca="false">IFERROR(U452/P452,0)</f>
        <v>0.33382370715704</v>
      </c>
      <c r="W452" s="48" t="n">
        <f aca="false">B452+INDEX(Parametros!$C$13:$C$16,MATCH($F452,Parametros!$A$13:$A$16,0))</f>
        <v>45878</v>
      </c>
      <c r="X452" s="31" t="s">
        <v>67</v>
      </c>
      <c r="Y452" s="53" t="n">
        <f aca="false">IF(COUNTIF($A$2:$A452,A452)=1,1,0)</f>
        <v>0</v>
      </c>
    </row>
    <row r="453" customFormat="false" ht="15" hidden="false" customHeight="false" outlineLevel="0" collapsed="false">
      <c r="A453" s="31" t="s">
        <v>484</v>
      </c>
      <c r="B453" s="36" t="n">
        <v>45803</v>
      </c>
      <c r="C453" s="49" t="n">
        <f aca="false">DATE(YEAR(B453),MONTH(B453),1)</f>
        <v>45778</v>
      </c>
      <c r="D453" s="31" t="s">
        <v>194</v>
      </c>
      <c r="E453" s="31" t="s">
        <v>41</v>
      </c>
      <c r="F453" s="31" t="s">
        <v>46</v>
      </c>
      <c r="G453" s="31" t="s">
        <v>58</v>
      </c>
      <c r="H453" s="31" t="s">
        <v>185</v>
      </c>
      <c r="I453" s="32" t="str">
        <f aca="false">INDEX(Productos!$B$2:$B$13,MATCH($H453,Productos!$A$2:$A$13,0))</f>
        <v>Varilla roscada M10 x 1 m zincada</v>
      </c>
      <c r="J453" s="32" t="str">
        <f aca="false">INDEX(Productos!$C$2:$C$13,MATCH($H453,Productos!$A$2:$A$13,0))</f>
        <v>Especial</v>
      </c>
      <c r="K453" s="31" t="s">
        <v>246</v>
      </c>
      <c r="L453" s="46" t="n">
        <v>37</v>
      </c>
      <c r="M453" s="50" t="n">
        <f aca="false">INDEX(Productos!$F$2:$F$13,MATCH($H453,Productos!$A$2:$A$13,0))</f>
        <v>54</v>
      </c>
      <c r="N453" s="51" t="n">
        <v>0.128</v>
      </c>
      <c r="O453" s="52" t="n">
        <f aca="false">M453*(1-N453)</f>
        <v>47.088</v>
      </c>
      <c r="P453" s="21" t="n">
        <f aca="false">L453*O453</f>
        <v>1742.256</v>
      </c>
      <c r="Q453" s="50" t="n">
        <f aca="false">INDEX(Productos!$E$2:$E$13,MATCH($H453,Productos!$A$2:$A$13,0))*INDEX(Parametros!$B$26:$B$43,MATCH($C453,Parametros!$A$26:$A$43,0))</f>
        <v>29.355</v>
      </c>
      <c r="R453" s="21" t="n">
        <f aca="false">L453*Q453</f>
        <v>1086.135</v>
      </c>
      <c r="S453" s="18" t="n">
        <f aca="false">L453*INDEX(Parametros!$B$20:$B$22,MATCH($E453,Parametros!$A$20:$A$22,0))</f>
        <v>31.45</v>
      </c>
      <c r="T453" s="18" t="n">
        <f aca="false">P453*INDEX(Parametros!$B$13:$B$16,MATCH($F453,Parametros!$A$13:$A$16,0))</f>
        <v>69.69024</v>
      </c>
      <c r="U453" s="21" t="n">
        <f aca="false">P453-R453-S453-T453</f>
        <v>554.98076</v>
      </c>
      <c r="V453" s="19" t="n">
        <f aca="false">IFERROR(U453/P453,0)</f>
        <v>0.318541454298335</v>
      </c>
      <c r="W453" s="48" t="n">
        <f aca="false">B453+INDEX(Parametros!$C$13:$C$16,MATCH($F453,Parametros!$A$13:$A$16,0))</f>
        <v>45878</v>
      </c>
      <c r="X453" s="31" t="s">
        <v>67</v>
      </c>
      <c r="Y453" s="53" t="n">
        <f aca="false">IF(COUNTIF($A$2:$A453,A453)=1,1,0)</f>
        <v>0</v>
      </c>
    </row>
    <row r="454" customFormat="false" ht="15" hidden="false" customHeight="false" outlineLevel="0" collapsed="false">
      <c r="A454" s="31" t="s">
        <v>485</v>
      </c>
      <c r="B454" s="36" t="n">
        <v>45803</v>
      </c>
      <c r="C454" s="49" t="n">
        <f aca="false">DATE(YEAR(B454),MONTH(B454),1)</f>
        <v>45778</v>
      </c>
      <c r="D454" s="31" t="s">
        <v>203</v>
      </c>
      <c r="E454" s="31" t="s">
        <v>41</v>
      </c>
      <c r="F454" s="31" t="s">
        <v>46</v>
      </c>
      <c r="G454" s="31" t="s">
        <v>58</v>
      </c>
      <c r="H454" s="31" t="s">
        <v>169</v>
      </c>
      <c r="I454" s="32" t="str">
        <f aca="false">INDEX(Productos!$B$2:$B$13,MATCH($H454,Productos!$A$2:$A$13,0))</f>
        <v>Tornillo DIN 912 M10x60 Allen inox A2</v>
      </c>
      <c r="J454" s="32" t="str">
        <f aca="false">INDEX(Productos!$C$2:$C$13,MATCH($H454,Productos!$A$2:$A$13,0))</f>
        <v>Inoxidable</v>
      </c>
      <c r="K454" s="31" t="s">
        <v>246</v>
      </c>
      <c r="L454" s="46" t="n">
        <v>53</v>
      </c>
      <c r="M454" s="50" t="n">
        <f aca="false">INDEX(Productos!$F$2:$F$13,MATCH($H454,Productos!$A$2:$A$13,0))</f>
        <v>79</v>
      </c>
      <c r="N454" s="51" t="n">
        <v>0.117</v>
      </c>
      <c r="O454" s="52" t="n">
        <f aca="false">M454*(1-N454)</f>
        <v>69.757</v>
      </c>
      <c r="P454" s="21" t="n">
        <f aca="false">L454*O454</f>
        <v>3697.121</v>
      </c>
      <c r="Q454" s="50" t="n">
        <f aca="false">INDEX(Productos!$E$2:$E$13,MATCH($H454,Productos!$A$2:$A$13,0))*INDEX(Parametros!$B$26:$B$43,MATCH($C454,Parametros!$A$26:$A$43,0))</f>
        <v>43.26</v>
      </c>
      <c r="R454" s="21" t="n">
        <f aca="false">L454*Q454</f>
        <v>2292.78</v>
      </c>
      <c r="S454" s="18" t="n">
        <f aca="false">L454*INDEX(Parametros!$B$20:$B$22,MATCH($E454,Parametros!$A$20:$A$22,0))</f>
        <v>45.05</v>
      </c>
      <c r="T454" s="18" t="n">
        <f aca="false">P454*INDEX(Parametros!$B$13:$B$16,MATCH($F454,Parametros!$A$13:$A$16,0))</f>
        <v>147.88484</v>
      </c>
      <c r="U454" s="21" t="n">
        <f aca="false">P454-R454-S454-T454</f>
        <v>1211.40616</v>
      </c>
      <c r="V454" s="19" t="n">
        <f aca="false">IFERROR(U454/P454,0)</f>
        <v>0.327662026750004</v>
      </c>
      <c r="W454" s="48" t="n">
        <f aca="false">B454+INDEX(Parametros!$C$13:$C$16,MATCH($F454,Parametros!$A$13:$A$16,0))</f>
        <v>45878</v>
      </c>
      <c r="X454" s="31" t="s">
        <v>67</v>
      </c>
      <c r="Y454" s="53" t="n">
        <f aca="false">IF(COUNTIF($A$2:$A454,A454)=1,1,0)</f>
        <v>1</v>
      </c>
    </row>
    <row r="455" customFormat="false" ht="15" hidden="false" customHeight="false" outlineLevel="0" collapsed="false">
      <c r="A455" s="31" t="s">
        <v>485</v>
      </c>
      <c r="B455" s="36" t="n">
        <v>45803</v>
      </c>
      <c r="C455" s="49" t="n">
        <f aca="false">DATE(YEAR(B455),MONTH(B455),1)</f>
        <v>45778</v>
      </c>
      <c r="D455" s="31" t="s">
        <v>203</v>
      </c>
      <c r="E455" s="31" t="s">
        <v>41</v>
      </c>
      <c r="F455" s="31" t="s">
        <v>46</v>
      </c>
      <c r="G455" s="31" t="s">
        <v>58</v>
      </c>
      <c r="H455" s="31" t="s">
        <v>163</v>
      </c>
      <c r="I455" s="32" t="str">
        <f aca="false">INDEX(Productos!$B$2:$B$13,MATCH($H455,Productos!$A$2:$A$13,0))</f>
        <v>Tornillo DIN 933 M6x30 rosca completa zincado</v>
      </c>
      <c r="J455" s="32" t="str">
        <f aca="false">INDEX(Productos!$C$2:$C$13,MATCH($H455,Productos!$A$2:$A$13,0))</f>
        <v>Métrica</v>
      </c>
      <c r="K455" s="31" t="s">
        <v>246</v>
      </c>
      <c r="L455" s="46" t="n">
        <v>136</v>
      </c>
      <c r="M455" s="50" t="n">
        <f aca="false">INDEX(Productos!$F$2:$F$13,MATCH($H455,Productos!$A$2:$A$13,0))</f>
        <v>32</v>
      </c>
      <c r="N455" s="51" t="n">
        <v>0.162</v>
      </c>
      <c r="O455" s="52" t="n">
        <f aca="false">M455*(1-N455)</f>
        <v>26.816</v>
      </c>
      <c r="P455" s="21" t="n">
        <f aca="false">L455*O455</f>
        <v>3646.976</v>
      </c>
      <c r="Q455" s="50" t="n">
        <f aca="false">INDEX(Productos!$E$2:$E$13,MATCH($H455,Productos!$A$2:$A$13,0))*INDEX(Parametros!$B$26:$B$43,MATCH($C455,Parametros!$A$26:$A$43,0))</f>
        <v>17.098</v>
      </c>
      <c r="R455" s="21" t="n">
        <f aca="false">L455*Q455</f>
        <v>2325.328</v>
      </c>
      <c r="S455" s="18" t="n">
        <f aca="false">L455*INDEX(Parametros!$B$20:$B$22,MATCH($E455,Parametros!$A$20:$A$22,0))</f>
        <v>115.6</v>
      </c>
      <c r="T455" s="18" t="n">
        <f aca="false">P455*INDEX(Parametros!$B$13:$B$16,MATCH($F455,Parametros!$A$13:$A$16,0))</f>
        <v>145.87904</v>
      </c>
      <c r="U455" s="21" t="n">
        <f aca="false">P455-R455-S455-T455</f>
        <v>1060.16896</v>
      </c>
      <c r="V455" s="19" t="n">
        <f aca="false">IFERROR(U455/P455,0)</f>
        <v>0.290698090692124</v>
      </c>
      <c r="W455" s="48" t="n">
        <f aca="false">B455+INDEX(Parametros!$C$13:$C$16,MATCH($F455,Parametros!$A$13:$A$16,0))</f>
        <v>45878</v>
      </c>
      <c r="X455" s="31" t="s">
        <v>67</v>
      </c>
      <c r="Y455" s="53" t="n">
        <f aca="false">IF(COUNTIF($A$2:$A455,A455)=1,1,0)</f>
        <v>0</v>
      </c>
    </row>
    <row r="456" customFormat="false" ht="15" hidden="false" customHeight="false" outlineLevel="0" collapsed="false">
      <c r="A456" s="31" t="s">
        <v>486</v>
      </c>
      <c r="B456" s="36" t="n">
        <v>45803</v>
      </c>
      <c r="C456" s="49" t="n">
        <f aca="false">DATE(YEAR(B456),MONTH(B456),1)</f>
        <v>45778</v>
      </c>
      <c r="D456" s="31" t="s">
        <v>192</v>
      </c>
      <c r="E456" s="31" t="s">
        <v>41</v>
      </c>
      <c r="F456" s="31" t="s">
        <v>45</v>
      </c>
      <c r="G456" s="31" t="s">
        <v>58</v>
      </c>
      <c r="H456" s="31" t="s">
        <v>173</v>
      </c>
      <c r="I456" s="32" t="str">
        <f aca="false">INDEX(Productos!$B$2:$B$13,MATCH($H456,Productos!$A$2:$A$13,0))</f>
        <v>Tornillo DIN 933 M12x70 clase 8.8</v>
      </c>
      <c r="J456" s="32" t="str">
        <f aca="false">INDEX(Productos!$C$2:$C$13,MATCH($H456,Productos!$A$2:$A$13,0))</f>
        <v>Métrica</v>
      </c>
      <c r="K456" s="31" t="s">
        <v>246</v>
      </c>
      <c r="L456" s="46" t="n">
        <v>56</v>
      </c>
      <c r="M456" s="50" t="n">
        <f aca="false">INDEX(Productos!$F$2:$F$13,MATCH($H456,Productos!$A$2:$A$13,0))</f>
        <v>64</v>
      </c>
      <c r="N456" s="51" t="n">
        <v>0.164</v>
      </c>
      <c r="O456" s="52" t="n">
        <f aca="false">M456*(1-N456)</f>
        <v>53.504</v>
      </c>
      <c r="P456" s="21" t="n">
        <f aca="false">L456*O456</f>
        <v>2996.224</v>
      </c>
      <c r="Q456" s="50" t="n">
        <f aca="false">INDEX(Productos!$E$2:$E$13,MATCH($H456,Productos!$A$2:$A$13,0))*INDEX(Parametros!$B$26:$B$43,MATCH($C456,Parametros!$A$26:$A$43,0))</f>
        <v>34.505</v>
      </c>
      <c r="R456" s="21" t="n">
        <f aca="false">L456*Q456</f>
        <v>1932.28</v>
      </c>
      <c r="S456" s="18" t="n">
        <f aca="false">L456*INDEX(Parametros!$B$20:$B$22,MATCH($E456,Parametros!$A$20:$A$22,0))</f>
        <v>47.6</v>
      </c>
      <c r="T456" s="18" t="n">
        <f aca="false">P456*INDEX(Parametros!$B$13:$B$16,MATCH($F456,Parametros!$A$13:$A$16,0))</f>
        <v>89.88672</v>
      </c>
      <c r="U456" s="21" t="n">
        <f aca="false">P456-R456-S456-T456</f>
        <v>926.45728</v>
      </c>
      <c r="V456" s="19" t="n">
        <f aca="false">IFERROR(U456/P456,0)</f>
        <v>0.309208283492823</v>
      </c>
      <c r="W456" s="48" t="n">
        <f aca="false">B456+INDEX(Parametros!$C$13:$C$16,MATCH($F456,Parametros!$A$13:$A$16,0))</f>
        <v>45863</v>
      </c>
      <c r="X456" s="31" t="s">
        <v>67</v>
      </c>
      <c r="Y456" s="53" t="n">
        <f aca="false">IF(COUNTIF($A$2:$A456,A456)=1,1,0)</f>
        <v>1</v>
      </c>
    </row>
    <row r="457" customFormat="false" ht="15" hidden="false" customHeight="false" outlineLevel="0" collapsed="false">
      <c r="A457" s="31" t="s">
        <v>486</v>
      </c>
      <c r="B457" s="36" t="n">
        <v>45803</v>
      </c>
      <c r="C457" s="49" t="n">
        <f aca="false">DATE(YEAR(B457),MONTH(B457),1)</f>
        <v>45778</v>
      </c>
      <c r="D457" s="31" t="s">
        <v>192</v>
      </c>
      <c r="E457" s="31" t="s">
        <v>41</v>
      </c>
      <c r="F457" s="31" t="s">
        <v>45</v>
      </c>
      <c r="G457" s="31" t="s">
        <v>58</v>
      </c>
      <c r="H457" s="31" t="s">
        <v>167</v>
      </c>
      <c r="I457" s="32" t="str">
        <f aca="false">INDEX(Productos!$B$2:$B$13,MATCH($H457,Productos!$A$2:$A$13,0))</f>
        <v>Tornillo DIN 912 M6x25 Allen zincado</v>
      </c>
      <c r="J457" s="32" t="str">
        <f aca="false">INDEX(Productos!$C$2:$C$13,MATCH($H457,Productos!$A$2:$A$13,0))</f>
        <v>Métrica</v>
      </c>
      <c r="K457" s="31" t="s">
        <v>246</v>
      </c>
      <c r="L457" s="46" t="n">
        <v>147</v>
      </c>
      <c r="M457" s="50" t="n">
        <f aca="false">INDEX(Productos!$F$2:$F$13,MATCH($H457,Productos!$A$2:$A$13,0))</f>
        <v>42</v>
      </c>
      <c r="N457" s="51" t="n">
        <v>0.189</v>
      </c>
      <c r="O457" s="52" t="n">
        <f aca="false">M457*(1-N457)</f>
        <v>34.062</v>
      </c>
      <c r="P457" s="21" t="n">
        <f aca="false">L457*O457</f>
        <v>5007.114</v>
      </c>
      <c r="Q457" s="50" t="n">
        <f aca="false">INDEX(Productos!$E$2:$E$13,MATCH($H457,Productos!$A$2:$A$13,0))*INDEX(Parametros!$B$26:$B$43,MATCH($C457,Parametros!$A$26:$A$43,0))</f>
        <v>22.454</v>
      </c>
      <c r="R457" s="21" t="n">
        <f aca="false">L457*Q457</f>
        <v>3300.738</v>
      </c>
      <c r="S457" s="18" t="n">
        <f aca="false">L457*INDEX(Parametros!$B$20:$B$22,MATCH($E457,Parametros!$A$20:$A$22,0))</f>
        <v>124.95</v>
      </c>
      <c r="T457" s="18" t="n">
        <f aca="false">P457*INDEX(Parametros!$B$13:$B$16,MATCH($F457,Parametros!$A$13:$A$16,0))</f>
        <v>150.21342</v>
      </c>
      <c r="U457" s="21" t="n">
        <f aca="false">P457-R457-S457-T457</f>
        <v>1431.21258</v>
      </c>
      <c r="V457" s="19" t="n">
        <f aca="false">IFERROR(U457/P457,0)</f>
        <v>0.285835828782808</v>
      </c>
      <c r="W457" s="48" t="n">
        <f aca="false">B457+INDEX(Parametros!$C$13:$C$16,MATCH($F457,Parametros!$A$13:$A$16,0))</f>
        <v>45863</v>
      </c>
      <c r="X457" s="31" t="s">
        <v>67</v>
      </c>
      <c r="Y457" s="53" t="n">
        <f aca="false">IF(COUNTIF($A$2:$A457,A457)=1,1,0)</f>
        <v>0</v>
      </c>
    </row>
    <row r="458" customFormat="false" ht="15" hidden="false" customHeight="false" outlineLevel="0" collapsed="false">
      <c r="A458" s="31" t="s">
        <v>487</v>
      </c>
      <c r="B458" s="36" t="n">
        <v>45804</v>
      </c>
      <c r="C458" s="49" t="n">
        <f aca="false">DATE(YEAR(B458),MONTH(B458),1)</f>
        <v>45778</v>
      </c>
      <c r="D458" s="31" t="s">
        <v>221</v>
      </c>
      <c r="E458" s="31" t="s">
        <v>43</v>
      </c>
      <c r="F458" s="31" t="s">
        <v>45</v>
      </c>
      <c r="G458" s="31" t="s">
        <v>59</v>
      </c>
      <c r="H458" s="31" t="s">
        <v>169</v>
      </c>
      <c r="I458" s="32" t="str">
        <f aca="false">INDEX(Productos!$B$2:$B$13,MATCH($H458,Productos!$A$2:$A$13,0))</f>
        <v>Tornillo DIN 912 M10x60 Allen inox A2</v>
      </c>
      <c r="J458" s="32" t="str">
        <f aca="false">INDEX(Productos!$C$2:$C$13,MATCH($H458,Productos!$A$2:$A$13,0))</f>
        <v>Inoxidable</v>
      </c>
      <c r="K458" s="31" t="s">
        <v>246</v>
      </c>
      <c r="L458" s="46" t="n">
        <v>41</v>
      </c>
      <c r="M458" s="50" t="n">
        <f aca="false">INDEX(Productos!$F$2:$F$13,MATCH($H458,Productos!$A$2:$A$13,0))</f>
        <v>79</v>
      </c>
      <c r="N458" s="51" t="n">
        <v>0.164</v>
      </c>
      <c r="O458" s="52" t="n">
        <f aca="false">M458*(1-N458)</f>
        <v>66.044</v>
      </c>
      <c r="P458" s="21" t="n">
        <f aca="false">L458*O458</f>
        <v>2707.804</v>
      </c>
      <c r="Q458" s="50" t="n">
        <f aca="false">INDEX(Productos!$E$2:$E$13,MATCH($H458,Productos!$A$2:$A$13,0))*INDEX(Parametros!$B$26:$B$43,MATCH($C458,Parametros!$A$26:$A$43,0))</f>
        <v>43.26</v>
      </c>
      <c r="R458" s="21" t="n">
        <f aca="false">L458*Q458</f>
        <v>1773.66</v>
      </c>
      <c r="S458" s="18" t="n">
        <f aca="false">L458*INDEX(Parametros!$B$20:$B$22,MATCH($E458,Parametros!$A$20:$A$22,0))</f>
        <v>77.9</v>
      </c>
      <c r="T458" s="18" t="n">
        <f aca="false">P458*INDEX(Parametros!$B$13:$B$16,MATCH($F458,Parametros!$A$13:$A$16,0))</f>
        <v>81.23412</v>
      </c>
      <c r="U458" s="21" t="n">
        <f aca="false">P458-R458-S458-T458</f>
        <v>775.00988</v>
      </c>
      <c r="V458" s="19" t="n">
        <f aca="false">IFERROR(U458/P458,0)</f>
        <v>0.286213433468597</v>
      </c>
      <c r="W458" s="48" t="n">
        <f aca="false">B458+INDEX(Parametros!$C$13:$C$16,MATCH($F458,Parametros!$A$13:$A$16,0))</f>
        <v>45864</v>
      </c>
      <c r="X458" s="31" t="s">
        <v>67</v>
      </c>
      <c r="Y458" s="53" t="n">
        <f aca="false">IF(COUNTIF($A$2:$A458,A458)=1,1,0)</f>
        <v>1</v>
      </c>
    </row>
    <row r="459" customFormat="false" ht="15" hidden="false" customHeight="false" outlineLevel="0" collapsed="false">
      <c r="A459" s="31" t="s">
        <v>488</v>
      </c>
      <c r="B459" s="36" t="n">
        <v>45804</v>
      </c>
      <c r="C459" s="49" t="n">
        <f aca="false">DATE(YEAR(B459),MONTH(B459),1)</f>
        <v>45778</v>
      </c>
      <c r="D459" s="31" t="s">
        <v>191</v>
      </c>
      <c r="E459" s="31" t="s">
        <v>41</v>
      </c>
      <c r="F459" s="31" t="s">
        <v>47</v>
      </c>
      <c r="G459" s="31" t="s">
        <v>58</v>
      </c>
      <c r="H459" s="31" t="s">
        <v>175</v>
      </c>
      <c r="I459" s="32" t="str">
        <f aca="false">INDEX(Productos!$B$2:$B$13,MATCH($H459,Productos!$A$2:$A$13,0))</f>
        <v>Tirafondo madera 5x60 cabeza plana Torx</v>
      </c>
      <c r="J459" s="32" t="str">
        <f aca="false">INDEX(Productos!$C$2:$C$13,MATCH($H459,Productos!$A$2:$A$13,0))</f>
        <v>Madera</v>
      </c>
      <c r="K459" s="31" t="s">
        <v>246</v>
      </c>
      <c r="L459" s="46" t="n">
        <v>12</v>
      </c>
      <c r="M459" s="50" t="n">
        <f aca="false">INDEX(Productos!$F$2:$F$13,MATCH($H459,Productos!$A$2:$A$13,0))</f>
        <v>26</v>
      </c>
      <c r="N459" s="51" t="n">
        <v>0.035</v>
      </c>
      <c r="O459" s="52" t="n">
        <f aca="false">M459*(1-N459)</f>
        <v>25.09</v>
      </c>
      <c r="P459" s="21" t="n">
        <f aca="false">L459*O459</f>
        <v>301.08</v>
      </c>
      <c r="Q459" s="50" t="n">
        <f aca="false">INDEX(Productos!$E$2:$E$13,MATCH($H459,Productos!$A$2:$A$13,0))*INDEX(Parametros!$B$26:$B$43,MATCH($C459,Parametros!$A$26:$A$43,0))</f>
        <v>13.802</v>
      </c>
      <c r="R459" s="21" t="n">
        <f aca="false">L459*Q459</f>
        <v>165.624</v>
      </c>
      <c r="S459" s="18" t="n">
        <f aca="false">L459*INDEX(Parametros!$B$20:$B$22,MATCH($E459,Parametros!$A$20:$A$22,0))</f>
        <v>10.2</v>
      </c>
      <c r="T459" s="18" t="n">
        <f aca="false">P459*INDEX(Parametros!$B$13:$B$16,MATCH($F459,Parametros!$A$13:$A$16,0))</f>
        <v>10.5378</v>
      </c>
      <c r="U459" s="21" t="n">
        <f aca="false">P459-R459-S459-T459</f>
        <v>114.7182</v>
      </c>
      <c r="V459" s="19" t="n">
        <f aca="false">IFERROR(U459/P459,0)</f>
        <v>0.381022319649263</v>
      </c>
      <c r="W459" s="48" t="n">
        <f aca="false">B459+INDEX(Parametros!$C$13:$C$16,MATCH($F459,Parametros!$A$13:$A$16,0))</f>
        <v>45849</v>
      </c>
      <c r="X459" s="31" t="s">
        <v>67</v>
      </c>
      <c r="Y459" s="53" t="n">
        <f aca="false">IF(COUNTIF($A$2:$A459,A459)=1,1,0)</f>
        <v>1</v>
      </c>
    </row>
    <row r="460" customFormat="false" ht="15" hidden="false" customHeight="false" outlineLevel="0" collapsed="false">
      <c r="A460" s="31" t="s">
        <v>488</v>
      </c>
      <c r="B460" s="36" t="n">
        <v>45804</v>
      </c>
      <c r="C460" s="49" t="n">
        <f aca="false">DATE(YEAR(B460),MONTH(B460),1)</f>
        <v>45778</v>
      </c>
      <c r="D460" s="31" t="s">
        <v>191</v>
      </c>
      <c r="E460" s="31" t="s">
        <v>41</v>
      </c>
      <c r="F460" s="31" t="s">
        <v>47</v>
      </c>
      <c r="G460" s="31" t="s">
        <v>58</v>
      </c>
      <c r="H460" s="31" t="s">
        <v>169</v>
      </c>
      <c r="I460" s="32" t="str">
        <f aca="false">INDEX(Productos!$B$2:$B$13,MATCH($H460,Productos!$A$2:$A$13,0))</f>
        <v>Tornillo DIN 912 M10x60 Allen inox A2</v>
      </c>
      <c r="J460" s="32" t="str">
        <f aca="false">INDEX(Productos!$C$2:$C$13,MATCH($H460,Productos!$A$2:$A$13,0))</f>
        <v>Inoxidable</v>
      </c>
      <c r="K460" s="31" t="s">
        <v>246</v>
      </c>
      <c r="L460" s="46" t="n">
        <v>43</v>
      </c>
      <c r="M460" s="50" t="n">
        <f aca="false">INDEX(Productos!$F$2:$F$13,MATCH($H460,Productos!$A$2:$A$13,0))</f>
        <v>79</v>
      </c>
      <c r="N460" s="51" t="n">
        <v>0.05</v>
      </c>
      <c r="O460" s="52" t="n">
        <f aca="false">M460*(1-N460)</f>
        <v>75.05</v>
      </c>
      <c r="P460" s="21" t="n">
        <f aca="false">L460*O460</f>
        <v>3227.15</v>
      </c>
      <c r="Q460" s="50" t="n">
        <f aca="false">INDEX(Productos!$E$2:$E$13,MATCH($H460,Productos!$A$2:$A$13,0))*INDEX(Parametros!$B$26:$B$43,MATCH($C460,Parametros!$A$26:$A$43,0))</f>
        <v>43.26</v>
      </c>
      <c r="R460" s="21" t="n">
        <f aca="false">L460*Q460</f>
        <v>1860.18</v>
      </c>
      <c r="S460" s="18" t="n">
        <f aca="false">L460*INDEX(Parametros!$B$20:$B$22,MATCH($E460,Parametros!$A$20:$A$22,0))</f>
        <v>36.55</v>
      </c>
      <c r="T460" s="18" t="n">
        <f aca="false">P460*INDEX(Parametros!$B$13:$B$16,MATCH($F460,Parametros!$A$13:$A$16,0))</f>
        <v>112.95025</v>
      </c>
      <c r="U460" s="21" t="n">
        <f aca="false">P460-R460-S460-T460</f>
        <v>1217.46975</v>
      </c>
      <c r="V460" s="19" t="n">
        <f aca="false">IFERROR(U460/P460,0)</f>
        <v>0.377258494337109</v>
      </c>
      <c r="W460" s="48" t="n">
        <f aca="false">B460+INDEX(Parametros!$C$13:$C$16,MATCH($F460,Parametros!$A$13:$A$16,0))</f>
        <v>45849</v>
      </c>
      <c r="X460" s="31" t="s">
        <v>67</v>
      </c>
      <c r="Y460" s="53" t="n">
        <f aca="false">IF(COUNTIF($A$2:$A460,A460)=1,1,0)</f>
        <v>0</v>
      </c>
    </row>
    <row r="461" customFormat="false" ht="15" hidden="false" customHeight="false" outlineLevel="0" collapsed="false">
      <c r="A461" s="31" t="s">
        <v>488</v>
      </c>
      <c r="B461" s="36" t="n">
        <v>45804</v>
      </c>
      <c r="C461" s="49" t="n">
        <f aca="false">DATE(YEAR(B461),MONTH(B461),1)</f>
        <v>45778</v>
      </c>
      <c r="D461" s="31" t="s">
        <v>191</v>
      </c>
      <c r="E461" s="31" t="s">
        <v>41</v>
      </c>
      <c r="F461" s="31" t="s">
        <v>47</v>
      </c>
      <c r="G461" s="31" t="s">
        <v>58</v>
      </c>
      <c r="H461" s="31" t="s">
        <v>173</v>
      </c>
      <c r="I461" s="32" t="str">
        <f aca="false">INDEX(Productos!$B$2:$B$13,MATCH($H461,Productos!$A$2:$A$13,0))</f>
        <v>Tornillo DIN 933 M12x70 clase 8.8</v>
      </c>
      <c r="J461" s="32" t="str">
        <f aca="false">INDEX(Productos!$C$2:$C$13,MATCH($H461,Productos!$A$2:$A$13,0))</f>
        <v>Métrica</v>
      </c>
      <c r="K461" s="31" t="s">
        <v>246</v>
      </c>
      <c r="L461" s="46" t="n">
        <v>41</v>
      </c>
      <c r="M461" s="50" t="n">
        <f aca="false">INDEX(Productos!$F$2:$F$13,MATCH($H461,Productos!$A$2:$A$13,0))</f>
        <v>64</v>
      </c>
      <c r="N461" s="51" t="n">
        <v>0.092</v>
      </c>
      <c r="O461" s="52" t="n">
        <f aca="false">M461*(1-N461)</f>
        <v>58.112</v>
      </c>
      <c r="P461" s="21" t="n">
        <f aca="false">L461*O461</f>
        <v>2382.592</v>
      </c>
      <c r="Q461" s="50" t="n">
        <f aca="false">INDEX(Productos!$E$2:$E$13,MATCH($H461,Productos!$A$2:$A$13,0))*INDEX(Parametros!$B$26:$B$43,MATCH($C461,Parametros!$A$26:$A$43,0))</f>
        <v>34.505</v>
      </c>
      <c r="R461" s="21" t="n">
        <f aca="false">L461*Q461</f>
        <v>1414.705</v>
      </c>
      <c r="S461" s="18" t="n">
        <f aca="false">L461*INDEX(Parametros!$B$20:$B$22,MATCH($E461,Parametros!$A$20:$A$22,0))</f>
        <v>34.85</v>
      </c>
      <c r="T461" s="18" t="n">
        <f aca="false">P461*INDEX(Parametros!$B$13:$B$16,MATCH($F461,Parametros!$A$13:$A$16,0))</f>
        <v>83.39072</v>
      </c>
      <c r="U461" s="21" t="n">
        <f aca="false">P461-R461-S461-T461</f>
        <v>849.64628</v>
      </c>
      <c r="V461" s="19" t="n">
        <f aca="false">IFERROR(U461/P461,0)</f>
        <v>0.356605864537445</v>
      </c>
      <c r="W461" s="48" t="n">
        <f aca="false">B461+INDEX(Parametros!$C$13:$C$16,MATCH($F461,Parametros!$A$13:$A$16,0))</f>
        <v>45849</v>
      </c>
      <c r="X461" s="31" t="s">
        <v>67</v>
      </c>
      <c r="Y461" s="53" t="n">
        <f aca="false">IF(COUNTIF($A$2:$A461,A461)=1,1,0)</f>
        <v>0</v>
      </c>
    </row>
    <row r="462" customFormat="false" ht="15" hidden="false" customHeight="false" outlineLevel="0" collapsed="false">
      <c r="A462" s="31" t="s">
        <v>489</v>
      </c>
      <c r="B462" s="36" t="n">
        <v>45805</v>
      </c>
      <c r="C462" s="49" t="n">
        <f aca="false">DATE(YEAR(B462),MONTH(B462),1)</f>
        <v>45778</v>
      </c>
      <c r="D462" s="31" t="s">
        <v>197</v>
      </c>
      <c r="E462" s="31" t="s">
        <v>41</v>
      </c>
      <c r="F462" s="31" t="s">
        <v>46</v>
      </c>
      <c r="G462" s="31" t="s">
        <v>58</v>
      </c>
      <c r="H462" s="31" t="s">
        <v>163</v>
      </c>
      <c r="I462" s="32" t="str">
        <f aca="false">INDEX(Productos!$B$2:$B$13,MATCH($H462,Productos!$A$2:$A$13,0))</f>
        <v>Tornillo DIN 933 M6x30 rosca completa zincado</v>
      </c>
      <c r="J462" s="32" t="str">
        <f aca="false">INDEX(Productos!$C$2:$C$13,MATCH($H462,Productos!$A$2:$A$13,0))</f>
        <v>Métrica</v>
      </c>
      <c r="K462" s="31" t="s">
        <v>246</v>
      </c>
      <c r="L462" s="46" t="n">
        <v>25</v>
      </c>
      <c r="M462" s="50" t="n">
        <f aca="false">INDEX(Productos!$F$2:$F$13,MATCH($H462,Productos!$A$2:$A$13,0))</f>
        <v>32</v>
      </c>
      <c r="N462" s="51" t="n">
        <v>0.085</v>
      </c>
      <c r="O462" s="52" t="n">
        <f aca="false">M462*(1-N462)</f>
        <v>29.28</v>
      </c>
      <c r="P462" s="21" t="n">
        <f aca="false">L462*O462</f>
        <v>732</v>
      </c>
      <c r="Q462" s="50" t="n">
        <f aca="false">INDEX(Productos!$E$2:$E$13,MATCH($H462,Productos!$A$2:$A$13,0))*INDEX(Parametros!$B$26:$B$43,MATCH($C462,Parametros!$A$26:$A$43,0))</f>
        <v>17.098</v>
      </c>
      <c r="R462" s="21" t="n">
        <f aca="false">L462*Q462</f>
        <v>427.45</v>
      </c>
      <c r="S462" s="18" t="n">
        <f aca="false">L462*INDEX(Parametros!$B$20:$B$22,MATCH($E462,Parametros!$A$20:$A$22,0))</f>
        <v>21.25</v>
      </c>
      <c r="T462" s="18" t="n">
        <f aca="false">P462*INDEX(Parametros!$B$13:$B$16,MATCH($F462,Parametros!$A$13:$A$16,0))</f>
        <v>29.28</v>
      </c>
      <c r="U462" s="21" t="n">
        <f aca="false">P462-R462-S462-T462</f>
        <v>254.02</v>
      </c>
      <c r="V462" s="19" t="n">
        <f aca="false">IFERROR(U462/P462,0)</f>
        <v>0.347021857923497</v>
      </c>
      <c r="W462" s="48" t="n">
        <f aca="false">B462+INDEX(Parametros!$C$13:$C$16,MATCH($F462,Parametros!$A$13:$A$16,0))</f>
        <v>45880</v>
      </c>
      <c r="X462" s="31" t="s">
        <v>67</v>
      </c>
      <c r="Y462" s="53" t="n">
        <f aca="false">IF(COUNTIF($A$2:$A462,A462)=1,1,0)</f>
        <v>1</v>
      </c>
    </row>
    <row r="463" customFormat="false" ht="15" hidden="false" customHeight="false" outlineLevel="0" collapsed="false">
      <c r="A463" s="31" t="s">
        <v>489</v>
      </c>
      <c r="B463" s="36" t="n">
        <v>45805</v>
      </c>
      <c r="C463" s="49" t="n">
        <f aca="false">DATE(YEAR(B463),MONTH(B463),1)</f>
        <v>45778</v>
      </c>
      <c r="D463" s="31" t="s">
        <v>197</v>
      </c>
      <c r="E463" s="31" t="s">
        <v>41</v>
      </c>
      <c r="F463" s="31" t="s">
        <v>46</v>
      </c>
      <c r="G463" s="31" t="s">
        <v>58</v>
      </c>
      <c r="H463" s="31" t="s">
        <v>169</v>
      </c>
      <c r="I463" s="32" t="str">
        <f aca="false">INDEX(Productos!$B$2:$B$13,MATCH($H463,Productos!$A$2:$A$13,0))</f>
        <v>Tornillo DIN 912 M10x60 Allen inox A2</v>
      </c>
      <c r="J463" s="32" t="str">
        <f aca="false">INDEX(Productos!$C$2:$C$13,MATCH($H463,Productos!$A$2:$A$13,0))</f>
        <v>Inoxidable</v>
      </c>
      <c r="K463" s="31" t="s">
        <v>246</v>
      </c>
      <c r="L463" s="46" t="n">
        <v>220</v>
      </c>
      <c r="M463" s="50" t="n">
        <f aca="false">INDEX(Productos!$F$2:$F$13,MATCH($H463,Productos!$A$2:$A$13,0))</f>
        <v>79</v>
      </c>
      <c r="N463" s="51" t="n">
        <v>0.093</v>
      </c>
      <c r="O463" s="52" t="n">
        <f aca="false">M463*(1-N463)</f>
        <v>71.653</v>
      </c>
      <c r="P463" s="21" t="n">
        <f aca="false">L463*O463</f>
        <v>15763.66</v>
      </c>
      <c r="Q463" s="50" t="n">
        <f aca="false">INDEX(Productos!$E$2:$E$13,MATCH($H463,Productos!$A$2:$A$13,0))*INDEX(Parametros!$B$26:$B$43,MATCH($C463,Parametros!$A$26:$A$43,0))</f>
        <v>43.26</v>
      </c>
      <c r="R463" s="21" t="n">
        <f aca="false">L463*Q463</f>
        <v>9517.2</v>
      </c>
      <c r="S463" s="18" t="n">
        <f aca="false">L463*INDEX(Parametros!$B$20:$B$22,MATCH($E463,Parametros!$A$20:$A$22,0))</f>
        <v>187</v>
      </c>
      <c r="T463" s="18" t="n">
        <f aca="false">P463*INDEX(Parametros!$B$13:$B$16,MATCH($F463,Parametros!$A$13:$A$16,0))</f>
        <v>630.5464</v>
      </c>
      <c r="U463" s="21" t="n">
        <f aca="false">P463-R463-S463-T463</f>
        <v>5428.9136</v>
      </c>
      <c r="V463" s="19" t="n">
        <f aca="false">IFERROR(U463/P463,0)</f>
        <v>0.344394233318912</v>
      </c>
      <c r="W463" s="48" t="n">
        <f aca="false">B463+INDEX(Parametros!$C$13:$C$16,MATCH($F463,Parametros!$A$13:$A$16,0))</f>
        <v>45880</v>
      </c>
      <c r="X463" s="31" t="s">
        <v>67</v>
      </c>
      <c r="Y463" s="53" t="n">
        <f aca="false">IF(COUNTIF($A$2:$A463,A463)=1,1,0)</f>
        <v>0</v>
      </c>
    </row>
    <row r="464" customFormat="false" ht="15" hidden="false" customHeight="false" outlineLevel="0" collapsed="false">
      <c r="A464" s="31" t="s">
        <v>490</v>
      </c>
      <c r="B464" s="36" t="n">
        <v>45810</v>
      </c>
      <c r="C464" s="49" t="n">
        <f aca="false">DATE(YEAR(B464),MONTH(B464),1)</f>
        <v>45809</v>
      </c>
      <c r="D464" s="31" t="s">
        <v>216</v>
      </c>
      <c r="E464" s="31" t="s">
        <v>42</v>
      </c>
      <c r="F464" s="31" t="s">
        <v>45</v>
      </c>
      <c r="G464" s="31" t="s">
        <v>61</v>
      </c>
      <c r="H464" s="31" t="s">
        <v>173</v>
      </c>
      <c r="I464" s="32" t="str">
        <f aca="false">INDEX(Productos!$B$2:$B$13,MATCH($H464,Productos!$A$2:$A$13,0))</f>
        <v>Tornillo DIN 933 M12x70 clase 8.8</v>
      </c>
      <c r="J464" s="32" t="str">
        <f aca="false">INDEX(Productos!$C$2:$C$13,MATCH($H464,Productos!$A$2:$A$13,0))</f>
        <v>Métrica</v>
      </c>
      <c r="K464" s="31" t="s">
        <v>246</v>
      </c>
      <c r="L464" s="46" t="n">
        <v>193</v>
      </c>
      <c r="M464" s="50" t="n">
        <f aca="false">INDEX(Productos!$F$2:$F$13,MATCH($H464,Productos!$A$2:$A$13,0))</f>
        <v>64</v>
      </c>
      <c r="N464" s="51" t="n">
        <v>0.17</v>
      </c>
      <c r="O464" s="52" t="n">
        <f aca="false">M464*(1-N464)</f>
        <v>53.12</v>
      </c>
      <c r="P464" s="21" t="n">
        <f aca="false">L464*O464</f>
        <v>10252.16</v>
      </c>
      <c r="Q464" s="50" t="n">
        <f aca="false">INDEX(Productos!$E$2:$E$13,MATCH($H464,Productos!$A$2:$A$13,0))*INDEX(Parametros!$B$26:$B$43,MATCH($C464,Parametros!$A$26:$A$43,0))</f>
        <v>34.4045</v>
      </c>
      <c r="R464" s="21" t="n">
        <f aca="false">L464*Q464</f>
        <v>6640.0685</v>
      </c>
      <c r="S464" s="18" t="n">
        <f aca="false">L464*INDEX(Parametros!$B$20:$B$22,MATCH($E464,Parametros!$A$20:$A$22,0))</f>
        <v>463.2</v>
      </c>
      <c r="T464" s="18" t="n">
        <f aca="false">P464*INDEX(Parametros!$B$13:$B$16,MATCH($F464,Parametros!$A$13:$A$16,0))</f>
        <v>307.5648</v>
      </c>
      <c r="U464" s="21" t="n">
        <f aca="false">P464-R464-S464-T464</f>
        <v>2841.3267</v>
      </c>
      <c r="V464" s="19" t="n">
        <f aca="false">IFERROR(U464/P464,0)</f>
        <v>0.277144201807229</v>
      </c>
      <c r="W464" s="48" t="n">
        <f aca="false">B464+INDEX(Parametros!$C$13:$C$16,MATCH($F464,Parametros!$A$13:$A$16,0))</f>
        <v>45870</v>
      </c>
      <c r="X464" s="31" t="s">
        <v>67</v>
      </c>
      <c r="Y464" s="53" t="n">
        <f aca="false">IF(COUNTIF($A$2:$A464,A464)=1,1,0)</f>
        <v>1</v>
      </c>
    </row>
    <row r="465" customFormat="false" ht="15" hidden="false" customHeight="false" outlineLevel="0" collapsed="false">
      <c r="A465" s="31" t="s">
        <v>491</v>
      </c>
      <c r="B465" s="36" t="n">
        <v>45810</v>
      </c>
      <c r="C465" s="49" t="n">
        <f aca="false">DATE(YEAR(B465),MONTH(B465),1)</f>
        <v>45809</v>
      </c>
      <c r="D465" s="31" t="s">
        <v>193</v>
      </c>
      <c r="E465" s="31" t="s">
        <v>41</v>
      </c>
      <c r="F465" s="31" t="s">
        <v>45</v>
      </c>
      <c r="G465" s="31" t="s">
        <v>62</v>
      </c>
      <c r="H465" s="31" t="s">
        <v>181</v>
      </c>
      <c r="I465" s="32" t="str">
        <f aca="false">INDEX(Productos!$B$2:$B$13,MATCH($H465,Productos!$A$2:$A$13,0))</f>
        <v>Autotaladrante 5,5x55 punta broca</v>
      </c>
      <c r="J465" s="32" t="str">
        <f aca="false">INDEX(Productos!$C$2:$C$13,MATCH($H465,Productos!$A$2:$A$13,0))</f>
        <v>Autotaladrante</v>
      </c>
      <c r="K465" s="31" t="s">
        <v>246</v>
      </c>
      <c r="L465" s="46" t="n">
        <v>52</v>
      </c>
      <c r="M465" s="50" t="n">
        <f aca="false">INDEX(Productos!$F$2:$F$13,MATCH($H465,Productos!$A$2:$A$13,0))</f>
        <v>39</v>
      </c>
      <c r="N465" s="51" t="n">
        <v>0.16</v>
      </c>
      <c r="O465" s="52" t="n">
        <f aca="false">M465*(1-N465)</f>
        <v>32.76</v>
      </c>
      <c r="P465" s="21" t="n">
        <f aca="false">L465*O465</f>
        <v>1703.52</v>
      </c>
      <c r="Q465" s="50" t="n">
        <f aca="false">INDEX(Productos!$E$2:$E$13,MATCH($H465,Productos!$A$2:$A$13,0))*INDEX(Parametros!$B$26:$B$43,MATCH($C465,Parametros!$A$26:$A$43,0))</f>
        <v>20.8481</v>
      </c>
      <c r="R465" s="21" t="n">
        <f aca="false">L465*Q465</f>
        <v>1084.1012</v>
      </c>
      <c r="S465" s="18" t="n">
        <f aca="false">L465*INDEX(Parametros!$B$20:$B$22,MATCH($E465,Parametros!$A$20:$A$22,0))</f>
        <v>44.2</v>
      </c>
      <c r="T465" s="18" t="n">
        <f aca="false">P465*INDEX(Parametros!$B$13:$B$16,MATCH($F465,Parametros!$A$13:$A$16,0))</f>
        <v>51.1056</v>
      </c>
      <c r="U465" s="21" t="n">
        <f aca="false">P465-R465-S465-T465</f>
        <v>524.1132</v>
      </c>
      <c r="V465" s="19" t="n">
        <f aca="false">IFERROR(U465/P465,0)</f>
        <v>0.307664835164835</v>
      </c>
      <c r="W465" s="48" t="n">
        <f aca="false">B465+INDEX(Parametros!$C$13:$C$16,MATCH($F465,Parametros!$A$13:$A$16,0))</f>
        <v>45870</v>
      </c>
      <c r="X465" s="31" t="s">
        <v>67</v>
      </c>
      <c r="Y465" s="53" t="n">
        <f aca="false">IF(COUNTIF($A$2:$A465,A465)=1,1,0)</f>
        <v>1</v>
      </c>
    </row>
    <row r="466" customFormat="false" ht="15" hidden="false" customHeight="false" outlineLevel="0" collapsed="false">
      <c r="A466" s="31" t="s">
        <v>492</v>
      </c>
      <c r="B466" s="36" t="n">
        <v>45810</v>
      </c>
      <c r="C466" s="49" t="n">
        <f aca="false">DATE(YEAR(B466),MONTH(B466),1)</f>
        <v>45809</v>
      </c>
      <c r="D466" s="31" t="s">
        <v>192</v>
      </c>
      <c r="E466" s="31" t="s">
        <v>41</v>
      </c>
      <c r="F466" s="31" t="s">
        <v>45</v>
      </c>
      <c r="G466" s="31" t="s">
        <v>58</v>
      </c>
      <c r="H466" s="31" t="s">
        <v>177</v>
      </c>
      <c r="I466" s="32" t="str">
        <f aca="false">INDEX(Productos!$B$2:$B$13,MATCH($H466,Productos!$A$2:$A$13,0))</f>
        <v>Tirafondo madera 6x100 cabeza plana Torx</v>
      </c>
      <c r="J466" s="32" t="str">
        <f aca="false">INDEX(Productos!$C$2:$C$13,MATCH($H466,Productos!$A$2:$A$13,0))</f>
        <v>Madera</v>
      </c>
      <c r="K466" s="31" t="s">
        <v>246</v>
      </c>
      <c r="L466" s="46" t="n">
        <v>37</v>
      </c>
      <c r="M466" s="50" t="n">
        <f aca="false">INDEX(Productos!$F$2:$F$13,MATCH($H466,Productos!$A$2:$A$13,0))</f>
        <v>34</v>
      </c>
      <c r="N466" s="51" t="n">
        <v>0.175</v>
      </c>
      <c r="O466" s="52" t="n">
        <f aca="false">M466*(1-N466)</f>
        <v>28.05</v>
      </c>
      <c r="P466" s="21" t="n">
        <f aca="false">L466*O466</f>
        <v>1037.85</v>
      </c>
      <c r="Q466" s="50" t="n">
        <f aca="false">INDEX(Productos!$E$2:$E$13,MATCH($H466,Productos!$A$2:$A$13,0))*INDEX(Parametros!$B$26:$B$43,MATCH($C466,Parametros!$A$26:$A$43,0))</f>
        <v>18.2806</v>
      </c>
      <c r="R466" s="21" t="n">
        <f aca="false">L466*Q466</f>
        <v>676.3822</v>
      </c>
      <c r="S466" s="18" t="n">
        <f aca="false">L466*INDEX(Parametros!$B$20:$B$22,MATCH($E466,Parametros!$A$20:$A$22,0))</f>
        <v>31.45</v>
      </c>
      <c r="T466" s="18" t="n">
        <f aca="false">P466*INDEX(Parametros!$B$13:$B$16,MATCH($F466,Parametros!$A$13:$A$16,0))</f>
        <v>31.1355</v>
      </c>
      <c r="U466" s="21" t="n">
        <f aca="false">P466-R466-S466-T466</f>
        <v>298.8823</v>
      </c>
      <c r="V466" s="19" t="n">
        <f aca="false">IFERROR(U466/P466,0)</f>
        <v>0.287982174688057</v>
      </c>
      <c r="W466" s="48" t="n">
        <f aca="false">B466+INDEX(Parametros!$C$13:$C$16,MATCH($F466,Parametros!$A$13:$A$16,0))</f>
        <v>45870</v>
      </c>
      <c r="X466" s="31" t="s">
        <v>67</v>
      </c>
      <c r="Y466" s="53" t="n">
        <f aca="false">IF(COUNTIF($A$2:$A466,A466)=1,1,0)</f>
        <v>1</v>
      </c>
    </row>
    <row r="467" customFormat="false" ht="15" hidden="false" customHeight="false" outlineLevel="0" collapsed="false">
      <c r="A467" s="31" t="s">
        <v>492</v>
      </c>
      <c r="B467" s="36" t="n">
        <v>45810</v>
      </c>
      <c r="C467" s="49" t="n">
        <f aca="false">DATE(YEAR(B467),MONTH(B467),1)</f>
        <v>45809</v>
      </c>
      <c r="D467" s="31" t="s">
        <v>192</v>
      </c>
      <c r="E467" s="31" t="s">
        <v>41</v>
      </c>
      <c r="F467" s="31" t="s">
        <v>45</v>
      </c>
      <c r="G467" s="31" t="s">
        <v>58</v>
      </c>
      <c r="H467" s="31" t="s">
        <v>165</v>
      </c>
      <c r="I467" s="32" t="str">
        <f aca="false">INDEX(Productos!$B$2:$B$13,MATCH($H467,Productos!$A$2:$A$13,0))</f>
        <v>Tornillo DIN 933 M8x40 rosca completa zincado</v>
      </c>
      <c r="J467" s="32" t="str">
        <f aca="false">INDEX(Productos!$C$2:$C$13,MATCH($H467,Productos!$A$2:$A$13,0))</f>
        <v>Métrica</v>
      </c>
      <c r="K467" s="31" t="s">
        <v>246</v>
      </c>
      <c r="L467" s="46" t="n">
        <v>24</v>
      </c>
      <c r="M467" s="50" t="n">
        <f aca="false">INDEX(Productos!$F$2:$F$13,MATCH($H467,Productos!$A$2:$A$13,0))</f>
        <v>37.5</v>
      </c>
      <c r="N467" s="51" t="n">
        <v>0.177</v>
      </c>
      <c r="O467" s="52" t="n">
        <f aca="false">M467*(1-N467)</f>
        <v>30.8625</v>
      </c>
      <c r="P467" s="21" t="n">
        <f aca="false">L467*O467</f>
        <v>740.7</v>
      </c>
      <c r="Q467" s="50" t="n">
        <f aca="false">INDEX(Productos!$E$2:$E$13,MATCH($H467,Productos!$A$2:$A$13,0))*INDEX(Parametros!$B$26:$B$43,MATCH($C467,Parametros!$A$26:$A$43,0))</f>
        <v>19.9238</v>
      </c>
      <c r="R467" s="21" t="n">
        <f aca="false">L467*Q467</f>
        <v>478.1712</v>
      </c>
      <c r="S467" s="18" t="n">
        <f aca="false">L467*INDEX(Parametros!$B$20:$B$22,MATCH($E467,Parametros!$A$20:$A$22,0))</f>
        <v>20.4</v>
      </c>
      <c r="T467" s="18" t="n">
        <f aca="false">P467*INDEX(Parametros!$B$13:$B$16,MATCH($F467,Parametros!$A$13:$A$16,0))</f>
        <v>22.221</v>
      </c>
      <c r="U467" s="21" t="n">
        <f aca="false">P467-R467-S467-T467</f>
        <v>219.9078</v>
      </c>
      <c r="V467" s="19" t="n">
        <f aca="false">IFERROR(U467/P467,0)</f>
        <v>0.296891859052248</v>
      </c>
      <c r="W467" s="48" t="n">
        <f aca="false">B467+INDEX(Parametros!$C$13:$C$16,MATCH($F467,Parametros!$A$13:$A$16,0))</f>
        <v>45870</v>
      </c>
      <c r="X467" s="31" t="s">
        <v>67</v>
      </c>
      <c r="Y467" s="53" t="n">
        <f aca="false">IF(COUNTIF($A$2:$A467,A467)=1,1,0)</f>
        <v>0</v>
      </c>
    </row>
    <row r="468" customFormat="false" ht="15" hidden="false" customHeight="false" outlineLevel="0" collapsed="false">
      <c r="A468" s="31" t="s">
        <v>493</v>
      </c>
      <c r="B468" s="36" t="n">
        <v>45811</v>
      </c>
      <c r="C468" s="49" t="n">
        <f aca="false">DATE(YEAR(B468),MONTH(B468),1)</f>
        <v>45809</v>
      </c>
      <c r="D468" s="31" t="s">
        <v>213</v>
      </c>
      <c r="E468" s="31" t="s">
        <v>42</v>
      </c>
      <c r="F468" s="31" t="s">
        <v>46</v>
      </c>
      <c r="G468" s="31" t="s">
        <v>61</v>
      </c>
      <c r="H468" s="31" t="s">
        <v>163</v>
      </c>
      <c r="I468" s="32" t="str">
        <f aca="false">INDEX(Productos!$B$2:$B$13,MATCH($H468,Productos!$A$2:$A$13,0))</f>
        <v>Tornillo DIN 933 M6x30 rosca completa zincado</v>
      </c>
      <c r="J468" s="32" t="str">
        <f aca="false">INDEX(Productos!$C$2:$C$13,MATCH($H468,Productos!$A$2:$A$13,0))</f>
        <v>Métrica</v>
      </c>
      <c r="K468" s="31" t="s">
        <v>246</v>
      </c>
      <c r="L468" s="46" t="n">
        <v>39</v>
      </c>
      <c r="M468" s="50" t="n">
        <f aca="false">INDEX(Productos!$F$2:$F$13,MATCH($H468,Productos!$A$2:$A$13,0))</f>
        <v>32</v>
      </c>
      <c r="N468" s="51" t="n">
        <v>0.094</v>
      </c>
      <c r="O468" s="52" t="n">
        <f aca="false">M468*(1-N468)</f>
        <v>28.992</v>
      </c>
      <c r="P468" s="21" t="n">
        <f aca="false">L468*O468</f>
        <v>1130.688</v>
      </c>
      <c r="Q468" s="50" t="n">
        <f aca="false">INDEX(Productos!$E$2:$E$13,MATCH($H468,Productos!$A$2:$A$13,0))*INDEX(Parametros!$B$26:$B$43,MATCH($C468,Parametros!$A$26:$A$43,0))</f>
        <v>17.0482</v>
      </c>
      <c r="R468" s="21" t="n">
        <f aca="false">L468*Q468</f>
        <v>664.8798</v>
      </c>
      <c r="S468" s="18" t="n">
        <f aca="false">L468*INDEX(Parametros!$B$20:$B$22,MATCH($E468,Parametros!$A$20:$A$22,0))</f>
        <v>93.6</v>
      </c>
      <c r="T468" s="18" t="n">
        <f aca="false">P468*INDEX(Parametros!$B$13:$B$16,MATCH($F468,Parametros!$A$13:$A$16,0))</f>
        <v>45.22752</v>
      </c>
      <c r="U468" s="21" t="n">
        <f aca="false">P468-R468-S468-T468</f>
        <v>326.98068</v>
      </c>
      <c r="V468" s="19" t="n">
        <f aca="false">IFERROR(U468/P468,0)</f>
        <v>0.289187362030905</v>
      </c>
      <c r="W468" s="48" t="n">
        <f aca="false">B468+INDEX(Parametros!$C$13:$C$16,MATCH($F468,Parametros!$A$13:$A$16,0))</f>
        <v>45886</v>
      </c>
      <c r="X468" s="31" t="s">
        <v>67</v>
      </c>
      <c r="Y468" s="53" t="n">
        <f aca="false">IF(COUNTIF($A$2:$A468,A468)=1,1,0)</f>
        <v>1</v>
      </c>
    </row>
    <row r="469" customFormat="false" ht="15" hidden="false" customHeight="false" outlineLevel="0" collapsed="false">
      <c r="A469" s="31" t="s">
        <v>494</v>
      </c>
      <c r="B469" s="36" t="n">
        <v>45811</v>
      </c>
      <c r="C469" s="49" t="n">
        <f aca="false">DATE(YEAR(B469),MONTH(B469),1)</f>
        <v>45809</v>
      </c>
      <c r="D469" s="31" t="s">
        <v>209</v>
      </c>
      <c r="E469" s="31" t="s">
        <v>41</v>
      </c>
      <c r="F469" s="31" t="s">
        <v>45</v>
      </c>
      <c r="G469" s="31" t="s">
        <v>62</v>
      </c>
      <c r="H469" s="31" t="s">
        <v>183</v>
      </c>
      <c r="I469" s="32" t="str">
        <f aca="false">INDEX(Productos!$B$2:$B$13,MATCH($H469,Productos!$A$2:$A$13,0))</f>
        <v>Tornillo estructural M16x90 clase 10.9</v>
      </c>
      <c r="J469" s="32" t="str">
        <f aca="false">INDEX(Productos!$C$2:$C$13,MATCH($H469,Productos!$A$2:$A$13,0))</f>
        <v>Especial</v>
      </c>
      <c r="K469" s="31" t="s">
        <v>246</v>
      </c>
      <c r="L469" s="46" t="n">
        <v>47</v>
      </c>
      <c r="M469" s="50" t="n">
        <f aca="false">INDEX(Productos!$F$2:$F$13,MATCH($H469,Productos!$A$2:$A$13,0))</f>
        <v>112</v>
      </c>
      <c r="N469" s="51" t="n">
        <v>0.166</v>
      </c>
      <c r="O469" s="52" t="n">
        <f aca="false">M469*(1-N469)</f>
        <v>93.408</v>
      </c>
      <c r="P469" s="21" t="n">
        <f aca="false">L469*O469</f>
        <v>4390.176</v>
      </c>
      <c r="Q469" s="50" t="n">
        <f aca="false">INDEX(Productos!$E$2:$E$13,MATCH($H469,Productos!$A$2:$A$13,0))*INDEX(Parametros!$B$26:$B$43,MATCH($C469,Parametros!$A$26:$A$43,0))</f>
        <v>61.62</v>
      </c>
      <c r="R469" s="21" t="n">
        <f aca="false">L469*Q469</f>
        <v>2896.14</v>
      </c>
      <c r="S469" s="18" t="n">
        <f aca="false">L469*INDEX(Parametros!$B$20:$B$22,MATCH($E469,Parametros!$A$20:$A$22,0))</f>
        <v>39.95</v>
      </c>
      <c r="T469" s="18" t="n">
        <f aca="false">P469*INDEX(Parametros!$B$13:$B$16,MATCH($F469,Parametros!$A$13:$A$16,0))</f>
        <v>131.70528</v>
      </c>
      <c r="U469" s="21" t="n">
        <f aca="false">P469-R469-S469-T469</f>
        <v>1322.38072</v>
      </c>
      <c r="V469" s="19" t="n">
        <f aca="false">IFERROR(U469/P469,0)</f>
        <v>0.301213600548133</v>
      </c>
      <c r="W469" s="48" t="n">
        <f aca="false">B469+INDEX(Parametros!$C$13:$C$16,MATCH($F469,Parametros!$A$13:$A$16,0))</f>
        <v>45871</v>
      </c>
      <c r="X469" s="31" t="s">
        <v>67</v>
      </c>
      <c r="Y469" s="53" t="n">
        <f aca="false">IF(COUNTIF($A$2:$A469,A469)=1,1,0)</f>
        <v>1</v>
      </c>
    </row>
    <row r="470" customFormat="false" ht="15" hidden="false" customHeight="false" outlineLevel="0" collapsed="false">
      <c r="A470" s="31" t="s">
        <v>495</v>
      </c>
      <c r="B470" s="36" t="n">
        <v>45811</v>
      </c>
      <c r="C470" s="49" t="n">
        <f aca="false">DATE(YEAR(B470),MONTH(B470),1)</f>
        <v>45809</v>
      </c>
      <c r="D470" s="31" t="s">
        <v>228</v>
      </c>
      <c r="E470" s="31" t="s">
        <v>43</v>
      </c>
      <c r="F470" s="31" t="s">
        <v>47</v>
      </c>
      <c r="G470" s="31" t="s">
        <v>59</v>
      </c>
      <c r="H470" s="31" t="s">
        <v>181</v>
      </c>
      <c r="I470" s="32" t="str">
        <f aca="false">INDEX(Productos!$B$2:$B$13,MATCH($H470,Productos!$A$2:$A$13,0))</f>
        <v>Autotaladrante 5,5x55 punta broca</v>
      </c>
      <c r="J470" s="32" t="str">
        <f aca="false">INDEX(Productos!$C$2:$C$13,MATCH($H470,Productos!$A$2:$A$13,0))</f>
        <v>Autotaladrante</v>
      </c>
      <c r="K470" s="31" t="s">
        <v>246</v>
      </c>
      <c r="L470" s="46" t="n">
        <v>29</v>
      </c>
      <c r="M470" s="50" t="n">
        <f aca="false">INDEX(Productos!$F$2:$F$13,MATCH($H470,Productos!$A$2:$A$13,0))</f>
        <v>39</v>
      </c>
      <c r="N470" s="51" t="n">
        <v>0.052</v>
      </c>
      <c r="O470" s="52" t="n">
        <f aca="false">M470*(1-N470)</f>
        <v>36.972</v>
      </c>
      <c r="P470" s="21" t="n">
        <f aca="false">L470*O470</f>
        <v>1072.188</v>
      </c>
      <c r="Q470" s="50" t="n">
        <f aca="false">INDEX(Productos!$E$2:$E$13,MATCH($H470,Productos!$A$2:$A$13,0))*INDEX(Parametros!$B$26:$B$43,MATCH($C470,Parametros!$A$26:$A$43,0))</f>
        <v>20.8481</v>
      </c>
      <c r="R470" s="21" t="n">
        <f aca="false">L470*Q470</f>
        <v>604.5949</v>
      </c>
      <c r="S470" s="18" t="n">
        <f aca="false">L470*INDEX(Parametros!$B$20:$B$22,MATCH($E470,Parametros!$A$20:$A$22,0))</f>
        <v>55.1</v>
      </c>
      <c r="T470" s="18" t="n">
        <f aca="false">P470*INDEX(Parametros!$B$13:$B$16,MATCH($F470,Parametros!$A$13:$A$16,0))</f>
        <v>37.52658</v>
      </c>
      <c r="U470" s="21" t="n">
        <f aca="false">P470-R470-S470-T470</f>
        <v>374.96652</v>
      </c>
      <c r="V470" s="19" t="n">
        <f aca="false">IFERROR(U470/P470,0)</f>
        <v>0.349720869847452</v>
      </c>
      <c r="W470" s="48" t="n">
        <f aca="false">B470+INDEX(Parametros!$C$13:$C$16,MATCH($F470,Parametros!$A$13:$A$16,0))</f>
        <v>45856</v>
      </c>
      <c r="X470" s="31" t="s">
        <v>67</v>
      </c>
      <c r="Y470" s="53" t="n">
        <f aca="false">IF(COUNTIF($A$2:$A470,A470)=1,1,0)</f>
        <v>1</v>
      </c>
    </row>
    <row r="471" customFormat="false" ht="15" hidden="false" customHeight="false" outlineLevel="0" collapsed="false">
      <c r="A471" s="31" t="s">
        <v>496</v>
      </c>
      <c r="B471" s="36" t="n">
        <v>45812</v>
      </c>
      <c r="C471" s="49" t="n">
        <f aca="false">DATE(YEAR(B471),MONTH(B471),1)</f>
        <v>45809</v>
      </c>
      <c r="D471" s="31" t="s">
        <v>195</v>
      </c>
      <c r="E471" s="31" t="s">
        <v>41</v>
      </c>
      <c r="F471" s="31" t="s">
        <v>45</v>
      </c>
      <c r="G471" s="31" t="s">
        <v>58</v>
      </c>
      <c r="H471" s="31" t="s">
        <v>169</v>
      </c>
      <c r="I471" s="32" t="str">
        <f aca="false">INDEX(Productos!$B$2:$B$13,MATCH($H471,Productos!$A$2:$A$13,0))</f>
        <v>Tornillo DIN 912 M10x60 Allen inox A2</v>
      </c>
      <c r="J471" s="32" t="str">
        <f aca="false">INDEX(Productos!$C$2:$C$13,MATCH($H471,Productos!$A$2:$A$13,0))</f>
        <v>Inoxidable</v>
      </c>
      <c r="K471" s="31" t="s">
        <v>246</v>
      </c>
      <c r="L471" s="46" t="n">
        <v>220</v>
      </c>
      <c r="M471" s="50" t="n">
        <f aca="false">INDEX(Productos!$F$2:$F$13,MATCH($H471,Productos!$A$2:$A$13,0))</f>
        <v>79</v>
      </c>
      <c r="N471" s="51" t="n">
        <v>0.136</v>
      </c>
      <c r="O471" s="52" t="n">
        <f aca="false">M471*(1-N471)</f>
        <v>68.256</v>
      </c>
      <c r="P471" s="21" t="n">
        <f aca="false">L471*O471</f>
        <v>15016.32</v>
      </c>
      <c r="Q471" s="50" t="n">
        <f aca="false">INDEX(Productos!$E$2:$E$13,MATCH($H471,Productos!$A$2:$A$13,0))*INDEX(Parametros!$B$26:$B$43,MATCH($C471,Parametros!$A$26:$A$43,0))</f>
        <v>43.134</v>
      </c>
      <c r="R471" s="21" t="n">
        <f aca="false">L471*Q471</f>
        <v>9489.48</v>
      </c>
      <c r="S471" s="18" t="n">
        <f aca="false">L471*INDEX(Parametros!$B$20:$B$22,MATCH($E471,Parametros!$A$20:$A$22,0))</f>
        <v>187</v>
      </c>
      <c r="T471" s="18" t="n">
        <f aca="false">P471*INDEX(Parametros!$B$13:$B$16,MATCH($F471,Parametros!$A$13:$A$16,0))</f>
        <v>450.4896</v>
      </c>
      <c r="U471" s="21" t="n">
        <f aca="false">P471-R471-S471-T471</f>
        <v>4889.3504</v>
      </c>
      <c r="V471" s="19" t="n">
        <f aca="false">IFERROR(U471/P471,0)</f>
        <v>0.325602437880919</v>
      </c>
      <c r="W471" s="48" t="n">
        <f aca="false">B471+INDEX(Parametros!$C$13:$C$16,MATCH($F471,Parametros!$A$13:$A$16,0))</f>
        <v>45872</v>
      </c>
      <c r="X471" s="31" t="s">
        <v>67</v>
      </c>
      <c r="Y471" s="53" t="n">
        <f aca="false">IF(COUNTIF($A$2:$A471,A471)=1,1,0)</f>
        <v>1</v>
      </c>
    </row>
    <row r="472" customFormat="false" ht="15" hidden="false" customHeight="false" outlineLevel="0" collapsed="false">
      <c r="A472" s="31" t="s">
        <v>496</v>
      </c>
      <c r="B472" s="36" t="n">
        <v>45812</v>
      </c>
      <c r="C472" s="49" t="n">
        <f aca="false">DATE(YEAR(B472),MONTH(B472),1)</f>
        <v>45809</v>
      </c>
      <c r="D472" s="31" t="s">
        <v>195</v>
      </c>
      <c r="E472" s="31" t="s">
        <v>41</v>
      </c>
      <c r="F472" s="31" t="s">
        <v>45</v>
      </c>
      <c r="G472" s="31" t="s">
        <v>58</v>
      </c>
      <c r="H472" s="31" t="s">
        <v>183</v>
      </c>
      <c r="I472" s="32" t="str">
        <f aca="false">INDEX(Productos!$B$2:$B$13,MATCH($H472,Productos!$A$2:$A$13,0))</f>
        <v>Tornillo estructural M16x90 clase 10.9</v>
      </c>
      <c r="J472" s="32" t="str">
        <f aca="false">INDEX(Productos!$C$2:$C$13,MATCH($H472,Productos!$A$2:$A$13,0))</f>
        <v>Especial</v>
      </c>
      <c r="K472" s="31" t="s">
        <v>246</v>
      </c>
      <c r="L472" s="46" t="n">
        <v>42</v>
      </c>
      <c r="M472" s="50" t="n">
        <f aca="false">INDEX(Productos!$F$2:$F$13,MATCH($H472,Productos!$A$2:$A$13,0))</f>
        <v>112</v>
      </c>
      <c r="N472" s="51" t="n">
        <v>0.126</v>
      </c>
      <c r="O472" s="52" t="n">
        <f aca="false">M472*(1-N472)</f>
        <v>97.888</v>
      </c>
      <c r="P472" s="21" t="n">
        <f aca="false">L472*O472</f>
        <v>4111.296</v>
      </c>
      <c r="Q472" s="50" t="n">
        <f aca="false">INDEX(Productos!$E$2:$E$13,MATCH($H472,Productos!$A$2:$A$13,0))*INDEX(Parametros!$B$26:$B$43,MATCH($C472,Parametros!$A$26:$A$43,0))</f>
        <v>61.62</v>
      </c>
      <c r="R472" s="21" t="n">
        <f aca="false">L472*Q472</f>
        <v>2588.04</v>
      </c>
      <c r="S472" s="18" t="n">
        <f aca="false">L472*INDEX(Parametros!$B$20:$B$22,MATCH($E472,Parametros!$A$20:$A$22,0))</f>
        <v>35.7</v>
      </c>
      <c r="T472" s="18" t="n">
        <f aca="false">P472*INDEX(Parametros!$B$13:$B$16,MATCH($F472,Parametros!$A$13:$A$16,0))</f>
        <v>123.33888</v>
      </c>
      <c r="U472" s="21" t="n">
        <f aca="false">P472-R472-S472-T472</f>
        <v>1364.21712</v>
      </c>
      <c r="V472" s="19" t="n">
        <f aca="false">IFERROR(U472/P472,0)</f>
        <v>0.331821673749591</v>
      </c>
      <c r="W472" s="48" t="n">
        <f aca="false">B472+INDEX(Parametros!$C$13:$C$16,MATCH($F472,Parametros!$A$13:$A$16,0))</f>
        <v>45872</v>
      </c>
      <c r="X472" s="31" t="s">
        <v>67</v>
      </c>
      <c r="Y472" s="53" t="n">
        <f aca="false">IF(COUNTIF($A$2:$A472,A472)=1,1,0)</f>
        <v>0</v>
      </c>
    </row>
    <row r="473" customFormat="false" ht="15" hidden="false" customHeight="false" outlineLevel="0" collapsed="false">
      <c r="A473" s="31" t="s">
        <v>497</v>
      </c>
      <c r="B473" s="36" t="n">
        <v>45812</v>
      </c>
      <c r="C473" s="49" t="n">
        <f aca="false">DATE(YEAR(B473),MONTH(B473),1)</f>
        <v>45809</v>
      </c>
      <c r="D473" s="31" t="s">
        <v>198</v>
      </c>
      <c r="E473" s="31" t="s">
        <v>41</v>
      </c>
      <c r="F473" s="31" t="s">
        <v>46</v>
      </c>
      <c r="G473" s="31" t="s">
        <v>58</v>
      </c>
      <c r="H473" s="31" t="s">
        <v>177</v>
      </c>
      <c r="I473" s="32" t="str">
        <f aca="false">INDEX(Productos!$B$2:$B$13,MATCH($H473,Productos!$A$2:$A$13,0))</f>
        <v>Tirafondo madera 6x100 cabeza plana Torx</v>
      </c>
      <c r="J473" s="32" t="str">
        <f aca="false">INDEX(Productos!$C$2:$C$13,MATCH($H473,Productos!$A$2:$A$13,0))</f>
        <v>Madera</v>
      </c>
      <c r="K473" s="31" t="s">
        <v>246</v>
      </c>
      <c r="L473" s="46" t="n">
        <v>314</v>
      </c>
      <c r="M473" s="50" t="n">
        <f aca="false">INDEX(Productos!$F$2:$F$13,MATCH($H473,Productos!$A$2:$A$13,0))</f>
        <v>34</v>
      </c>
      <c r="N473" s="51" t="n">
        <v>0.176</v>
      </c>
      <c r="O473" s="52" t="n">
        <f aca="false">M473*(1-N473)</f>
        <v>28.016</v>
      </c>
      <c r="P473" s="21" t="n">
        <f aca="false">L473*O473</f>
        <v>8797.024</v>
      </c>
      <c r="Q473" s="50" t="n">
        <f aca="false">INDEX(Productos!$E$2:$E$13,MATCH($H473,Productos!$A$2:$A$13,0))*INDEX(Parametros!$B$26:$B$43,MATCH($C473,Parametros!$A$26:$A$43,0))</f>
        <v>18.2806</v>
      </c>
      <c r="R473" s="21" t="n">
        <f aca="false">L473*Q473</f>
        <v>5740.1084</v>
      </c>
      <c r="S473" s="18" t="n">
        <f aca="false">L473*INDEX(Parametros!$B$20:$B$22,MATCH($E473,Parametros!$A$20:$A$22,0))</f>
        <v>266.9</v>
      </c>
      <c r="T473" s="18" t="n">
        <f aca="false">P473*INDEX(Parametros!$B$13:$B$16,MATCH($F473,Parametros!$A$13:$A$16,0))</f>
        <v>351.88096</v>
      </c>
      <c r="U473" s="21" t="n">
        <f aca="false">P473-R473-S473-T473</f>
        <v>2438.13464</v>
      </c>
      <c r="V473" s="19" t="n">
        <f aca="false">IFERROR(U473/P473,0)</f>
        <v>0.277154483152484</v>
      </c>
      <c r="W473" s="48" t="n">
        <f aca="false">B473+INDEX(Parametros!$C$13:$C$16,MATCH($F473,Parametros!$A$13:$A$16,0))</f>
        <v>45887</v>
      </c>
      <c r="X473" s="31" t="s">
        <v>67</v>
      </c>
      <c r="Y473" s="53" t="n">
        <f aca="false">IF(COUNTIF($A$2:$A473,A473)=1,1,0)</f>
        <v>1</v>
      </c>
    </row>
    <row r="474" customFormat="false" ht="15" hidden="false" customHeight="false" outlineLevel="0" collapsed="false">
      <c r="A474" s="31" t="s">
        <v>497</v>
      </c>
      <c r="B474" s="36" t="n">
        <v>45812</v>
      </c>
      <c r="C474" s="49" t="n">
        <f aca="false">DATE(YEAR(B474),MONTH(B474),1)</f>
        <v>45809</v>
      </c>
      <c r="D474" s="31" t="s">
        <v>198</v>
      </c>
      <c r="E474" s="31" t="s">
        <v>41</v>
      </c>
      <c r="F474" s="31" t="s">
        <v>46</v>
      </c>
      <c r="G474" s="31" t="s">
        <v>58</v>
      </c>
      <c r="H474" s="31" t="s">
        <v>183</v>
      </c>
      <c r="I474" s="32" t="str">
        <f aca="false">INDEX(Productos!$B$2:$B$13,MATCH($H474,Productos!$A$2:$A$13,0))</f>
        <v>Tornillo estructural M16x90 clase 10.9</v>
      </c>
      <c r="J474" s="32" t="str">
        <f aca="false">INDEX(Productos!$C$2:$C$13,MATCH($H474,Productos!$A$2:$A$13,0))</f>
        <v>Especial</v>
      </c>
      <c r="K474" s="31" t="s">
        <v>246</v>
      </c>
      <c r="L474" s="46" t="n">
        <v>20</v>
      </c>
      <c r="M474" s="50" t="n">
        <f aca="false">INDEX(Productos!$F$2:$F$13,MATCH($H474,Productos!$A$2:$A$13,0))</f>
        <v>112</v>
      </c>
      <c r="N474" s="51" t="n">
        <v>0.171</v>
      </c>
      <c r="O474" s="52" t="n">
        <f aca="false">M474*(1-N474)</f>
        <v>92.848</v>
      </c>
      <c r="P474" s="21" t="n">
        <f aca="false">L474*O474</f>
        <v>1856.96</v>
      </c>
      <c r="Q474" s="50" t="n">
        <f aca="false">INDEX(Productos!$E$2:$E$13,MATCH($H474,Productos!$A$2:$A$13,0))*INDEX(Parametros!$B$26:$B$43,MATCH($C474,Parametros!$A$26:$A$43,0))</f>
        <v>61.62</v>
      </c>
      <c r="R474" s="21" t="n">
        <f aca="false">L474*Q474</f>
        <v>1232.4</v>
      </c>
      <c r="S474" s="18" t="n">
        <f aca="false">L474*INDEX(Parametros!$B$20:$B$22,MATCH($E474,Parametros!$A$20:$A$22,0))</f>
        <v>17</v>
      </c>
      <c r="T474" s="18" t="n">
        <f aca="false">P474*INDEX(Parametros!$B$13:$B$16,MATCH($F474,Parametros!$A$13:$A$16,0))</f>
        <v>74.2784</v>
      </c>
      <c r="U474" s="21" t="n">
        <f aca="false">P474-R474-S474-T474</f>
        <v>533.2816</v>
      </c>
      <c r="V474" s="19" t="n">
        <f aca="false">IFERROR(U474/P474,0)</f>
        <v>0.287179906944684</v>
      </c>
      <c r="W474" s="48" t="n">
        <f aca="false">B474+INDEX(Parametros!$C$13:$C$16,MATCH($F474,Parametros!$A$13:$A$16,0))</f>
        <v>45887</v>
      </c>
      <c r="X474" s="31" t="s">
        <v>67</v>
      </c>
      <c r="Y474" s="53" t="n">
        <f aca="false">IF(COUNTIF($A$2:$A474,A474)=1,1,0)</f>
        <v>0</v>
      </c>
    </row>
    <row r="475" customFormat="false" ht="15" hidden="false" customHeight="false" outlineLevel="0" collapsed="false">
      <c r="A475" s="31" t="s">
        <v>498</v>
      </c>
      <c r="B475" s="36" t="n">
        <v>45812</v>
      </c>
      <c r="C475" s="49" t="n">
        <f aca="false">DATE(YEAR(B475),MONTH(B475),1)</f>
        <v>45809</v>
      </c>
      <c r="D475" s="31" t="s">
        <v>216</v>
      </c>
      <c r="E475" s="31" t="s">
        <v>42</v>
      </c>
      <c r="F475" s="31" t="s">
        <v>45</v>
      </c>
      <c r="G475" s="31" t="s">
        <v>61</v>
      </c>
      <c r="H475" s="31" t="s">
        <v>183</v>
      </c>
      <c r="I475" s="32" t="str">
        <f aca="false">INDEX(Productos!$B$2:$B$13,MATCH($H475,Productos!$A$2:$A$13,0))</f>
        <v>Tornillo estructural M16x90 clase 10.9</v>
      </c>
      <c r="J475" s="32" t="str">
        <f aca="false">INDEX(Productos!$C$2:$C$13,MATCH($H475,Productos!$A$2:$A$13,0))</f>
        <v>Especial</v>
      </c>
      <c r="K475" s="31" t="s">
        <v>246</v>
      </c>
      <c r="L475" s="46" t="n">
        <v>74</v>
      </c>
      <c r="M475" s="50" t="n">
        <f aca="false">INDEX(Productos!$F$2:$F$13,MATCH($H475,Productos!$A$2:$A$13,0))</f>
        <v>112</v>
      </c>
      <c r="N475" s="51" t="n">
        <v>0.165</v>
      </c>
      <c r="O475" s="52" t="n">
        <f aca="false">M475*(1-N475)</f>
        <v>93.52</v>
      </c>
      <c r="P475" s="21" t="n">
        <f aca="false">L475*O475</f>
        <v>6920.48</v>
      </c>
      <c r="Q475" s="50" t="n">
        <f aca="false">INDEX(Productos!$E$2:$E$13,MATCH($H475,Productos!$A$2:$A$13,0))*INDEX(Parametros!$B$26:$B$43,MATCH($C475,Parametros!$A$26:$A$43,0))</f>
        <v>61.62</v>
      </c>
      <c r="R475" s="21" t="n">
        <f aca="false">L475*Q475</f>
        <v>4559.88</v>
      </c>
      <c r="S475" s="18" t="n">
        <f aca="false">L475*INDEX(Parametros!$B$20:$B$22,MATCH($E475,Parametros!$A$20:$A$22,0))</f>
        <v>177.6</v>
      </c>
      <c r="T475" s="18" t="n">
        <f aca="false">P475*INDEX(Parametros!$B$13:$B$16,MATCH($F475,Parametros!$A$13:$A$16,0))</f>
        <v>207.6144</v>
      </c>
      <c r="U475" s="21" t="n">
        <f aca="false">P475-R475-S475-T475</f>
        <v>1975.3856</v>
      </c>
      <c r="V475" s="19" t="n">
        <f aca="false">IFERROR(U475/P475,0)</f>
        <v>0.285440547476476</v>
      </c>
      <c r="W475" s="48" t="n">
        <f aca="false">B475+INDEX(Parametros!$C$13:$C$16,MATCH($F475,Parametros!$A$13:$A$16,0))</f>
        <v>45872</v>
      </c>
      <c r="X475" s="31" t="s">
        <v>67</v>
      </c>
      <c r="Y475" s="53" t="n">
        <f aca="false">IF(COUNTIF($A$2:$A475,A475)=1,1,0)</f>
        <v>1</v>
      </c>
    </row>
    <row r="476" customFormat="false" ht="15" hidden="false" customHeight="false" outlineLevel="0" collapsed="false">
      <c r="A476" s="31" t="s">
        <v>498</v>
      </c>
      <c r="B476" s="36" t="n">
        <v>45812</v>
      </c>
      <c r="C476" s="49" t="n">
        <f aca="false">DATE(YEAR(B476),MONTH(B476),1)</f>
        <v>45809</v>
      </c>
      <c r="D476" s="31" t="s">
        <v>216</v>
      </c>
      <c r="E476" s="31" t="s">
        <v>42</v>
      </c>
      <c r="F476" s="31" t="s">
        <v>45</v>
      </c>
      <c r="G476" s="31" t="s">
        <v>61</v>
      </c>
      <c r="H476" s="31" t="s">
        <v>167</v>
      </c>
      <c r="I476" s="32" t="str">
        <f aca="false">INDEX(Productos!$B$2:$B$13,MATCH($H476,Productos!$A$2:$A$13,0))</f>
        <v>Tornillo DIN 912 M6x25 Allen zincado</v>
      </c>
      <c r="J476" s="32" t="str">
        <f aca="false">INDEX(Productos!$C$2:$C$13,MATCH($H476,Productos!$A$2:$A$13,0))</f>
        <v>Métrica</v>
      </c>
      <c r="K476" s="31" t="s">
        <v>246</v>
      </c>
      <c r="L476" s="46" t="n">
        <v>66</v>
      </c>
      <c r="M476" s="50" t="n">
        <f aca="false">INDEX(Productos!$F$2:$F$13,MATCH($H476,Productos!$A$2:$A$13,0))</f>
        <v>42</v>
      </c>
      <c r="N476" s="51" t="n">
        <v>0.143</v>
      </c>
      <c r="O476" s="52" t="n">
        <f aca="false">M476*(1-N476)</f>
        <v>35.994</v>
      </c>
      <c r="P476" s="21" t="n">
        <f aca="false">L476*O476</f>
        <v>2375.604</v>
      </c>
      <c r="Q476" s="50" t="n">
        <f aca="false">INDEX(Productos!$E$2:$E$13,MATCH($H476,Productos!$A$2:$A$13,0))*INDEX(Parametros!$B$26:$B$43,MATCH($C476,Parametros!$A$26:$A$43,0))</f>
        <v>22.3886</v>
      </c>
      <c r="R476" s="21" t="n">
        <f aca="false">L476*Q476</f>
        <v>1477.6476</v>
      </c>
      <c r="S476" s="18" t="n">
        <f aca="false">L476*INDEX(Parametros!$B$20:$B$22,MATCH($E476,Parametros!$A$20:$A$22,0))</f>
        <v>158.4</v>
      </c>
      <c r="T476" s="18" t="n">
        <f aca="false">P476*INDEX(Parametros!$B$13:$B$16,MATCH($F476,Parametros!$A$13:$A$16,0))</f>
        <v>71.26812</v>
      </c>
      <c r="U476" s="21" t="n">
        <f aca="false">P476-R476-S476-T476</f>
        <v>668.28828</v>
      </c>
      <c r="V476" s="19" t="n">
        <f aca="false">IFERROR(U476/P476,0)</f>
        <v>0.281312996610546</v>
      </c>
      <c r="W476" s="48" t="n">
        <f aca="false">B476+INDEX(Parametros!$C$13:$C$16,MATCH($F476,Parametros!$A$13:$A$16,0))</f>
        <v>45872</v>
      </c>
      <c r="X476" s="31" t="s">
        <v>67</v>
      </c>
      <c r="Y476" s="53" t="n">
        <f aca="false">IF(COUNTIF($A$2:$A476,A476)=1,1,0)</f>
        <v>0</v>
      </c>
    </row>
    <row r="477" customFormat="false" ht="15" hidden="false" customHeight="false" outlineLevel="0" collapsed="false">
      <c r="A477" s="31" t="s">
        <v>498</v>
      </c>
      <c r="B477" s="36" t="n">
        <v>45812</v>
      </c>
      <c r="C477" s="49" t="n">
        <f aca="false">DATE(YEAR(B477),MONTH(B477),1)</f>
        <v>45809</v>
      </c>
      <c r="D477" s="31" t="s">
        <v>216</v>
      </c>
      <c r="E477" s="31" t="s">
        <v>42</v>
      </c>
      <c r="F477" s="31" t="s">
        <v>45</v>
      </c>
      <c r="G477" s="31" t="s">
        <v>61</v>
      </c>
      <c r="H477" s="31" t="s">
        <v>169</v>
      </c>
      <c r="I477" s="32" t="str">
        <f aca="false">INDEX(Productos!$B$2:$B$13,MATCH($H477,Productos!$A$2:$A$13,0))</f>
        <v>Tornillo DIN 912 M10x60 Allen inox A2</v>
      </c>
      <c r="J477" s="32" t="str">
        <f aca="false">INDEX(Productos!$C$2:$C$13,MATCH($H477,Productos!$A$2:$A$13,0))</f>
        <v>Inoxidable</v>
      </c>
      <c r="K477" s="31" t="s">
        <v>246</v>
      </c>
      <c r="L477" s="46" t="n">
        <v>237</v>
      </c>
      <c r="M477" s="50" t="n">
        <f aca="false">INDEX(Productos!$F$2:$F$13,MATCH($H477,Productos!$A$2:$A$13,0))</f>
        <v>79</v>
      </c>
      <c r="N477" s="51" t="n">
        <v>0.146</v>
      </c>
      <c r="O477" s="52" t="n">
        <f aca="false">M477*(1-N477)</f>
        <v>67.466</v>
      </c>
      <c r="P477" s="21" t="n">
        <f aca="false">L477*O477</f>
        <v>15989.442</v>
      </c>
      <c r="Q477" s="50" t="n">
        <f aca="false">INDEX(Productos!$E$2:$E$13,MATCH($H477,Productos!$A$2:$A$13,0))*INDEX(Parametros!$B$26:$B$43,MATCH($C477,Parametros!$A$26:$A$43,0))</f>
        <v>43.134</v>
      </c>
      <c r="R477" s="21" t="n">
        <f aca="false">L477*Q477</f>
        <v>10222.758</v>
      </c>
      <c r="S477" s="18" t="n">
        <f aca="false">L477*INDEX(Parametros!$B$20:$B$22,MATCH($E477,Parametros!$A$20:$A$22,0))</f>
        <v>568.8</v>
      </c>
      <c r="T477" s="18" t="n">
        <f aca="false">P477*INDEX(Parametros!$B$13:$B$16,MATCH($F477,Parametros!$A$13:$A$16,0))</f>
        <v>479.68326</v>
      </c>
      <c r="U477" s="21" t="n">
        <f aca="false">P477-R477-S477-T477</f>
        <v>4718.20074</v>
      </c>
      <c r="V477" s="19" t="n">
        <f aca="false">IFERROR(U477/P477,0)</f>
        <v>0.295082263658732</v>
      </c>
      <c r="W477" s="48" t="n">
        <f aca="false">B477+INDEX(Parametros!$C$13:$C$16,MATCH($F477,Parametros!$A$13:$A$16,0))</f>
        <v>45872</v>
      </c>
      <c r="X477" s="31" t="s">
        <v>67</v>
      </c>
      <c r="Y477" s="53" t="n">
        <f aca="false">IF(COUNTIF($A$2:$A477,A477)=1,1,0)</f>
        <v>0</v>
      </c>
    </row>
    <row r="478" customFormat="false" ht="15" hidden="false" customHeight="false" outlineLevel="0" collapsed="false">
      <c r="A478" s="31" t="s">
        <v>499</v>
      </c>
      <c r="B478" s="36" t="n">
        <v>45812</v>
      </c>
      <c r="C478" s="49" t="n">
        <f aca="false">DATE(YEAR(B478),MONTH(B478),1)</f>
        <v>45809</v>
      </c>
      <c r="D478" s="31" t="s">
        <v>193</v>
      </c>
      <c r="E478" s="31" t="s">
        <v>41</v>
      </c>
      <c r="F478" s="31" t="s">
        <v>45</v>
      </c>
      <c r="G478" s="31" t="s">
        <v>62</v>
      </c>
      <c r="H478" s="31" t="s">
        <v>175</v>
      </c>
      <c r="I478" s="32" t="str">
        <f aca="false">INDEX(Productos!$B$2:$B$13,MATCH($H478,Productos!$A$2:$A$13,0))</f>
        <v>Tirafondo madera 5x60 cabeza plana Torx</v>
      </c>
      <c r="J478" s="32" t="str">
        <f aca="false">INDEX(Productos!$C$2:$C$13,MATCH($H478,Productos!$A$2:$A$13,0))</f>
        <v>Madera</v>
      </c>
      <c r="K478" s="31" t="s">
        <v>246</v>
      </c>
      <c r="L478" s="46" t="n">
        <v>100</v>
      </c>
      <c r="M478" s="50" t="n">
        <f aca="false">INDEX(Productos!$F$2:$F$13,MATCH($H478,Productos!$A$2:$A$13,0))</f>
        <v>26</v>
      </c>
      <c r="N478" s="51" t="n">
        <v>0.172</v>
      </c>
      <c r="O478" s="52" t="n">
        <f aca="false">M478*(1-N478)</f>
        <v>21.528</v>
      </c>
      <c r="P478" s="21" t="n">
        <f aca="false">L478*O478</f>
        <v>2152.8</v>
      </c>
      <c r="Q478" s="50" t="n">
        <f aca="false">INDEX(Productos!$E$2:$E$13,MATCH($H478,Productos!$A$2:$A$13,0))*INDEX(Parametros!$B$26:$B$43,MATCH($C478,Parametros!$A$26:$A$43,0))</f>
        <v>13.7618</v>
      </c>
      <c r="R478" s="21" t="n">
        <f aca="false">L478*Q478</f>
        <v>1376.18</v>
      </c>
      <c r="S478" s="18" t="n">
        <f aca="false">L478*INDEX(Parametros!$B$20:$B$22,MATCH($E478,Parametros!$A$20:$A$22,0))</f>
        <v>85</v>
      </c>
      <c r="T478" s="18" t="n">
        <f aca="false">P478*INDEX(Parametros!$B$13:$B$16,MATCH($F478,Parametros!$A$13:$A$16,0))</f>
        <v>64.584</v>
      </c>
      <c r="U478" s="21" t="n">
        <f aca="false">P478-R478-S478-T478</f>
        <v>627.036</v>
      </c>
      <c r="V478" s="19" t="n">
        <f aca="false">IFERROR(U478/P478,0)</f>
        <v>0.291265328874025</v>
      </c>
      <c r="W478" s="48" t="n">
        <f aca="false">B478+INDEX(Parametros!$C$13:$C$16,MATCH($F478,Parametros!$A$13:$A$16,0))</f>
        <v>45872</v>
      </c>
      <c r="X478" s="31" t="s">
        <v>67</v>
      </c>
      <c r="Y478" s="53" t="n">
        <f aca="false">IF(COUNTIF($A$2:$A478,A478)=1,1,0)</f>
        <v>1</v>
      </c>
    </row>
    <row r="479" customFormat="false" ht="15" hidden="false" customHeight="false" outlineLevel="0" collapsed="false">
      <c r="A479" s="31" t="s">
        <v>499</v>
      </c>
      <c r="B479" s="36" t="n">
        <v>45812</v>
      </c>
      <c r="C479" s="49" t="n">
        <f aca="false">DATE(YEAR(B479),MONTH(B479),1)</f>
        <v>45809</v>
      </c>
      <c r="D479" s="31" t="s">
        <v>193</v>
      </c>
      <c r="E479" s="31" t="s">
        <v>41</v>
      </c>
      <c r="F479" s="31" t="s">
        <v>45</v>
      </c>
      <c r="G479" s="31" t="s">
        <v>62</v>
      </c>
      <c r="H479" s="31" t="s">
        <v>169</v>
      </c>
      <c r="I479" s="32" t="str">
        <f aca="false">INDEX(Productos!$B$2:$B$13,MATCH($H479,Productos!$A$2:$A$13,0))</f>
        <v>Tornillo DIN 912 M10x60 Allen inox A2</v>
      </c>
      <c r="J479" s="32" t="str">
        <f aca="false">INDEX(Productos!$C$2:$C$13,MATCH($H479,Productos!$A$2:$A$13,0))</f>
        <v>Inoxidable</v>
      </c>
      <c r="K479" s="31" t="s">
        <v>246</v>
      </c>
      <c r="L479" s="46" t="n">
        <v>41</v>
      </c>
      <c r="M479" s="50" t="n">
        <f aca="false">INDEX(Productos!$F$2:$F$13,MATCH($H479,Productos!$A$2:$A$13,0))</f>
        <v>79</v>
      </c>
      <c r="N479" s="51" t="n">
        <v>0.15</v>
      </c>
      <c r="O479" s="52" t="n">
        <f aca="false">M479*(1-N479)</f>
        <v>67.15</v>
      </c>
      <c r="P479" s="21" t="n">
        <f aca="false">L479*O479</f>
        <v>2753.15</v>
      </c>
      <c r="Q479" s="50" t="n">
        <f aca="false">INDEX(Productos!$E$2:$E$13,MATCH($H479,Productos!$A$2:$A$13,0))*INDEX(Parametros!$B$26:$B$43,MATCH($C479,Parametros!$A$26:$A$43,0))</f>
        <v>43.134</v>
      </c>
      <c r="R479" s="21" t="n">
        <f aca="false">L479*Q479</f>
        <v>1768.494</v>
      </c>
      <c r="S479" s="18" t="n">
        <f aca="false">L479*INDEX(Parametros!$B$20:$B$22,MATCH($E479,Parametros!$A$20:$A$22,0))</f>
        <v>34.85</v>
      </c>
      <c r="T479" s="18" t="n">
        <f aca="false">P479*INDEX(Parametros!$B$13:$B$16,MATCH($F479,Parametros!$A$13:$A$16,0))</f>
        <v>82.5945</v>
      </c>
      <c r="U479" s="21" t="n">
        <f aca="false">P479-R479-S479-T479</f>
        <v>867.2115</v>
      </c>
      <c r="V479" s="19" t="n">
        <f aca="false">IFERROR(U479/P479,0)</f>
        <v>0.314988830975428</v>
      </c>
      <c r="W479" s="48" t="n">
        <f aca="false">B479+INDEX(Parametros!$C$13:$C$16,MATCH($F479,Parametros!$A$13:$A$16,0))</f>
        <v>45872</v>
      </c>
      <c r="X479" s="31" t="s">
        <v>67</v>
      </c>
      <c r="Y479" s="53" t="n">
        <f aca="false">IF(COUNTIF($A$2:$A479,A479)=1,1,0)</f>
        <v>0</v>
      </c>
    </row>
    <row r="480" customFormat="false" ht="15" hidden="false" customHeight="false" outlineLevel="0" collapsed="false">
      <c r="A480" s="31" t="s">
        <v>500</v>
      </c>
      <c r="B480" s="36" t="n">
        <v>45813</v>
      </c>
      <c r="C480" s="49" t="n">
        <f aca="false">DATE(YEAR(B480),MONTH(B480),1)</f>
        <v>45809</v>
      </c>
      <c r="D480" s="31" t="s">
        <v>196</v>
      </c>
      <c r="E480" s="31" t="s">
        <v>41</v>
      </c>
      <c r="F480" s="31" t="s">
        <v>47</v>
      </c>
      <c r="G480" s="31" t="s">
        <v>58</v>
      </c>
      <c r="H480" s="31" t="s">
        <v>177</v>
      </c>
      <c r="I480" s="32" t="str">
        <f aca="false">INDEX(Productos!$B$2:$B$13,MATCH($H480,Productos!$A$2:$A$13,0))</f>
        <v>Tirafondo madera 6x100 cabeza plana Torx</v>
      </c>
      <c r="J480" s="32" t="str">
        <f aca="false">INDEX(Productos!$C$2:$C$13,MATCH($H480,Productos!$A$2:$A$13,0))</f>
        <v>Madera</v>
      </c>
      <c r="K480" s="31" t="s">
        <v>246</v>
      </c>
      <c r="L480" s="46" t="n">
        <v>29</v>
      </c>
      <c r="M480" s="50" t="n">
        <f aca="false">INDEX(Productos!$F$2:$F$13,MATCH($H480,Productos!$A$2:$A$13,0))</f>
        <v>34</v>
      </c>
      <c r="N480" s="51" t="n">
        <v>0.076</v>
      </c>
      <c r="O480" s="52" t="n">
        <f aca="false">M480*(1-N480)</f>
        <v>31.416</v>
      </c>
      <c r="P480" s="21" t="n">
        <f aca="false">L480*O480</f>
        <v>911.064</v>
      </c>
      <c r="Q480" s="50" t="n">
        <f aca="false">INDEX(Productos!$E$2:$E$13,MATCH($H480,Productos!$A$2:$A$13,0))*INDEX(Parametros!$B$26:$B$43,MATCH($C480,Parametros!$A$26:$A$43,0))</f>
        <v>18.2806</v>
      </c>
      <c r="R480" s="21" t="n">
        <f aca="false">L480*Q480</f>
        <v>530.1374</v>
      </c>
      <c r="S480" s="18" t="n">
        <f aca="false">L480*INDEX(Parametros!$B$20:$B$22,MATCH($E480,Parametros!$A$20:$A$22,0))</f>
        <v>24.65</v>
      </c>
      <c r="T480" s="18" t="n">
        <f aca="false">P480*INDEX(Parametros!$B$13:$B$16,MATCH($F480,Parametros!$A$13:$A$16,0))</f>
        <v>31.88724</v>
      </c>
      <c r="U480" s="21" t="n">
        <f aca="false">P480-R480-S480-T480</f>
        <v>324.38936</v>
      </c>
      <c r="V480" s="19" t="n">
        <f aca="false">IFERROR(U480/P480,0)</f>
        <v>0.356055513114337</v>
      </c>
      <c r="W480" s="48" t="n">
        <f aca="false">B480+INDEX(Parametros!$C$13:$C$16,MATCH($F480,Parametros!$A$13:$A$16,0))</f>
        <v>45858</v>
      </c>
      <c r="X480" s="31" t="s">
        <v>67</v>
      </c>
      <c r="Y480" s="53" t="n">
        <f aca="false">IF(COUNTIF($A$2:$A480,A480)=1,1,0)</f>
        <v>1</v>
      </c>
    </row>
    <row r="481" customFormat="false" ht="15" hidden="false" customHeight="false" outlineLevel="0" collapsed="false">
      <c r="A481" s="31" t="s">
        <v>500</v>
      </c>
      <c r="B481" s="36" t="n">
        <v>45813</v>
      </c>
      <c r="C481" s="49" t="n">
        <f aca="false">DATE(YEAR(B481),MONTH(B481),1)</f>
        <v>45809</v>
      </c>
      <c r="D481" s="31" t="s">
        <v>196</v>
      </c>
      <c r="E481" s="31" t="s">
        <v>41</v>
      </c>
      <c r="F481" s="31" t="s">
        <v>47</v>
      </c>
      <c r="G481" s="31" t="s">
        <v>58</v>
      </c>
      <c r="H481" s="31" t="s">
        <v>181</v>
      </c>
      <c r="I481" s="32" t="str">
        <f aca="false">INDEX(Productos!$B$2:$B$13,MATCH($H481,Productos!$A$2:$A$13,0))</f>
        <v>Autotaladrante 5,5x55 punta broca</v>
      </c>
      <c r="J481" s="32" t="str">
        <f aca="false">INDEX(Productos!$C$2:$C$13,MATCH($H481,Productos!$A$2:$A$13,0))</f>
        <v>Autotaladrante</v>
      </c>
      <c r="K481" s="31" t="s">
        <v>246</v>
      </c>
      <c r="L481" s="46" t="n">
        <v>24</v>
      </c>
      <c r="M481" s="50" t="n">
        <f aca="false">INDEX(Productos!$F$2:$F$13,MATCH($H481,Productos!$A$2:$A$13,0))</f>
        <v>39</v>
      </c>
      <c r="N481" s="51" t="n">
        <v>0.056</v>
      </c>
      <c r="O481" s="52" t="n">
        <f aca="false">M481*(1-N481)</f>
        <v>36.816</v>
      </c>
      <c r="P481" s="21" t="n">
        <f aca="false">L481*O481</f>
        <v>883.584</v>
      </c>
      <c r="Q481" s="50" t="n">
        <f aca="false">INDEX(Productos!$E$2:$E$13,MATCH($H481,Productos!$A$2:$A$13,0))*INDEX(Parametros!$B$26:$B$43,MATCH($C481,Parametros!$A$26:$A$43,0))</f>
        <v>20.8481</v>
      </c>
      <c r="R481" s="21" t="n">
        <f aca="false">L481*Q481</f>
        <v>500.3544</v>
      </c>
      <c r="S481" s="18" t="n">
        <f aca="false">L481*INDEX(Parametros!$B$20:$B$22,MATCH($E481,Parametros!$A$20:$A$22,0))</f>
        <v>20.4</v>
      </c>
      <c r="T481" s="18" t="n">
        <f aca="false">P481*INDEX(Parametros!$B$13:$B$16,MATCH($F481,Parametros!$A$13:$A$16,0))</f>
        <v>30.92544</v>
      </c>
      <c r="U481" s="21" t="n">
        <f aca="false">P481-R481-S481-T481</f>
        <v>331.90416</v>
      </c>
      <c r="V481" s="19" t="n">
        <f aca="false">IFERROR(U481/P481,0)</f>
        <v>0.375633963494133</v>
      </c>
      <c r="W481" s="48" t="n">
        <f aca="false">B481+INDEX(Parametros!$C$13:$C$16,MATCH($F481,Parametros!$A$13:$A$16,0))</f>
        <v>45858</v>
      </c>
      <c r="X481" s="31" t="s">
        <v>67</v>
      </c>
      <c r="Y481" s="53" t="n">
        <f aca="false">IF(COUNTIF($A$2:$A481,A481)=1,1,0)</f>
        <v>0</v>
      </c>
    </row>
    <row r="482" customFormat="false" ht="15" hidden="false" customHeight="false" outlineLevel="0" collapsed="false">
      <c r="A482" s="31" t="s">
        <v>501</v>
      </c>
      <c r="B482" s="36" t="n">
        <v>45813</v>
      </c>
      <c r="C482" s="49" t="n">
        <f aca="false">DATE(YEAR(B482),MONTH(B482),1)</f>
        <v>45809</v>
      </c>
      <c r="D482" s="31" t="s">
        <v>211</v>
      </c>
      <c r="E482" s="31" t="s">
        <v>41</v>
      </c>
      <c r="F482" s="31" t="s">
        <v>48</v>
      </c>
      <c r="G482" s="31" t="s">
        <v>60</v>
      </c>
      <c r="H482" s="31" t="s">
        <v>175</v>
      </c>
      <c r="I482" s="32" t="str">
        <f aca="false">INDEX(Productos!$B$2:$B$13,MATCH($H482,Productos!$A$2:$A$13,0))</f>
        <v>Tirafondo madera 5x60 cabeza plana Torx</v>
      </c>
      <c r="J482" s="32" t="str">
        <f aca="false">INDEX(Productos!$C$2:$C$13,MATCH($H482,Productos!$A$2:$A$13,0))</f>
        <v>Madera</v>
      </c>
      <c r="K482" s="31" t="s">
        <v>246</v>
      </c>
      <c r="L482" s="46" t="n">
        <v>39</v>
      </c>
      <c r="M482" s="50" t="n">
        <f aca="false">INDEX(Productos!$F$2:$F$13,MATCH($H482,Productos!$A$2:$A$13,0))</f>
        <v>26</v>
      </c>
      <c r="N482" s="51" t="n">
        <v>0.047</v>
      </c>
      <c r="O482" s="52" t="n">
        <f aca="false">M482*(1-N482)</f>
        <v>24.778</v>
      </c>
      <c r="P482" s="21" t="n">
        <f aca="false">L482*O482</f>
        <v>966.342</v>
      </c>
      <c r="Q482" s="50" t="n">
        <f aca="false">INDEX(Productos!$E$2:$E$13,MATCH($H482,Productos!$A$2:$A$13,0))*INDEX(Parametros!$B$26:$B$43,MATCH($C482,Parametros!$A$26:$A$43,0))</f>
        <v>13.7618</v>
      </c>
      <c r="R482" s="21" t="n">
        <f aca="false">L482*Q482</f>
        <v>536.7102</v>
      </c>
      <c r="S482" s="18" t="n">
        <f aca="false">L482*INDEX(Parametros!$B$20:$B$22,MATCH($E482,Parametros!$A$20:$A$22,0))</f>
        <v>33.15</v>
      </c>
      <c r="T482" s="18" t="n">
        <f aca="false">P482*INDEX(Parametros!$B$13:$B$16,MATCH($F482,Parametros!$A$13:$A$16,0))</f>
        <v>9.66342</v>
      </c>
      <c r="U482" s="21" t="n">
        <f aca="false">P482-R482-S482-T482</f>
        <v>386.81838</v>
      </c>
      <c r="V482" s="19" t="n">
        <f aca="false">IFERROR(U482/P482,0)</f>
        <v>0.400291387521188</v>
      </c>
      <c r="W482" s="48" t="n">
        <f aca="false">B482+INDEX(Parametros!$C$13:$C$16,MATCH($F482,Parametros!$A$13:$A$16,0))</f>
        <v>45813</v>
      </c>
      <c r="X482" s="31" t="s">
        <v>67</v>
      </c>
      <c r="Y482" s="53" t="n">
        <f aca="false">IF(COUNTIF($A$2:$A482,A482)=1,1,0)</f>
        <v>1</v>
      </c>
    </row>
    <row r="483" customFormat="false" ht="15" hidden="false" customHeight="false" outlineLevel="0" collapsed="false">
      <c r="A483" s="31" t="s">
        <v>502</v>
      </c>
      <c r="B483" s="36" t="n">
        <v>45813</v>
      </c>
      <c r="C483" s="49" t="n">
        <f aca="false">DATE(YEAR(B483),MONTH(B483),1)</f>
        <v>45809</v>
      </c>
      <c r="D483" s="31" t="s">
        <v>209</v>
      </c>
      <c r="E483" s="31" t="s">
        <v>41</v>
      </c>
      <c r="F483" s="31" t="s">
        <v>45</v>
      </c>
      <c r="G483" s="31" t="s">
        <v>62</v>
      </c>
      <c r="H483" s="31" t="s">
        <v>175</v>
      </c>
      <c r="I483" s="32" t="str">
        <f aca="false">INDEX(Productos!$B$2:$B$13,MATCH($H483,Productos!$A$2:$A$13,0))</f>
        <v>Tirafondo madera 5x60 cabeza plana Torx</v>
      </c>
      <c r="J483" s="32" t="str">
        <f aca="false">INDEX(Productos!$C$2:$C$13,MATCH($H483,Productos!$A$2:$A$13,0))</f>
        <v>Madera</v>
      </c>
      <c r="K483" s="31" t="s">
        <v>246</v>
      </c>
      <c r="L483" s="46" t="n">
        <v>252</v>
      </c>
      <c r="M483" s="50" t="n">
        <f aca="false">INDEX(Productos!$F$2:$F$13,MATCH($H483,Productos!$A$2:$A$13,0))</f>
        <v>26</v>
      </c>
      <c r="N483" s="51" t="n">
        <v>0.185</v>
      </c>
      <c r="O483" s="52" t="n">
        <f aca="false">M483*(1-N483)</f>
        <v>21.19</v>
      </c>
      <c r="P483" s="21" t="n">
        <f aca="false">L483*O483</f>
        <v>5339.88</v>
      </c>
      <c r="Q483" s="50" t="n">
        <f aca="false">INDEX(Productos!$E$2:$E$13,MATCH($H483,Productos!$A$2:$A$13,0))*INDEX(Parametros!$B$26:$B$43,MATCH($C483,Parametros!$A$26:$A$43,0))</f>
        <v>13.7618</v>
      </c>
      <c r="R483" s="21" t="n">
        <f aca="false">L483*Q483</f>
        <v>3467.9736</v>
      </c>
      <c r="S483" s="18" t="n">
        <f aca="false">L483*INDEX(Parametros!$B$20:$B$22,MATCH($E483,Parametros!$A$20:$A$22,0))</f>
        <v>214.2</v>
      </c>
      <c r="T483" s="18" t="n">
        <f aca="false">P483*INDEX(Parametros!$B$13:$B$16,MATCH($F483,Parametros!$A$13:$A$16,0))</f>
        <v>160.1964</v>
      </c>
      <c r="U483" s="21" t="n">
        <f aca="false">P483-R483-S483-T483</f>
        <v>1497.51</v>
      </c>
      <c r="V483" s="19" t="n">
        <f aca="false">IFERROR(U483/P483,0)</f>
        <v>0.280438886267107</v>
      </c>
      <c r="W483" s="48" t="n">
        <f aca="false">B483+INDEX(Parametros!$C$13:$C$16,MATCH($F483,Parametros!$A$13:$A$16,0))</f>
        <v>45873</v>
      </c>
      <c r="X483" s="31" t="s">
        <v>67</v>
      </c>
      <c r="Y483" s="53" t="n">
        <f aca="false">IF(COUNTIF($A$2:$A483,A483)=1,1,0)</f>
        <v>1</v>
      </c>
    </row>
    <row r="484" customFormat="false" ht="15" hidden="false" customHeight="false" outlineLevel="0" collapsed="false">
      <c r="A484" s="31" t="s">
        <v>502</v>
      </c>
      <c r="B484" s="36" t="n">
        <v>45813</v>
      </c>
      <c r="C484" s="49" t="n">
        <f aca="false">DATE(YEAR(B484),MONTH(B484),1)</f>
        <v>45809</v>
      </c>
      <c r="D484" s="31" t="s">
        <v>209</v>
      </c>
      <c r="E484" s="31" t="s">
        <v>41</v>
      </c>
      <c r="F484" s="31" t="s">
        <v>45</v>
      </c>
      <c r="G484" s="31" t="s">
        <v>62</v>
      </c>
      <c r="H484" s="31" t="s">
        <v>181</v>
      </c>
      <c r="I484" s="32" t="str">
        <f aca="false">INDEX(Productos!$B$2:$B$13,MATCH($H484,Productos!$A$2:$A$13,0))</f>
        <v>Autotaladrante 5,5x55 punta broca</v>
      </c>
      <c r="J484" s="32" t="str">
        <f aca="false">INDEX(Productos!$C$2:$C$13,MATCH($H484,Productos!$A$2:$A$13,0))</f>
        <v>Autotaladrante</v>
      </c>
      <c r="K484" s="31" t="s">
        <v>246</v>
      </c>
      <c r="L484" s="46" t="n">
        <v>57</v>
      </c>
      <c r="M484" s="50" t="n">
        <f aca="false">INDEX(Productos!$F$2:$F$13,MATCH($H484,Productos!$A$2:$A$13,0))</f>
        <v>39</v>
      </c>
      <c r="N484" s="51" t="n">
        <v>0.187</v>
      </c>
      <c r="O484" s="52" t="n">
        <f aca="false">M484*(1-N484)</f>
        <v>31.707</v>
      </c>
      <c r="P484" s="21" t="n">
        <f aca="false">L484*O484</f>
        <v>1807.299</v>
      </c>
      <c r="Q484" s="50" t="n">
        <f aca="false">INDEX(Productos!$E$2:$E$13,MATCH($H484,Productos!$A$2:$A$13,0))*INDEX(Parametros!$B$26:$B$43,MATCH($C484,Parametros!$A$26:$A$43,0))</f>
        <v>20.8481</v>
      </c>
      <c r="R484" s="21" t="n">
        <f aca="false">L484*Q484</f>
        <v>1188.3417</v>
      </c>
      <c r="S484" s="18" t="n">
        <f aca="false">L484*INDEX(Parametros!$B$20:$B$22,MATCH($E484,Parametros!$A$20:$A$22,0))</f>
        <v>48.45</v>
      </c>
      <c r="T484" s="18" t="n">
        <f aca="false">P484*INDEX(Parametros!$B$13:$B$16,MATCH($F484,Parametros!$A$13:$A$16,0))</f>
        <v>54.21897</v>
      </c>
      <c r="U484" s="21" t="n">
        <f aca="false">P484-R484-S484-T484</f>
        <v>516.28833</v>
      </c>
      <c r="V484" s="19" t="n">
        <f aca="false">IFERROR(U484/P484,0)</f>
        <v>0.285668464376951</v>
      </c>
      <c r="W484" s="48" t="n">
        <f aca="false">B484+INDEX(Parametros!$C$13:$C$16,MATCH($F484,Parametros!$A$13:$A$16,0))</f>
        <v>45873</v>
      </c>
      <c r="X484" s="31" t="s">
        <v>67</v>
      </c>
      <c r="Y484" s="53" t="n">
        <f aca="false">IF(COUNTIF($A$2:$A484,A484)=1,1,0)</f>
        <v>0</v>
      </c>
    </row>
    <row r="485" customFormat="false" ht="15" hidden="false" customHeight="false" outlineLevel="0" collapsed="false">
      <c r="A485" s="31" t="s">
        <v>503</v>
      </c>
      <c r="B485" s="36" t="n">
        <v>45813</v>
      </c>
      <c r="C485" s="49" t="n">
        <f aca="false">DATE(YEAR(B485),MONTH(B485),1)</f>
        <v>45809</v>
      </c>
      <c r="D485" s="31" t="s">
        <v>219</v>
      </c>
      <c r="E485" s="31" t="s">
        <v>42</v>
      </c>
      <c r="F485" s="31" t="s">
        <v>45</v>
      </c>
      <c r="G485" s="31" t="s">
        <v>61</v>
      </c>
      <c r="H485" s="31" t="s">
        <v>175</v>
      </c>
      <c r="I485" s="32" t="str">
        <f aca="false">INDEX(Productos!$B$2:$B$13,MATCH($H485,Productos!$A$2:$A$13,0))</f>
        <v>Tirafondo madera 5x60 cabeza plana Torx</v>
      </c>
      <c r="J485" s="32" t="str">
        <f aca="false">INDEX(Productos!$C$2:$C$13,MATCH($H485,Productos!$A$2:$A$13,0))</f>
        <v>Madera</v>
      </c>
      <c r="K485" s="31" t="s">
        <v>246</v>
      </c>
      <c r="L485" s="46" t="n">
        <v>138</v>
      </c>
      <c r="M485" s="50" t="n">
        <f aca="false">INDEX(Productos!$F$2:$F$13,MATCH($H485,Productos!$A$2:$A$13,0))</f>
        <v>26</v>
      </c>
      <c r="N485" s="51" t="n">
        <v>0.124</v>
      </c>
      <c r="O485" s="52" t="n">
        <f aca="false">M485*(1-N485)</f>
        <v>22.776</v>
      </c>
      <c r="P485" s="21" t="n">
        <f aca="false">L485*O485</f>
        <v>3143.088</v>
      </c>
      <c r="Q485" s="50" t="n">
        <f aca="false">INDEX(Productos!$E$2:$E$13,MATCH($H485,Productos!$A$2:$A$13,0))*INDEX(Parametros!$B$26:$B$43,MATCH($C485,Parametros!$A$26:$A$43,0))</f>
        <v>13.7618</v>
      </c>
      <c r="R485" s="21" t="n">
        <f aca="false">L485*Q485</f>
        <v>1899.1284</v>
      </c>
      <c r="S485" s="18" t="n">
        <f aca="false">L485*INDEX(Parametros!$B$20:$B$22,MATCH($E485,Parametros!$A$20:$A$22,0))</f>
        <v>331.2</v>
      </c>
      <c r="T485" s="18" t="n">
        <f aca="false">P485*INDEX(Parametros!$B$13:$B$16,MATCH($F485,Parametros!$A$13:$A$16,0))</f>
        <v>94.29264</v>
      </c>
      <c r="U485" s="21" t="n">
        <f aca="false">P485-R485-S485-T485</f>
        <v>818.46696</v>
      </c>
      <c r="V485" s="19" t="n">
        <f aca="false">IFERROR(U485/P485,0)</f>
        <v>0.260402177730945</v>
      </c>
      <c r="W485" s="48" t="n">
        <f aca="false">B485+INDEX(Parametros!$C$13:$C$16,MATCH($F485,Parametros!$A$13:$A$16,0))</f>
        <v>45873</v>
      </c>
      <c r="X485" s="31" t="s">
        <v>67</v>
      </c>
      <c r="Y485" s="53" t="n">
        <f aca="false">IF(COUNTIF($A$2:$A485,A485)=1,1,0)</f>
        <v>1</v>
      </c>
    </row>
    <row r="486" customFormat="false" ht="15" hidden="false" customHeight="false" outlineLevel="0" collapsed="false">
      <c r="A486" s="31" t="s">
        <v>503</v>
      </c>
      <c r="B486" s="36" t="n">
        <v>45813</v>
      </c>
      <c r="C486" s="49" t="n">
        <f aca="false">DATE(YEAR(B486),MONTH(B486),1)</f>
        <v>45809</v>
      </c>
      <c r="D486" s="31" t="s">
        <v>219</v>
      </c>
      <c r="E486" s="31" t="s">
        <v>42</v>
      </c>
      <c r="F486" s="31" t="s">
        <v>45</v>
      </c>
      <c r="G486" s="31" t="s">
        <v>61</v>
      </c>
      <c r="H486" s="31" t="s">
        <v>181</v>
      </c>
      <c r="I486" s="32" t="str">
        <f aca="false">INDEX(Productos!$B$2:$B$13,MATCH($H486,Productos!$A$2:$A$13,0))</f>
        <v>Autotaladrante 5,5x55 punta broca</v>
      </c>
      <c r="J486" s="32" t="str">
        <f aca="false">INDEX(Productos!$C$2:$C$13,MATCH($H486,Productos!$A$2:$A$13,0))</f>
        <v>Autotaladrante</v>
      </c>
      <c r="K486" s="31" t="s">
        <v>246</v>
      </c>
      <c r="L486" s="46" t="n">
        <v>83</v>
      </c>
      <c r="M486" s="50" t="n">
        <f aca="false">INDEX(Productos!$F$2:$F$13,MATCH($H486,Productos!$A$2:$A$13,0))</f>
        <v>39</v>
      </c>
      <c r="N486" s="51" t="n">
        <v>0.159</v>
      </c>
      <c r="O486" s="52" t="n">
        <f aca="false">M486*(1-N486)</f>
        <v>32.799</v>
      </c>
      <c r="P486" s="21" t="n">
        <f aca="false">L486*O486</f>
        <v>2722.317</v>
      </c>
      <c r="Q486" s="50" t="n">
        <f aca="false">INDEX(Productos!$E$2:$E$13,MATCH($H486,Productos!$A$2:$A$13,0))*INDEX(Parametros!$B$26:$B$43,MATCH($C486,Parametros!$A$26:$A$43,0))</f>
        <v>20.8481</v>
      </c>
      <c r="R486" s="21" t="n">
        <f aca="false">L486*Q486</f>
        <v>1730.3923</v>
      </c>
      <c r="S486" s="18" t="n">
        <f aca="false">L486*INDEX(Parametros!$B$20:$B$22,MATCH($E486,Parametros!$A$20:$A$22,0))</f>
        <v>199.2</v>
      </c>
      <c r="T486" s="18" t="n">
        <f aca="false">P486*INDEX(Parametros!$B$13:$B$16,MATCH($F486,Parametros!$A$13:$A$16,0))</f>
        <v>81.66951</v>
      </c>
      <c r="U486" s="21" t="n">
        <f aca="false">P486-R486-S486-T486</f>
        <v>711.05519</v>
      </c>
      <c r="V486" s="19" t="n">
        <f aca="false">IFERROR(U486/P486,0)</f>
        <v>0.261194853501631</v>
      </c>
      <c r="W486" s="48" t="n">
        <f aca="false">B486+INDEX(Parametros!$C$13:$C$16,MATCH($F486,Parametros!$A$13:$A$16,0))</f>
        <v>45873</v>
      </c>
      <c r="X486" s="31" t="s">
        <v>67</v>
      </c>
      <c r="Y486" s="53" t="n">
        <f aca="false">IF(COUNTIF($A$2:$A486,A486)=1,1,0)</f>
        <v>0</v>
      </c>
    </row>
    <row r="487" customFormat="false" ht="15" hidden="false" customHeight="false" outlineLevel="0" collapsed="false">
      <c r="A487" s="31" t="s">
        <v>504</v>
      </c>
      <c r="B487" s="36" t="n">
        <v>45814</v>
      </c>
      <c r="C487" s="49" t="n">
        <f aca="false">DATE(YEAR(B487),MONTH(B487),1)</f>
        <v>45809</v>
      </c>
      <c r="D487" s="31" t="s">
        <v>217</v>
      </c>
      <c r="E487" s="31" t="s">
        <v>42</v>
      </c>
      <c r="F487" s="31" t="s">
        <v>47</v>
      </c>
      <c r="G487" s="31" t="s">
        <v>61</v>
      </c>
      <c r="H487" s="31" t="s">
        <v>167</v>
      </c>
      <c r="I487" s="32" t="str">
        <f aca="false">INDEX(Productos!$B$2:$B$13,MATCH($H487,Productos!$A$2:$A$13,0))</f>
        <v>Tornillo DIN 912 M6x25 Allen zincado</v>
      </c>
      <c r="J487" s="32" t="str">
        <f aca="false">INDEX(Productos!$C$2:$C$13,MATCH($H487,Productos!$A$2:$A$13,0))</f>
        <v>Métrica</v>
      </c>
      <c r="K487" s="31" t="s">
        <v>246</v>
      </c>
      <c r="L487" s="46" t="n">
        <v>50</v>
      </c>
      <c r="M487" s="50" t="n">
        <f aca="false">INDEX(Productos!$F$2:$F$13,MATCH($H487,Productos!$A$2:$A$13,0))</f>
        <v>42</v>
      </c>
      <c r="N487" s="51" t="n">
        <v>0.088</v>
      </c>
      <c r="O487" s="52" t="n">
        <f aca="false">M487*(1-N487)</f>
        <v>38.304</v>
      </c>
      <c r="P487" s="21" t="n">
        <f aca="false">L487*O487</f>
        <v>1915.2</v>
      </c>
      <c r="Q487" s="50" t="n">
        <f aca="false">INDEX(Productos!$E$2:$E$13,MATCH($H487,Productos!$A$2:$A$13,0))*INDEX(Parametros!$B$26:$B$43,MATCH($C487,Parametros!$A$26:$A$43,0))</f>
        <v>22.3886</v>
      </c>
      <c r="R487" s="21" t="n">
        <f aca="false">L487*Q487</f>
        <v>1119.43</v>
      </c>
      <c r="S487" s="18" t="n">
        <f aca="false">L487*INDEX(Parametros!$B$20:$B$22,MATCH($E487,Parametros!$A$20:$A$22,0))</f>
        <v>120</v>
      </c>
      <c r="T487" s="18" t="n">
        <f aca="false">P487*INDEX(Parametros!$B$13:$B$16,MATCH($F487,Parametros!$A$13:$A$16,0))</f>
        <v>67.032</v>
      </c>
      <c r="U487" s="21" t="n">
        <f aca="false">P487-R487-S487-T487</f>
        <v>608.738</v>
      </c>
      <c r="V487" s="19" t="n">
        <f aca="false">IFERROR(U487/P487,0)</f>
        <v>0.317845655806182</v>
      </c>
      <c r="W487" s="48" t="n">
        <f aca="false">B487+INDEX(Parametros!$C$13:$C$16,MATCH($F487,Parametros!$A$13:$A$16,0))</f>
        <v>45859</v>
      </c>
      <c r="X487" s="31" t="s">
        <v>67</v>
      </c>
      <c r="Y487" s="53" t="n">
        <f aca="false">IF(COUNTIF($A$2:$A487,A487)=1,1,0)</f>
        <v>1</v>
      </c>
    </row>
    <row r="488" customFormat="false" ht="15" hidden="false" customHeight="false" outlineLevel="0" collapsed="false">
      <c r="A488" s="31" t="s">
        <v>504</v>
      </c>
      <c r="B488" s="36" t="n">
        <v>45814</v>
      </c>
      <c r="C488" s="49" t="n">
        <f aca="false">DATE(YEAR(B488),MONTH(B488),1)</f>
        <v>45809</v>
      </c>
      <c r="D488" s="31" t="s">
        <v>217</v>
      </c>
      <c r="E488" s="31" t="s">
        <v>42</v>
      </c>
      <c r="F488" s="31" t="s">
        <v>47</v>
      </c>
      <c r="G488" s="31" t="s">
        <v>61</v>
      </c>
      <c r="H488" s="31" t="s">
        <v>183</v>
      </c>
      <c r="I488" s="32" t="str">
        <f aca="false">INDEX(Productos!$B$2:$B$13,MATCH($H488,Productos!$A$2:$A$13,0))</f>
        <v>Tornillo estructural M16x90 clase 10.9</v>
      </c>
      <c r="J488" s="32" t="str">
        <f aca="false">INDEX(Productos!$C$2:$C$13,MATCH($H488,Productos!$A$2:$A$13,0))</f>
        <v>Especial</v>
      </c>
      <c r="K488" s="31" t="s">
        <v>246</v>
      </c>
      <c r="L488" s="46" t="n">
        <v>118</v>
      </c>
      <c r="M488" s="50" t="n">
        <f aca="false">INDEX(Productos!$F$2:$F$13,MATCH($H488,Productos!$A$2:$A$13,0))</f>
        <v>112</v>
      </c>
      <c r="N488" s="51" t="n">
        <v>0.093</v>
      </c>
      <c r="O488" s="52" t="n">
        <f aca="false">M488*(1-N488)</f>
        <v>101.584</v>
      </c>
      <c r="P488" s="21" t="n">
        <f aca="false">L488*O488</f>
        <v>11986.912</v>
      </c>
      <c r="Q488" s="50" t="n">
        <f aca="false">INDEX(Productos!$E$2:$E$13,MATCH($H488,Productos!$A$2:$A$13,0))*INDEX(Parametros!$B$26:$B$43,MATCH($C488,Parametros!$A$26:$A$43,0))</f>
        <v>61.62</v>
      </c>
      <c r="R488" s="21" t="n">
        <f aca="false">L488*Q488</f>
        <v>7271.16</v>
      </c>
      <c r="S488" s="18" t="n">
        <f aca="false">L488*INDEX(Parametros!$B$20:$B$22,MATCH($E488,Parametros!$A$20:$A$22,0))</f>
        <v>283.2</v>
      </c>
      <c r="T488" s="18" t="n">
        <f aca="false">P488*INDEX(Parametros!$B$13:$B$16,MATCH($F488,Parametros!$A$13:$A$16,0))</f>
        <v>419.54192</v>
      </c>
      <c r="U488" s="21" t="n">
        <f aca="false">P488-R488-S488-T488</f>
        <v>4013.01008</v>
      </c>
      <c r="V488" s="19" t="n">
        <f aca="false">IFERROR(U488/P488,0)</f>
        <v>0.334782642935895</v>
      </c>
      <c r="W488" s="48" t="n">
        <f aca="false">B488+INDEX(Parametros!$C$13:$C$16,MATCH($F488,Parametros!$A$13:$A$16,0))</f>
        <v>45859</v>
      </c>
      <c r="X488" s="31" t="s">
        <v>67</v>
      </c>
      <c r="Y488" s="53" t="n">
        <f aca="false">IF(COUNTIF($A$2:$A488,A488)=1,1,0)</f>
        <v>0</v>
      </c>
    </row>
    <row r="489" customFormat="false" ht="15" hidden="false" customHeight="false" outlineLevel="0" collapsed="false">
      <c r="A489" s="31" t="s">
        <v>504</v>
      </c>
      <c r="B489" s="36" t="n">
        <v>45814</v>
      </c>
      <c r="C489" s="49" t="n">
        <f aca="false">DATE(YEAR(B489),MONTH(B489),1)</f>
        <v>45809</v>
      </c>
      <c r="D489" s="31" t="s">
        <v>217</v>
      </c>
      <c r="E489" s="31" t="s">
        <v>42</v>
      </c>
      <c r="F489" s="31" t="s">
        <v>47</v>
      </c>
      <c r="G489" s="31" t="s">
        <v>61</v>
      </c>
      <c r="H489" s="31" t="s">
        <v>177</v>
      </c>
      <c r="I489" s="32" t="str">
        <f aca="false">INDEX(Productos!$B$2:$B$13,MATCH($H489,Productos!$A$2:$A$13,0))</f>
        <v>Tirafondo madera 6x100 cabeza plana Torx</v>
      </c>
      <c r="J489" s="32" t="str">
        <f aca="false">INDEX(Productos!$C$2:$C$13,MATCH($H489,Productos!$A$2:$A$13,0))</f>
        <v>Madera</v>
      </c>
      <c r="K489" s="31" t="s">
        <v>246</v>
      </c>
      <c r="L489" s="46" t="n">
        <v>75</v>
      </c>
      <c r="M489" s="50" t="n">
        <f aca="false">INDEX(Productos!$F$2:$F$13,MATCH($H489,Productos!$A$2:$A$13,0))</f>
        <v>34</v>
      </c>
      <c r="N489" s="51" t="n">
        <v>0.052</v>
      </c>
      <c r="O489" s="52" t="n">
        <f aca="false">M489*(1-N489)</f>
        <v>32.232</v>
      </c>
      <c r="P489" s="21" t="n">
        <f aca="false">L489*O489</f>
        <v>2417.4</v>
      </c>
      <c r="Q489" s="50" t="n">
        <f aca="false">INDEX(Productos!$E$2:$E$13,MATCH($H489,Productos!$A$2:$A$13,0))*INDEX(Parametros!$B$26:$B$43,MATCH($C489,Parametros!$A$26:$A$43,0))</f>
        <v>18.2806</v>
      </c>
      <c r="R489" s="21" t="n">
        <f aca="false">L489*Q489</f>
        <v>1371.045</v>
      </c>
      <c r="S489" s="18" t="n">
        <f aca="false">L489*INDEX(Parametros!$B$20:$B$22,MATCH($E489,Parametros!$A$20:$A$22,0))</f>
        <v>180</v>
      </c>
      <c r="T489" s="18" t="n">
        <f aca="false">P489*INDEX(Parametros!$B$13:$B$16,MATCH($F489,Parametros!$A$13:$A$16,0))</f>
        <v>84.609</v>
      </c>
      <c r="U489" s="21" t="n">
        <f aca="false">P489-R489-S489-T489</f>
        <v>781.746</v>
      </c>
      <c r="V489" s="19" t="n">
        <f aca="false">IFERROR(U489/P489,0)</f>
        <v>0.323382973442542</v>
      </c>
      <c r="W489" s="48" t="n">
        <f aca="false">B489+INDEX(Parametros!$C$13:$C$16,MATCH($F489,Parametros!$A$13:$A$16,0))</f>
        <v>45859</v>
      </c>
      <c r="X489" s="31" t="s">
        <v>67</v>
      </c>
      <c r="Y489" s="53" t="n">
        <f aca="false">IF(COUNTIF($A$2:$A489,A489)=1,1,0)</f>
        <v>0</v>
      </c>
    </row>
    <row r="490" customFormat="false" ht="15" hidden="false" customHeight="false" outlineLevel="0" collapsed="false">
      <c r="A490" s="31" t="s">
        <v>505</v>
      </c>
      <c r="B490" s="36" t="n">
        <v>45814</v>
      </c>
      <c r="C490" s="49" t="n">
        <f aca="false">DATE(YEAR(B490),MONTH(B490),1)</f>
        <v>45809</v>
      </c>
      <c r="D490" s="31" t="s">
        <v>198</v>
      </c>
      <c r="E490" s="31" t="s">
        <v>41</v>
      </c>
      <c r="F490" s="31" t="s">
        <v>46</v>
      </c>
      <c r="G490" s="31" t="s">
        <v>58</v>
      </c>
      <c r="H490" s="31" t="s">
        <v>179</v>
      </c>
      <c r="I490" s="32" t="str">
        <f aca="false">INDEX(Productos!$B$2:$B$13,MATCH($H490,Productos!$A$2:$A$13,0))</f>
        <v>Autotaladrante DIN 7504 4,8x38 zincado</v>
      </c>
      <c r="J490" s="32" t="str">
        <f aca="false">INDEX(Productos!$C$2:$C$13,MATCH($H490,Productos!$A$2:$A$13,0))</f>
        <v>Autotaladrante</v>
      </c>
      <c r="K490" s="31" t="s">
        <v>246</v>
      </c>
      <c r="L490" s="46" t="n">
        <v>61</v>
      </c>
      <c r="M490" s="50" t="n">
        <f aca="false">INDEX(Productos!$F$2:$F$13,MATCH($H490,Productos!$A$2:$A$13,0))</f>
        <v>29.5</v>
      </c>
      <c r="N490" s="51" t="n">
        <v>0.156</v>
      </c>
      <c r="O490" s="52" t="n">
        <f aca="false">M490*(1-N490)</f>
        <v>24.898</v>
      </c>
      <c r="P490" s="21" t="n">
        <f aca="false">L490*O490</f>
        <v>1518.778</v>
      </c>
      <c r="Q490" s="50" t="n">
        <f aca="false">INDEX(Productos!$E$2:$E$13,MATCH($H490,Productos!$A$2:$A$13,0))*INDEX(Parametros!$B$26:$B$43,MATCH($C490,Parametros!$A$26:$A$43,0))</f>
        <v>15.6104</v>
      </c>
      <c r="R490" s="21" t="n">
        <f aca="false">L490*Q490</f>
        <v>952.2344</v>
      </c>
      <c r="S490" s="18" t="n">
        <f aca="false">L490*INDEX(Parametros!$B$20:$B$22,MATCH($E490,Parametros!$A$20:$A$22,0))</f>
        <v>51.85</v>
      </c>
      <c r="T490" s="18" t="n">
        <f aca="false">P490*INDEX(Parametros!$B$13:$B$16,MATCH($F490,Parametros!$A$13:$A$16,0))</f>
        <v>60.75112</v>
      </c>
      <c r="U490" s="21" t="n">
        <f aca="false">P490-R490-S490-T490</f>
        <v>453.94248</v>
      </c>
      <c r="V490" s="19" t="n">
        <f aca="false">IFERROR(U490/P490,0)</f>
        <v>0.298886657562857</v>
      </c>
      <c r="W490" s="48" t="n">
        <f aca="false">B490+INDEX(Parametros!$C$13:$C$16,MATCH($F490,Parametros!$A$13:$A$16,0))</f>
        <v>45889</v>
      </c>
      <c r="X490" s="31" t="s">
        <v>67</v>
      </c>
      <c r="Y490" s="53" t="n">
        <f aca="false">IF(COUNTIF($A$2:$A490,A490)=1,1,0)</f>
        <v>1</v>
      </c>
    </row>
    <row r="491" customFormat="false" ht="15" hidden="false" customHeight="false" outlineLevel="0" collapsed="false">
      <c r="A491" s="31" t="s">
        <v>506</v>
      </c>
      <c r="B491" s="36" t="n">
        <v>45814</v>
      </c>
      <c r="C491" s="49" t="n">
        <f aca="false">DATE(YEAR(B491),MONTH(B491),1)</f>
        <v>45809</v>
      </c>
      <c r="D491" s="31" t="s">
        <v>205</v>
      </c>
      <c r="E491" s="31" t="s">
        <v>41</v>
      </c>
      <c r="F491" s="31" t="s">
        <v>45</v>
      </c>
      <c r="G491" s="31" t="s">
        <v>62</v>
      </c>
      <c r="H491" s="31" t="s">
        <v>165</v>
      </c>
      <c r="I491" s="32" t="str">
        <f aca="false">INDEX(Productos!$B$2:$B$13,MATCH($H491,Productos!$A$2:$A$13,0))</f>
        <v>Tornillo DIN 933 M8x40 rosca completa zincado</v>
      </c>
      <c r="J491" s="32" t="str">
        <f aca="false">INDEX(Productos!$C$2:$C$13,MATCH($H491,Productos!$A$2:$A$13,0))</f>
        <v>Métrica</v>
      </c>
      <c r="K491" s="31" t="s">
        <v>246</v>
      </c>
      <c r="L491" s="46" t="n">
        <v>98</v>
      </c>
      <c r="M491" s="50" t="n">
        <f aca="false">INDEX(Productos!$F$2:$F$13,MATCH($H491,Productos!$A$2:$A$13,0))</f>
        <v>37.5</v>
      </c>
      <c r="N491" s="51" t="n">
        <v>0.148</v>
      </c>
      <c r="O491" s="52" t="n">
        <f aca="false">M491*(1-N491)</f>
        <v>31.95</v>
      </c>
      <c r="P491" s="21" t="n">
        <f aca="false">L491*O491</f>
        <v>3131.1</v>
      </c>
      <c r="Q491" s="50" t="n">
        <f aca="false">INDEX(Productos!$E$2:$E$13,MATCH($H491,Productos!$A$2:$A$13,0))*INDEX(Parametros!$B$26:$B$43,MATCH($C491,Parametros!$A$26:$A$43,0))</f>
        <v>19.9238</v>
      </c>
      <c r="R491" s="21" t="n">
        <f aca="false">L491*Q491</f>
        <v>1952.5324</v>
      </c>
      <c r="S491" s="18" t="n">
        <f aca="false">L491*INDEX(Parametros!$B$20:$B$22,MATCH($E491,Parametros!$A$20:$A$22,0))</f>
        <v>83.3</v>
      </c>
      <c r="T491" s="18" t="n">
        <f aca="false">P491*INDEX(Parametros!$B$13:$B$16,MATCH($F491,Parametros!$A$13:$A$16,0))</f>
        <v>93.933</v>
      </c>
      <c r="U491" s="21" t="n">
        <f aca="false">P491-R491-S491-T491</f>
        <v>1001.3346</v>
      </c>
      <c r="V491" s="19" t="n">
        <f aca="false">IFERROR(U491/P491,0)</f>
        <v>0.319802816901409</v>
      </c>
      <c r="W491" s="48" t="n">
        <f aca="false">B491+INDEX(Parametros!$C$13:$C$16,MATCH($F491,Parametros!$A$13:$A$16,0))</f>
        <v>45874</v>
      </c>
      <c r="X491" s="31" t="s">
        <v>67</v>
      </c>
      <c r="Y491" s="53" t="n">
        <f aca="false">IF(COUNTIF($A$2:$A491,A491)=1,1,0)</f>
        <v>1</v>
      </c>
    </row>
    <row r="492" customFormat="false" ht="15" hidden="false" customHeight="false" outlineLevel="0" collapsed="false">
      <c r="A492" s="31" t="s">
        <v>507</v>
      </c>
      <c r="B492" s="36" t="n">
        <v>45814</v>
      </c>
      <c r="C492" s="49" t="n">
        <f aca="false">DATE(YEAR(B492),MONTH(B492),1)</f>
        <v>45809</v>
      </c>
      <c r="D492" s="31" t="s">
        <v>199</v>
      </c>
      <c r="E492" s="31" t="s">
        <v>41</v>
      </c>
      <c r="F492" s="31" t="s">
        <v>45</v>
      </c>
      <c r="G492" s="31" t="s">
        <v>58</v>
      </c>
      <c r="H492" s="31" t="s">
        <v>163</v>
      </c>
      <c r="I492" s="32" t="str">
        <f aca="false">INDEX(Productos!$B$2:$B$13,MATCH($H492,Productos!$A$2:$A$13,0))</f>
        <v>Tornillo DIN 933 M6x30 rosca completa zincado</v>
      </c>
      <c r="J492" s="32" t="str">
        <f aca="false">INDEX(Productos!$C$2:$C$13,MATCH($H492,Productos!$A$2:$A$13,0))</f>
        <v>Métrica</v>
      </c>
      <c r="K492" s="31" t="s">
        <v>246</v>
      </c>
      <c r="L492" s="46" t="n">
        <v>112</v>
      </c>
      <c r="M492" s="50" t="n">
        <f aca="false">INDEX(Productos!$F$2:$F$13,MATCH($H492,Productos!$A$2:$A$13,0))</f>
        <v>32</v>
      </c>
      <c r="N492" s="51" t="n">
        <v>0.128</v>
      </c>
      <c r="O492" s="52" t="n">
        <f aca="false">M492*(1-N492)</f>
        <v>27.904</v>
      </c>
      <c r="P492" s="21" t="n">
        <f aca="false">L492*O492</f>
        <v>3125.248</v>
      </c>
      <c r="Q492" s="50" t="n">
        <f aca="false">INDEX(Productos!$E$2:$E$13,MATCH($H492,Productos!$A$2:$A$13,0))*INDEX(Parametros!$B$26:$B$43,MATCH($C492,Parametros!$A$26:$A$43,0))</f>
        <v>17.0482</v>
      </c>
      <c r="R492" s="21" t="n">
        <f aca="false">L492*Q492</f>
        <v>1909.3984</v>
      </c>
      <c r="S492" s="18" t="n">
        <f aca="false">L492*INDEX(Parametros!$B$20:$B$22,MATCH($E492,Parametros!$A$20:$A$22,0))</f>
        <v>95.2</v>
      </c>
      <c r="T492" s="18" t="n">
        <f aca="false">P492*INDEX(Parametros!$B$13:$B$16,MATCH($F492,Parametros!$A$13:$A$16,0))</f>
        <v>93.75744</v>
      </c>
      <c r="U492" s="21" t="n">
        <f aca="false">P492-R492-S492-T492</f>
        <v>1026.89216</v>
      </c>
      <c r="V492" s="19" t="n">
        <f aca="false">IFERROR(U492/P492,0)</f>
        <v>0.328579415137615</v>
      </c>
      <c r="W492" s="48" t="n">
        <f aca="false">B492+INDEX(Parametros!$C$13:$C$16,MATCH($F492,Parametros!$A$13:$A$16,0))</f>
        <v>45874</v>
      </c>
      <c r="X492" s="31" t="s">
        <v>67</v>
      </c>
      <c r="Y492" s="53" t="n">
        <f aca="false">IF(COUNTIF($A$2:$A492,A492)=1,1,0)</f>
        <v>1</v>
      </c>
    </row>
    <row r="493" customFormat="false" ht="15" hidden="false" customHeight="false" outlineLevel="0" collapsed="false">
      <c r="A493" s="31" t="s">
        <v>507</v>
      </c>
      <c r="B493" s="36" t="n">
        <v>45814</v>
      </c>
      <c r="C493" s="49" t="n">
        <f aca="false">DATE(YEAR(B493),MONTH(B493),1)</f>
        <v>45809</v>
      </c>
      <c r="D493" s="31" t="s">
        <v>199</v>
      </c>
      <c r="E493" s="31" t="s">
        <v>41</v>
      </c>
      <c r="F493" s="31" t="s">
        <v>45</v>
      </c>
      <c r="G493" s="31" t="s">
        <v>58</v>
      </c>
      <c r="H493" s="31" t="s">
        <v>171</v>
      </c>
      <c r="I493" s="32" t="str">
        <f aca="false">INDEX(Productos!$B$2:$B$13,MATCH($H493,Productos!$A$2:$A$13,0))</f>
        <v>Tornillo DIN 7991 M8x30 avellanado inox A2</v>
      </c>
      <c r="J493" s="32" t="str">
        <f aca="false">INDEX(Productos!$C$2:$C$13,MATCH($H493,Productos!$A$2:$A$13,0))</f>
        <v>Inoxidable</v>
      </c>
      <c r="K493" s="31" t="s">
        <v>246</v>
      </c>
      <c r="L493" s="46" t="n">
        <v>58</v>
      </c>
      <c r="M493" s="50" t="n">
        <f aca="false">INDEX(Productos!$F$2:$F$13,MATCH($H493,Productos!$A$2:$A$13,0))</f>
        <v>88</v>
      </c>
      <c r="N493" s="51" t="n">
        <v>0.208</v>
      </c>
      <c r="O493" s="52" t="n">
        <f aca="false">M493*(1-N493)</f>
        <v>69.696</v>
      </c>
      <c r="P493" s="21" t="n">
        <f aca="false">L493*O493</f>
        <v>4042.368</v>
      </c>
      <c r="Q493" s="50" t="n">
        <f aca="false">INDEX(Productos!$E$2:$E$13,MATCH($H493,Productos!$A$2:$A$13,0))*INDEX(Parametros!$B$26:$B$43,MATCH($C493,Parametros!$A$26:$A$43,0))</f>
        <v>47.7555</v>
      </c>
      <c r="R493" s="21" t="n">
        <f aca="false">L493*Q493</f>
        <v>2769.819</v>
      </c>
      <c r="S493" s="18" t="n">
        <f aca="false">L493*INDEX(Parametros!$B$20:$B$22,MATCH($E493,Parametros!$A$20:$A$22,0))</f>
        <v>49.3</v>
      </c>
      <c r="T493" s="18" t="n">
        <f aca="false">P493*INDEX(Parametros!$B$13:$B$16,MATCH($F493,Parametros!$A$13:$A$16,0))</f>
        <v>121.27104</v>
      </c>
      <c r="U493" s="21" t="n">
        <f aca="false">P493-R493-S493-T493</f>
        <v>1101.97796</v>
      </c>
      <c r="V493" s="19" t="n">
        <f aca="false">IFERROR(U493/P493,0)</f>
        <v>0.272607036271809</v>
      </c>
      <c r="W493" s="48" t="n">
        <f aca="false">B493+INDEX(Parametros!$C$13:$C$16,MATCH($F493,Parametros!$A$13:$A$16,0))</f>
        <v>45874</v>
      </c>
      <c r="X493" s="31" t="s">
        <v>67</v>
      </c>
      <c r="Y493" s="53" t="n">
        <f aca="false">IF(COUNTIF($A$2:$A493,A493)=1,1,0)</f>
        <v>0</v>
      </c>
    </row>
    <row r="494" customFormat="false" ht="15" hidden="false" customHeight="false" outlineLevel="0" collapsed="false">
      <c r="A494" s="31" t="s">
        <v>507</v>
      </c>
      <c r="B494" s="36" t="n">
        <v>45814</v>
      </c>
      <c r="C494" s="49" t="n">
        <f aca="false">DATE(YEAR(B494),MONTH(B494),1)</f>
        <v>45809</v>
      </c>
      <c r="D494" s="31" t="s">
        <v>199</v>
      </c>
      <c r="E494" s="31" t="s">
        <v>41</v>
      </c>
      <c r="F494" s="31" t="s">
        <v>45</v>
      </c>
      <c r="G494" s="31" t="s">
        <v>58</v>
      </c>
      <c r="H494" s="31" t="s">
        <v>173</v>
      </c>
      <c r="I494" s="32" t="str">
        <f aca="false">INDEX(Productos!$B$2:$B$13,MATCH($H494,Productos!$A$2:$A$13,0))</f>
        <v>Tornillo DIN 933 M12x70 clase 8.8</v>
      </c>
      <c r="J494" s="32" t="str">
        <f aca="false">INDEX(Productos!$C$2:$C$13,MATCH($H494,Productos!$A$2:$A$13,0))</f>
        <v>Métrica</v>
      </c>
      <c r="K494" s="31" t="s">
        <v>246</v>
      </c>
      <c r="L494" s="46" t="n">
        <v>266</v>
      </c>
      <c r="M494" s="50" t="n">
        <f aca="false">INDEX(Productos!$F$2:$F$13,MATCH($H494,Productos!$A$2:$A$13,0))</f>
        <v>64</v>
      </c>
      <c r="N494" s="51" t="n">
        <v>0.151</v>
      </c>
      <c r="O494" s="52" t="n">
        <f aca="false">M494*(1-N494)</f>
        <v>54.336</v>
      </c>
      <c r="P494" s="21" t="n">
        <f aca="false">L494*O494</f>
        <v>14453.376</v>
      </c>
      <c r="Q494" s="50" t="n">
        <f aca="false">INDEX(Productos!$E$2:$E$13,MATCH($H494,Productos!$A$2:$A$13,0))*INDEX(Parametros!$B$26:$B$43,MATCH($C494,Parametros!$A$26:$A$43,0))</f>
        <v>34.4045</v>
      </c>
      <c r="R494" s="21" t="n">
        <f aca="false">L494*Q494</f>
        <v>9151.597</v>
      </c>
      <c r="S494" s="18" t="n">
        <f aca="false">L494*INDEX(Parametros!$B$20:$B$22,MATCH($E494,Parametros!$A$20:$A$22,0))</f>
        <v>226.1</v>
      </c>
      <c r="T494" s="18" t="n">
        <f aca="false">P494*INDEX(Parametros!$B$13:$B$16,MATCH($F494,Parametros!$A$13:$A$16,0))</f>
        <v>433.60128</v>
      </c>
      <c r="U494" s="21" t="n">
        <f aca="false">P494-R494-S494-T494</f>
        <v>4642.07772</v>
      </c>
      <c r="V494" s="19" t="n">
        <f aca="false">IFERROR(U494/P494,0)</f>
        <v>0.32117601590106</v>
      </c>
      <c r="W494" s="48" t="n">
        <f aca="false">B494+INDEX(Parametros!$C$13:$C$16,MATCH($F494,Parametros!$A$13:$A$16,0))</f>
        <v>45874</v>
      </c>
      <c r="X494" s="31" t="s">
        <v>67</v>
      </c>
      <c r="Y494" s="53" t="n">
        <f aca="false">IF(COUNTIF($A$2:$A494,A494)=1,1,0)</f>
        <v>0</v>
      </c>
    </row>
    <row r="495" customFormat="false" ht="15" hidden="false" customHeight="false" outlineLevel="0" collapsed="false">
      <c r="A495" s="31" t="s">
        <v>508</v>
      </c>
      <c r="B495" s="36" t="n">
        <v>45817</v>
      </c>
      <c r="C495" s="49" t="n">
        <f aca="false">DATE(YEAR(B495),MONTH(B495),1)</f>
        <v>45809</v>
      </c>
      <c r="D495" s="31" t="s">
        <v>226</v>
      </c>
      <c r="E495" s="31" t="s">
        <v>43</v>
      </c>
      <c r="F495" s="31" t="s">
        <v>46</v>
      </c>
      <c r="G495" s="31" t="s">
        <v>59</v>
      </c>
      <c r="H495" s="31" t="s">
        <v>169</v>
      </c>
      <c r="I495" s="32" t="str">
        <f aca="false">INDEX(Productos!$B$2:$B$13,MATCH($H495,Productos!$A$2:$A$13,0))</f>
        <v>Tornillo DIN 912 M10x60 Allen inox A2</v>
      </c>
      <c r="J495" s="32" t="str">
        <f aca="false">INDEX(Productos!$C$2:$C$13,MATCH($H495,Productos!$A$2:$A$13,0))</f>
        <v>Inoxidable</v>
      </c>
      <c r="K495" s="31" t="s">
        <v>246</v>
      </c>
      <c r="L495" s="46" t="n">
        <v>277</v>
      </c>
      <c r="M495" s="50" t="n">
        <f aca="false">INDEX(Productos!$F$2:$F$13,MATCH($H495,Productos!$A$2:$A$13,0))</f>
        <v>79</v>
      </c>
      <c r="N495" s="51" t="n">
        <v>0.1</v>
      </c>
      <c r="O495" s="52" t="n">
        <f aca="false">M495*(1-N495)</f>
        <v>71.1</v>
      </c>
      <c r="P495" s="21" t="n">
        <f aca="false">L495*O495</f>
        <v>19694.7</v>
      </c>
      <c r="Q495" s="50" t="n">
        <f aca="false">INDEX(Productos!$E$2:$E$13,MATCH($H495,Productos!$A$2:$A$13,0))*INDEX(Parametros!$B$26:$B$43,MATCH($C495,Parametros!$A$26:$A$43,0))</f>
        <v>43.134</v>
      </c>
      <c r="R495" s="21" t="n">
        <f aca="false">L495*Q495</f>
        <v>11948.118</v>
      </c>
      <c r="S495" s="18" t="n">
        <f aca="false">L495*INDEX(Parametros!$B$20:$B$22,MATCH($E495,Parametros!$A$20:$A$22,0))</f>
        <v>526.3</v>
      </c>
      <c r="T495" s="18" t="n">
        <f aca="false">P495*INDEX(Parametros!$B$13:$B$16,MATCH($F495,Parametros!$A$13:$A$16,0))</f>
        <v>787.788</v>
      </c>
      <c r="U495" s="21" t="n">
        <f aca="false">P495-R495-S495-T495</f>
        <v>6432.494</v>
      </c>
      <c r="V495" s="19" t="n">
        <f aca="false">IFERROR(U495/P495,0)</f>
        <v>0.326610407876231</v>
      </c>
      <c r="W495" s="48" t="n">
        <f aca="false">B495+INDEX(Parametros!$C$13:$C$16,MATCH($F495,Parametros!$A$13:$A$16,0))</f>
        <v>45892</v>
      </c>
      <c r="X495" s="31" t="s">
        <v>67</v>
      </c>
      <c r="Y495" s="53" t="n">
        <f aca="false">IF(COUNTIF($A$2:$A495,A495)=1,1,0)</f>
        <v>1</v>
      </c>
    </row>
    <row r="496" customFormat="false" ht="15" hidden="false" customHeight="false" outlineLevel="0" collapsed="false">
      <c r="A496" s="31" t="s">
        <v>509</v>
      </c>
      <c r="B496" s="36" t="n">
        <v>45817</v>
      </c>
      <c r="C496" s="49" t="n">
        <f aca="false">DATE(YEAR(B496),MONTH(B496),1)</f>
        <v>45809</v>
      </c>
      <c r="D496" s="31" t="s">
        <v>198</v>
      </c>
      <c r="E496" s="31" t="s">
        <v>41</v>
      </c>
      <c r="F496" s="31" t="s">
        <v>46</v>
      </c>
      <c r="G496" s="31" t="s">
        <v>58</v>
      </c>
      <c r="H496" s="31" t="s">
        <v>177</v>
      </c>
      <c r="I496" s="32" t="str">
        <f aca="false">INDEX(Productos!$B$2:$B$13,MATCH($H496,Productos!$A$2:$A$13,0))</f>
        <v>Tirafondo madera 6x100 cabeza plana Torx</v>
      </c>
      <c r="J496" s="32" t="str">
        <f aca="false">INDEX(Productos!$C$2:$C$13,MATCH($H496,Productos!$A$2:$A$13,0))</f>
        <v>Madera</v>
      </c>
      <c r="K496" s="31" t="s">
        <v>246</v>
      </c>
      <c r="L496" s="46" t="n">
        <v>227</v>
      </c>
      <c r="M496" s="50" t="n">
        <f aca="false">INDEX(Productos!$F$2:$F$13,MATCH($H496,Productos!$A$2:$A$13,0))</f>
        <v>34</v>
      </c>
      <c r="N496" s="51" t="n">
        <v>0.083</v>
      </c>
      <c r="O496" s="52" t="n">
        <f aca="false">M496*(1-N496)</f>
        <v>31.178</v>
      </c>
      <c r="P496" s="21" t="n">
        <f aca="false">L496*O496</f>
        <v>7077.406</v>
      </c>
      <c r="Q496" s="50" t="n">
        <f aca="false">INDEX(Productos!$E$2:$E$13,MATCH($H496,Productos!$A$2:$A$13,0))*INDEX(Parametros!$B$26:$B$43,MATCH($C496,Parametros!$A$26:$A$43,0))</f>
        <v>18.2806</v>
      </c>
      <c r="R496" s="21" t="n">
        <f aca="false">L496*Q496</f>
        <v>4149.6962</v>
      </c>
      <c r="S496" s="18" t="n">
        <f aca="false">L496*INDEX(Parametros!$B$20:$B$22,MATCH($E496,Parametros!$A$20:$A$22,0))</f>
        <v>192.95</v>
      </c>
      <c r="T496" s="18" t="n">
        <f aca="false">P496*INDEX(Parametros!$B$13:$B$16,MATCH($F496,Parametros!$A$13:$A$16,0))</f>
        <v>283.09624</v>
      </c>
      <c r="U496" s="21" t="n">
        <f aca="false">P496-R496-S496-T496</f>
        <v>2451.66356</v>
      </c>
      <c r="V496" s="19" t="n">
        <f aca="false">IFERROR(U496/P496,0)</f>
        <v>0.346407081916736</v>
      </c>
      <c r="W496" s="48" t="n">
        <f aca="false">B496+INDEX(Parametros!$C$13:$C$16,MATCH($F496,Parametros!$A$13:$A$16,0))</f>
        <v>45892</v>
      </c>
      <c r="X496" s="31" t="s">
        <v>67</v>
      </c>
      <c r="Y496" s="53" t="n">
        <f aca="false">IF(COUNTIF($A$2:$A496,A496)=1,1,0)</f>
        <v>1</v>
      </c>
    </row>
    <row r="497" customFormat="false" ht="15" hidden="false" customHeight="false" outlineLevel="0" collapsed="false">
      <c r="A497" s="31" t="s">
        <v>509</v>
      </c>
      <c r="B497" s="36" t="n">
        <v>45817</v>
      </c>
      <c r="C497" s="49" t="n">
        <f aca="false">DATE(YEAR(B497),MONTH(B497),1)</f>
        <v>45809</v>
      </c>
      <c r="D497" s="31" t="s">
        <v>198</v>
      </c>
      <c r="E497" s="31" t="s">
        <v>41</v>
      </c>
      <c r="F497" s="31" t="s">
        <v>46</v>
      </c>
      <c r="G497" s="31" t="s">
        <v>58</v>
      </c>
      <c r="H497" s="31" t="s">
        <v>165</v>
      </c>
      <c r="I497" s="32" t="str">
        <f aca="false">INDEX(Productos!$B$2:$B$13,MATCH($H497,Productos!$A$2:$A$13,0))</f>
        <v>Tornillo DIN 933 M8x40 rosca completa zincado</v>
      </c>
      <c r="J497" s="32" t="str">
        <f aca="false">INDEX(Productos!$C$2:$C$13,MATCH($H497,Productos!$A$2:$A$13,0))</f>
        <v>Métrica</v>
      </c>
      <c r="K497" s="31" t="s">
        <v>246</v>
      </c>
      <c r="L497" s="46" t="n">
        <v>98</v>
      </c>
      <c r="M497" s="50" t="n">
        <f aca="false">INDEX(Productos!$F$2:$F$13,MATCH($H497,Productos!$A$2:$A$13,0))</f>
        <v>37.5</v>
      </c>
      <c r="N497" s="51" t="n">
        <v>0.166</v>
      </c>
      <c r="O497" s="52" t="n">
        <f aca="false">M497*(1-N497)</f>
        <v>31.275</v>
      </c>
      <c r="P497" s="21" t="n">
        <f aca="false">L497*O497</f>
        <v>3064.95</v>
      </c>
      <c r="Q497" s="50" t="n">
        <f aca="false">INDEX(Productos!$E$2:$E$13,MATCH($H497,Productos!$A$2:$A$13,0))*INDEX(Parametros!$B$26:$B$43,MATCH($C497,Parametros!$A$26:$A$43,0))</f>
        <v>19.9238</v>
      </c>
      <c r="R497" s="21" t="n">
        <f aca="false">L497*Q497</f>
        <v>1952.5324</v>
      </c>
      <c r="S497" s="18" t="n">
        <f aca="false">L497*INDEX(Parametros!$B$20:$B$22,MATCH($E497,Parametros!$A$20:$A$22,0))</f>
        <v>83.3</v>
      </c>
      <c r="T497" s="18" t="n">
        <f aca="false">P497*INDEX(Parametros!$B$13:$B$16,MATCH($F497,Parametros!$A$13:$A$16,0))</f>
        <v>122.598</v>
      </c>
      <c r="U497" s="21" t="n">
        <f aca="false">P497-R497-S497-T497</f>
        <v>906.5196</v>
      </c>
      <c r="V497" s="19" t="n">
        <f aca="false">IFERROR(U497/P497,0)</f>
        <v>0.295769784172662</v>
      </c>
      <c r="W497" s="48" t="n">
        <f aca="false">B497+INDEX(Parametros!$C$13:$C$16,MATCH($F497,Parametros!$A$13:$A$16,0))</f>
        <v>45892</v>
      </c>
      <c r="X497" s="31" t="s">
        <v>67</v>
      </c>
      <c r="Y497" s="53" t="n">
        <f aca="false">IF(COUNTIF($A$2:$A497,A497)=1,1,0)</f>
        <v>0</v>
      </c>
    </row>
    <row r="498" customFormat="false" ht="15" hidden="false" customHeight="false" outlineLevel="0" collapsed="false">
      <c r="A498" s="31" t="s">
        <v>509</v>
      </c>
      <c r="B498" s="36" t="n">
        <v>45817</v>
      </c>
      <c r="C498" s="49" t="n">
        <f aca="false">DATE(YEAR(B498),MONTH(B498),1)</f>
        <v>45809</v>
      </c>
      <c r="D498" s="31" t="s">
        <v>198</v>
      </c>
      <c r="E498" s="31" t="s">
        <v>41</v>
      </c>
      <c r="F498" s="31" t="s">
        <v>46</v>
      </c>
      <c r="G498" s="31" t="s">
        <v>58</v>
      </c>
      <c r="H498" s="31" t="s">
        <v>169</v>
      </c>
      <c r="I498" s="32" t="str">
        <f aca="false">INDEX(Productos!$B$2:$B$13,MATCH($H498,Productos!$A$2:$A$13,0))</f>
        <v>Tornillo DIN 912 M10x60 Allen inox A2</v>
      </c>
      <c r="J498" s="32" t="str">
        <f aca="false">INDEX(Productos!$C$2:$C$13,MATCH($H498,Productos!$A$2:$A$13,0))</f>
        <v>Inoxidable</v>
      </c>
      <c r="K498" s="31" t="s">
        <v>246</v>
      </c>
      <c r="L498" s="46" t="n">
        <v>303</v>
      </c>
      <c r="M498" s="50" t="n">
        <f aca="false">INDEX(Productos!$F$2:$F$13,MATCH($H498,Productos!$A$2:$A$13,0))</f>
        <v>79</v>
      </c>
      <c r="N498" s="51" t="n">
        <v>0.112</v>
      </c>
      <c r="O498" s="52" t="n">
        <f aca="false">M498*(1-N498)</f>
        <v>70.152</v>
      </c>
      <c r="P498" s="21" t="n">
        <f aca="false">L498*O498</f>
        <v>21256.056</v>
      </c>
      <c r="Q498" s="50" t="n">
        <f aca="false">INDEX(Productos!$E$2:$E$13,MATCH($H498,Productos!$A$2:$A$13,0))*INDEX(Parametros!$B$26:$B$43,MATCH($C498,Parametros!$A$26:$A$43,0))</f>
        <v>43.134</v>
      </c>
      <c r="R498" s="21" t="n">
        <f aca="false">L498*Q498</f>
        <v>13069.602</v>
      </c>
      <c r="S498" s="18" t="n">
        <f aca="false">L498*INDEX(Parametros!$B$20:$B$22,MATCH($E498,Parametros!$A$20:$A$22,0))</f>
        <v>257.55</v>
      </c>
      <c r="T498" s="18" t="n">
        <f aca="false">P498*INDEX(Parametros!$B$13:$B$16,MATCH($F498,Parametros!$A$13:$A$16,0))</f>
        <v>850.24224</v>
      </c>
      <c r="U498" s="21" t="n">
        <f aca="false">P498-R498-S498-T498</f>
        <v>7078.66176</v>
      </c>
      <c r="V498" s="19" t="n">
        <f aca="false">IFERROR(U498/P498,0)</f>
        <v>0.333018588208462</v>
      </c>
      <c r="W498" s="48" t="n">
        <f aca="false">B498+INDEX(Parametros!$C$13:$C$16,MATCH($F498,Parametros!$A$13:$A$16,0))</f>
        <v>45892</v>
      </c>
      <c r="X498" s="31" t="s">
        <v>67</v>
      </c>
      <c r="Y498" s="53" t="n">
        <f aca="false">IF(COUNTIF($A$2:$A498,A498)=1,1,0)</f>
        <v>0</v>
      </c>
    </row>
    <row r="499" customFormat="false" ht="15" hidden="false" customHeight="false" outlineLevel="0" collapsed="false">
      <c r="A499" s="31" t="s">
        <v>510</v>
      </c>
      <c r="B499" s="36" t="n">
        <v>45817</v>
      </c>
      <c r="C499" s="49" t="n">
        <f aca="false">DATE(YEAR(B499),MONTH(B499),1)</f>
        <v>45809</v>
      </c>
      <c r="D499" s="31" t="s">
        <v>205</v>
      </c>
      <c r="E499" s="31" t="s">
        <v>41</v>
      </c>
      <c r="F499" s="31" t="s">
        <v>45</v>
      </c>
      <c r="G499" s="31" t="s">
        <v>62</v>
      </c>
      <c r="H499" s="31" t="s">
        <v>183</v>
      </c>
      <c r="I499" s="32" t="str">
        <f aca="false">INDEX(Productos!$B$2:$B$13,MATCH($H499,Productos!$A$2:$A$13,0))</f>
        <v>Tornillo estructural M16x90 clase 10.9</v>
      </c>
      <c r="J499" s="32" t="str">
        <f aca="false">INDEX(Productos!$C$2:$C$13,MATCH($H499,Productos!$A$2:$A$13,0))</f>
        <v>Especial</v>
      </c>
      <c r="K499" s="31" t="s">
        <v>246</v>
      </c>
      <c r="L499" s="46" t="n">
        <v>96</v>
      </c>
      <c r="M499" s="50" t="n">
        <f aca="false">INDEX(Productos!$F$2:$F$13,MATCH($H499,Productos!$A$2:$A$13,0))</f>
        <v>112</v>
      </c>
      <c r="N499" s="51" t="n">
        <v>0.203</v>
      </c>
      <c r="O499" s="52" t="n">
        <f aca="false">M499*(1-N499)</f>
        <v>89.264</v>
      </c>
      <c r="P499" s="21" t="n">
        <f aca="false">L499*O499</f>
        <v>8569.344</v>
      </c>
      <c r="Q499" s="50" t="n">
        <f aca="false">INDEX(Productos!$E$2:$E$13,MATCH($H499,Productos!$A$2:$A$13,0))*INDEX(Parametros!$B$26:$B$43,MATCH($C499,Parametros!$A$26:$A$43,0))</f>
        <v>61.62</v>
      </c>
      <c r="R499" s="21" t="n">
        <f aca="false">L499*Q499</f>
        <v>5915.52</v>
      </c>
      <c r="S499" s="18" t="n">
        <f aca="false">L499*INDEX(Parametros!$B$20:$B$22,MATCH($E499,Parametros!$A$20:$A$22,0))</f>
        <v>81.6</v>
      </c>
      <c r="T499" s="18" t="n">
        <f aca="false">P499*INDEX(Parametros!$B$13:$B$16,MATCH($F499,Parametros!$A$13:$A$16,0))</f>
        <v>257.08032</v>
      </c>
      <c r="U499" s="21" t="n">
        <f aca="false">P499-R499-S499-T499</f>
        <v>2315.14368</v>
      </c>
      <c r="V499" s="19" t="n">
        <f aca="false">IFERROR(U499/P499,0)</f>
        <v>0.270165800322638</v>
      </c>
      <c r="W499" s="48" t="n">
        <f aca="false">B499+INDEX(Parametros!$C$13:$C$16,MATCH($F499,Parametros!$A$13:$A$16,0))</f>
        <v>45877</v>
      </c>
      <c r="X499" s="31" t="s">
        <v>67</v>
      </c>
      <c r="Y499" s="53" t="n">
        <f aca="false">IF(COUNTIF($A$2:$A499,A499)=1,1,0)</f>
        <v>1</v>
      </c>
    </row>
    <row r="500" customFormat="false" ht="15" hidden="false" customHeight="false" outlineLevel="0" collapsed="false">
      <c r="A500" s="31" t="s">
        <v>511</v>
      </c>
      <c r="B500" s="36" t="n">
        <v>45819</v>
      </c>
      <c r="C500" s="49" t="n">
        <f aca="false">DATE(YEAR(B500),MONTH(B500),1)</f>
        <v>45809</v>
      </c>
      <c r="D500" s="31" t="s">
        <v>205</v>
      </c>
      <c r="E500" s="31" t="s">
        <v>41</v>
      </c>
      <c r="F500" s="31" t="s">
        <v>45</v>
      </c>
      <c r="G500" s="31" t="s">
        <v>62</v>
      </c>
      <c r="H500" s="31" t="s">
        <v>185</v>
      </c>
      <c r="I500" s="32" t="str">
        <f aca="false">INDEX(Productos!$B$2:$B$13,MATCH($H500,Productos!$A$2:$A$13,0))</f>
        <v>Varilla roscada M10 x 1 m zincada</v>
      </c>
      <c r="J500" s="32" t="str">
        <f aca="false">INDEX(Productos!$C$2:$C$13,MATCH($H500,Productos!$A$2:$A$13,0))</f>
        <v>Especial</v>
      </c>
      <c r="K500" s="31" t="s">
        <v>246</v>
      </c>
      <c r="L500" s="46" t="n">
        <v>39</v>
      </c>
      <c r="M500" s="50" t="n">
        <f aca="false">INDEX(Productos!$F$2:$F$13,MATCH($H500,Productos!$A$2:$A$13,0))</f>
        <v>54</v>
      </c>
      <c r="N500" s="51" t="n">
        <v>0.135</v>
      </c>
      <c r="O500" s="52" t="n">
        <f aca="false">M500*(1-N500)</f>
        <v>46.71</v>
      </c>
      <c r="P500" s="21" t="n">
        <f aca="false">L500*O500</f>
        <v>1821.69</v>
      </c>
      <c r="Q500" s="50" t="n">
        <f aca="false">INDEX(Productos!$E$2:$E$13,MATCH($H500,Productos!$A$2:$A$13,0))*INDEX(Parametros!$B$26:$B$43,MATCH($C500,Parametros!$A$26:$A$43,0))</f>
        <v>29.2695</v>
      </c>
      <c r="R500" s="21" t="n">
        <f aca="false">L500*Q500</f>
        <v>1141.5105</v>
      </c>
      <c r="S500" s="18" t="n">
        <f aca="false">L500*INDEX(Parametros!$B$20:$B$22,MATCH($E500,Parametros!$A$20:$A$22,0))</f>
        <v>33.15</v>
      </c>
      <c r="T500" s="18" t="n">
        <f aca="false">P500*INDEX(Parametros!$B$13:$B$16,MATCH($F500,Parametros!$A$13:$A$16,0))</f>
        <v>54.6507</v>
      </c>
      <c r="U500" s="21" t="n">
        <f aca="false">P500-R500-S500-T500</f>
        <v>592.3788</v>
      </c>
      <c r="V500" s="19" t="n">
        <f aca="false">IFERROR(U500/P500,0)</f>
        <v>0.3251809034468</v>
      </c>
      <c r="W500" s="48" t="n">
        <f aca="false">B500+INDEX(Parametros!$C$13:$C$16,MATCH($F500,Parametros!$A$13:$A$16,0))</f>
        <v>45879</v>
      </c>
      <c r="X500" s="31" t="s">
        <v>69</v>
      </c>
      <c r="Y500" s="53" t="n">
        <f aca="false">IF(COUNTIF($A$2:$A500,A500)=1,1,0)</f>
        <v>1</v>
      </c>
    </row>
    <row r="501" customFormat="false" ht="15" hidden="false" customHeight="false" outlineLevel="0" collapsed="false">
      <c r="A501" s="31" t="s">
        <v>512</v>
      </c>
      <c r="B501" s="36" t="n">
        <v>45819</v>
      </c>
      <c r="C501" s="49" t="n">
        <f aca="false">DATE(YEAR(B501),MONTH(B501),1)</f>
        <v>45809</v>
      </c>
      <c r="D501" s="31" t="s">
        <v>209</v>
      </c>
      <c r="E501" s="31" t="s">
        <v>41</v>
      </c>
      <c r="F501" s="31" t="s">
        <v>45</v>
      </c>
      <c r="G501" s="31" t="s">
        <v>62</v>
      </c>
      <c r="H501" s="31" t="s">
        <v>185</v>
      </c>
      <c r="I501" s="32" t="str">
        <f aca="false">INDEX(Productos!$B$2:$B$13,MATCH($H501,Productos!$A$2:$A$13,0))</f>
        <v>Varilla roscada M10 x 1 m zincada</v>
      </c>
      <c r="J501" s="32" t="str">
        <f aca="false">INDEX(Productos!$C$2:$C$13,MATCH($H501,Productos!$A$2:$A$13,0))</f>
        <v>Especial</v>
      </c>
      <c r="K501" s="31" t="s">
        <v>246</v>
      </c>
      <c r="L501" s="46" t="n">
        <v>25</v>
      </c>
      <c r="M501" s="50" t="n">
        <f aca="false">INDEX(Productos!$F$2:$F$13,MATCH($H501,Productos!$A$2:$A$13,0))</f>
        <v>54</v>
      </c>
      <c r="N501" s="51" t="n">
        <v>0.157</v>
      </c>
      <c r="O501" s="52" t="n">
        <f aca="false">M501*(1-N501)</f>
        <v>45.522</v>
      </c>
      <c r="P501" s="21" t="n">
        <f aca="false">L501*O501</f>
        <v>1138.05</v>
      </c>
      <c r="Q501" s="50" t="n">
        <f aca="false">INDEX(Productos!$E$2:$E$13,MATCH($H501,Productos!$A$2:$A$13,0))*INDEX(Parametros!$B$26:$B$43,MATCH($C501,Parametros!$A$26:$A$43,0))</f>
        <v>29.2695</v>
      </c>
      <c r="R501" s="21" t="n">
        <f aca="false">L501*Q501</f>
        <v>731.7375</v>
      </c>
      <c r="S501" s="18" t="n">
        <f aca="false">L501*INDEX(Parametros!$B$20:$B$22,MATCH($E501,Parametros!$A$20:$A$22,0))</f>
        <v>21.25</v>
      </c>
      <c r="T501" s="18" t="n">
        <f aca="false">P501*INDEX(Parametros!$B$13:$B$16,MATCH($F501,Parametros!$A$13:$A$16,0))</f>
        <v>34.1415</v>
      </c>
      <c r="U501" s="21" t="n">
        <f aca="false">P501-R501-S501-T501</f>
        <v>350.921</v>
      </c>
      <c r="V501" s="19" t="n">
        <f aca="false">IFERROR(U501/P501,0)</f>
        <v>0.30835288431967</v>
      </c>
      <c r="W501" s="48" t="n">
        <f aca="false">B501+INDEX(Parametros!$C$13:$C$16,MATCH($F501,Parametros!$A$13:$A$16,0))</f>
        <v>45879</v>
      </c>
      <c r="X501" s="31" t="s">
        <v>67</v>
      </c>
      <c r="Y501" s="53" t="n">
        <f aca="false">IF(COUNTIF($A$2:$A501,A501)=1,1,0)</f>
        <v>1</v>
      </c>
    </row>
    <row r="502" customFormat="false" ht="15" hidden="false" customHeight="false" outlineLevel="0" collapsed="false">
      <c r="A502" s="31" t="s">
        <v>513</v>
      </c>
      <c r="B502" s="36" t="n">
        <v>45820</v>
      </c>
      <c r="C502" s="49" t="n">
        <f aca="false">DATE(YEAR(B502),MONTH(B502),1)</f>
        <v>45809</v>
      </c>
      <c r="D502" s="31" t="s">
        <v>221</v>
      </c>
      <c r="E502" s="31" t="s">
        <v>43</v>
      </c>
      <c r="F502" s="31" t="s">
        <v>45</v>
      </c>
      <c r="G502" s="31" t="s">
        <v>59</v>
      </c>
      <c r="H502" s="31" t="s">
        <v>179</v>
      </c>
      <c r="I502" s="32" t="str">
        <f aca="false">INDEX(Productos!$B$2:$B$13,MATCH($H502,Productos!$A$2:$A$13,0))</f>
        <v>Autotaladrante DIN 7504 4,8x38 zincado</v>
      </c>
      <c r="J502" s="32" t="str">
        <f aca="false">INDEX(Productos!$C$2:$C$13,MATCH($H502,Productos!$A$2:$A$13,0))</f>
        <v>Autotaladrante</v>
      </c>
      <c r="K502" s="31" t="s">
        <v>246</v>
      </c>
      <c r="L502" s="46" t="n">
        <v>21</v>
      </c>
      <c r="M502" s="50" t="n">
        <f aca="false">INDEX(Productos!$F$2:$F$13,MATCH($H502,Productos!$A$2:$A$13,0))</f>
        <v>29.5</v>
      </c>
      <c r="N502" s="51" t="n">
        <v>0.128</v>
      </c>
      <c r="O502" s="52" t="n">
        <f aca="false">M502*(1-N502)</f>
        <v>25.724</v>
      </c>
      <c r="P502" s="21" t="n">
        <f aca="false">L502*O502</f>
        <v>540.204</v>
      </c>
      <c r="Q502" s="50" t="n">
        <f aca="false">INDEX(Productos!$E$2:$E$13,MATCH($H502,Productos!$A$2:$A$13,0))*INDEX(Parametros!$B$26:$B$43,MATCH($C502,Parametros!$A$26:$A$43,0))</f>
        <v>15.6104</v>
      </c>
      <c r="R502" s="21" t="n">
        <f aca="false">L502*Q502</f>
        <v>327.8184</v>
      </c>
      <c r="S502" s="18" t="n">
        <f aca="false">L502*INDEX(Parametros!$B$20:$B$22,MATCH($E502,Parametros!$A$20:$A$22,0))</f>
        <v>39.9</v>
      </c>
      <c r="T502" s="18" t="n">
        <f aca="false">P502*INDEX(Parametros!$B$13:$B$16,MATCH($F502,Parametros!$A$13:$A$16,0))</f>
        <v>16.20612</v>
      </c>
      <c r="U502" s="21" t="n">
        <f aca="false">P502-R502-S502-T502</f>
        <v>156.27948</v>
      </c>
      <c r="V502" s="19" t="n">
        <f aca="false">IFERROR(U502/P502,0)</f>
        <v>0.289297154408335</v>
      </c>
      <c r="W502" s="48" t="n">
        <f aca="false">B502+INDEX(Parametros!$C$13:$C$16,MATCH($F502,Parametros!$A$13:$A$16,0))</f>
        <v>45880</v>
      </c>
      <c r="X502" s="31" t="s">
        <v>67</v>
      </c>
      <c r="Y502" s="53" t="n">
        <f aca="false">IF(COUNTIF($A$2:$A502,A502)=1,1,0)</f>
        <v>1</v>
      </c>
    </row>
    <row r="503" customFormat="false" ht="15" hidden="false" customHeight="false" outlineLevel="0" collapsed="false">
      <c r="A503" s="31" t="s">
        <v>513</v>
      </c>
      <c r="B503" s="36" t="n">
        <v>45820</v>
      </c>
      <c r="C503" s="49" t="n">
        <f aca="false">DATE(YEAR(B503),MONTH(B503),1)</f>
        <v>45809</v>
      </c>
      <c r="D503" s="31" t="s">
        <v>221</v>
      </c>
      <c r="E503" s="31" t="s">
        <v>43</v>
      </c>
      <c r="F503" s="31" t="s">
        <v>45</v>
      </c>
      <c r="G503" s="31" t="s">
        <v>59</v>
      </c>
      <c r="H503" s="31" t="s">
        <v>183</v>
      </c>
      <c r="I503" s="32" t="str">
        <f aca="false">INDEX(Productos!$B$2:$B$13,MATCH($H503,Productos!$A$2:$A$13,0))</f>
        <v>Tornillo estructural M16x90 clase 10.9</v>
      </c>
      <c r="J503" s="32" t="str">
        <f aca="false">INDEX(Productos!$C$2:$C$13,MATCH($H503,Productos!$A$2:$A$13,0))</f>
        <v>Especial</v>
      </c>
      <c r="K503" s="31" t="s">
        <v>246</v>
      </c>
      <c r="L503" s="46" t="n">
        <v>99</v>
      </c>
      <c r="M503" s="50" t="n">
        <f aca="false">INDEX(Productos!$F$2:$F$13,MATCH($H503,Productos!$A$2:$A$13,0))</f>
        <v>112</v>
      </c>
      <c r="N503" s="51" t="n">
        <v>0.125</v>
      </c>
      <c r="O503" s="52" t="n">
        <f aca="false">M503*(1-N503)</f>
        <v>98</v>
      </c>
      <c r="P503" s="21" t="n">
        <f aca="false">L503*O503</f>
        <v>9702</v>
      </c>
      <c r="Q503" s="50" t="n">
        <f aca="false">INDEX(Productos!$E$2:$E$13,MATCH($H503,Productos!$A$2:$A$13,0))*INDEX(Parametros!$B$26:$B$43,MATCH($C503,Parametros!$A$26:$A$43,0))</f>
        <v>61.62</v>
      </c>
      <c r="R503" s="21" t="n">
        <f aca="false">L503*Q503</f>
        <v>6100.38</v>
      </c>
      <c r="S503" s="18" t="n">
        <f aca="false">L503*INDEX(Parametros!$B$20:$B$22,MATCH($E503,Parametros!$A$20:$A$22,0))</f>
        <v>188.1</v>
      </c>
      <c r="T503" s="18" t="n">
        <f aca="false">P503*INDEX(Parametros!$B$13:$B$16,MATCH($F503,Parametros!$A$13:$A$16,0))</f>
        <v>291.06</v>
      </c>
      <c r="U503" s="21" t="n">
        <f aca="false">P503-R503-S503-T503</f>
        <v>3122.46</v>
      </c>
      <c r="V503" s="19" t="n">
        <f aca="false">IFERROR(U503/P503,0)</f>
        <v>0.321836734693878</v>
      </c>
      <c r="W503" s="48" t="n">
        <f aca="false">B503+INDEX(Parametros!$C$13:$C$16,MATCH($F503,Parametros!$A$13:$A$16,0))</f>
        <v>45880</v>
      </c>
      <c r="X503" s="31" t="s">
        <v>67</v>
      </c>
      <c r="Y503" s="53" t="n">
        <f aca="false">IF(COUNTIF($A$2:$A503,A503)=1,1,0)</f>
        <v>0</v>
      </c>
    </row>
    <row r="504" customFormat="false" ht="15" hidden="false" customHeight="false" outlineLevel="0" collapsed="false">
      <c r="A504" s="31" t="s">
        <v>514</v>
      </c>
      <c r="B504" s="36" t="n">
        <v>45820</v>
      </c>
      <c r="C504" s="49" t="n">
        <f aca="false">DATE(YEAR(B504),MONTH(B504),1)</f>
        <v>45809</v>
      </c>
      <c r="D504" s="31" t="s">
        <v>204</v>
      </c>
      <c r="E504" s="31" t="s">
        <v>41</v>
      </c>
      <c r="F504" s="31" t="s">
        <v>47</v>
      </c>
      <c r="G504" s="31" t="s">
        <v>62</v>
      </c>
      <c r="H504" s="31" t="s">
        <v>171</v>
      </c>
      <c r="I504" s="32" t="str">
        <f aca="false">INDEX(Productos!$B$2:$B$13,MATCH($H504,Productos!$A$2:$A$13,0))</f>
        <v>Tornillo DIN 7991 M8x30 avellanado inox A2</v>
      </c>
      <c r="J504" s="32" t="str">
        <f aca="false">INDEX(Productos!$C$2:$C$13,MATCH($H504,Productos!$A$2:$A$13,0))</f>
        <v>Inoxidable</v>
      </c>
      <c r="K504" s="31" t="s">
        <v>246</v>
      </c>
      <c r="L504" s="46" t="n">
        <v>36</v>
      </c>
      <c r="M504" s="50" t="n">
        <f aca="false">INDEX(Productos!$F$2:$F$13,MATCH($H504,Productos!$A$2:$A$13,0))</f>
        <v>88</v>
      </c>
      <c r="N504" s="51" t="n">
        <v>0.086</v>
      </c>
      <c r="O504" s="52" t="n">
        <f aca="false">M504*(1-N504)</f>
        <v>80.432</v>
      </c>
      <c r="P504" s="21" t="n">
        <f aca="false">L504*O504</f>
        <v>2895.552</v>
      </c>
      <c r="Q504" s="50" t="n">
        <f aca="false">INDEX(Productos!$E$2:$E$13,MATCH($H504,Productos!$A$2:$A$13,0))*INDEX(Parametros!$B$26:$B$43,MATCH($C504,Parametros!$A$26:$A$43,0))</f>
        <v>47.7555</v>
      </c>
      <c r="R504" s="21" t="n">
        <f aca="false">L504*Q504</f>
        <v>1719.198</v>
      </c>
      <c r="S504" s="18" t="n">
        <f aca="false">L504*INDEX(Parametros!$B$20:$B$22,MATCH($E504,Parametros!$A$20:$A$22,0))</f>
        <v>30.6</v>
      </c>
      <c r="T504" s="18" t="n">
        <f aca="false">P504*INDEX(Parametros!$B$13:$B$16,MATCH($F504,Parametros!$A$13:$A$16,0))</f>
        <v>101.34432</v>
      </c>
      <c r="U504" s="21" t="n">
        <f aca="false">P504-R504-S504-T504</f>
        <v>1044.40968</v>
      </c>
      <c r="V504" s="19" t="n">
        <f aca="false">IFERROR(U504/P504,0)</f>
        <v>0.360694499701611</v>
      </c>
      <c r="W504" s="48" t="n">
        <f aca="false">B504+INDEX(Parametros!$C$13:$C$16,MATCH($F504,Parametros!$A$13:$A$16,0))</f>
        <v>45865</v>
      </c>
      <c r="X504" s="31" t="s">
        <v>67</v>
      </c>
      <c r="Y504" s="53" t="n">
        <f aca="false">IF(COUNTIF($A$2:$A504,A504)=1,1,0)</f>
        <v>1</v>
      </c>
    </row>
    <row r="505" customFormat="false" ht="15" hidden="false" customHeight="false" outlineLevel="0" collapsed="false">
      <c r="A505" s="31" t="s">
        <v>515</v>
      </c>
      <c r="B505" s="36" t="n">
        <v>45820</v>
      </c>
      <c r="C505" s="49" t="n">
        <f aca="false">DATE(YEAR(B505),MONTH(B505),1)</f>
        <v>45809</v>
      </c>
      <c r="D505" s="31" t="s">
        <v>214</v>
      </c>
      <c r="E505" s="31" t="s">
        <v>42</v>
      </c>
      <c r="F505" s="31" t="s">
        <v>46</v>
      </c>
      <c r="G505" s="31" t="s">
        <v>61</v>
      </c>
      <c r="H505" s="31" t="s">
        <v>173</v>
      </c>
      <c r="I505" s="32" t="str">
        <f aca="false">INDEX(Productos!$B$2:$B$13,MATCH($H505,Productos!$A$2:$A$13,0))</f>
        <v>Tornillo DIN 933 M12x70 clase 8.8</v>
      </c>
      <c r="J505" s="32" t="str">
        <f aca="false">INDEX(Productos!$C$2:$C$13,MATCH($H505,Productos!$A$2:$A$13,0))</f>
        <v>Métrica</v>
      </c>
      <c r="K505" s="31" t="s">
        <v>246</v>
      </c>
      <c r="L505" s="46" t="n">
        <v>21</v>
      </c>
      <c r="M505" s="50" t="n">
        <f aca="false">INDEX(Productos!$F$2:$F$13,MATCH($H505,Productos!$A$2:$A$13,0))</f>
        <v>64</v>
      </c>
      <c r="N505" s="51" t="n">
        <v>0.158</v>
      </c>
      <c r="O505" s="52" t="n">
        <f aca="false">M505*(1-N505)</f>
        <v>53.888</v>
      </c>
      <c r="P505" s="21" t="n">
        <f aca="false">L505*O505</f>
        <v>1131.648</v>
      </c>
      <c r="Q505" s="50" t="n">
        <f aca="false">INDEX(Productos!$E$2:$E$13,MATCH($H505,Productos!$A$2:$A$13,0))*INDEX(Parametros!$B$26:$B$43,MATCH($C505,Parametros!$A$26:$A$43,0))</f>
        <v>34.4045</v>
      </c>
      <c r="R505" s="21" t="n">
        <f aca="false">L505*Q505</f>
        <v>722.4945</v>
      </c>
      <c r="S505" s="18" t="n">
        <f aca="false">L505*INDEX(Parametros!$B$20:$B$22,MATCH($E505,Parametros!$A$20:$A$22,0))</f>
        <v>50.4</v>
      </c>
      <c r="T505" s="18" t="n">
        <f aca="false">P505*INDEX(Parametros!$B$13:$B$16,MATCH($F505,Parametros!$A$13:$A$16,0))</f>
        <v>45.26592</v>
      </c>
      <c r="U505" s="21" t="n">
        <f aca="false">P505-R505-S505-T505</f>
        <v>313.48758</v>
      </c>
      <c r="V505" s="19" t="n">
        <f aca="false">IFERROR(U505/P505,0)</f>
        <v>0.277018631235154</v>
      </c>
      <c r="W505" s="48" t="n">
        <f aca="false">B505+INDEX(Parametros!$C$13:$C$16,MATCH($F505,Parametros!$A$13:$A$16,0))</f>
        <v>45895</v>
      </c>
      <c r="X505" s="31" t="s">
        <v>67</v>
      </c>
      <c r="Y505" s="53" t="n">
        <f aca="false">IF(COUNTIF($A$2:$A505,A505)=1,1,0)</f>
        <v>1</v>
      </c>
    </row>
    <row r="506" customFormat="false" ht="15" hidden="false" customHeight="false" outlineLevel="0" collapsed="false">
      <c r="A506" s="31" t="s">
        <v>515</v>
      </c>
      <c r="B506" s="36" t="n">
        <v>45820</v>
      </c>
      <c r="C506" s="49" t="n">
        <f aca="false">DATE(YEAR(B506),MONTH(B506),1)</f>
        <v>45809</v>
      </c>
      <c r="D506" s="31" t="s">
        <v>214</v>
      </c>
      <c r="E506" s="31" t="s">
        <v>42</v>
      </c>
      <c r="F506" s="31" t="s">
        <v>46</v>
      </c>
      <c r="G506" s="31" t="s">
        <v>61</v>
      </c>
      <c r="H506" s="31" t="s">
        <v>183</v>
      </c>
      <c r="I506" s="32" t="str">
        <f aca="false">INDEX(Productos!$B$2:$B$13,MATCH($H506,Productos!$A$2:$A$13,0))</f>
        <v>Tornillo estructural M16x90 clase 10.9</v>
      </c>
      <c r="J506" s="32" t="str">
        <f aca="false">INDEX(Productos!$C$2:$C$13,MATCH($H506,Productos!$A$2:$A$13,0))</f>
        <v>Especial</v>
      </c>
      <c r="K506" s="31" t="s">
        <v>246</v>
      </c>
      <c r="L506" s="46" t="n">
        <v>37</v>
      </c>
      <c r="M506" s="50" t="n">
        <f aca="false">INDEX(Productos!$F$2:$F$13,MATCH($H506,Productos!$A$2:$A$13,0))</f>
        <v>112</v>
      </c>
      <c r="N506" s="51" t="n">
        <v>0.084</v>
      </c>
      <c r="O506" s="52" t="n">
        <f aca="false">M506*(1-N506)</f>
        <v>102.592</v>
      </c>
      <c r="P506" s="21" t="n">
        <f aca="false">L506*O506</f>
        <v>3795.904</v>
      </c>
      <c r="Q506" s="50" t="n">
        <f aca="false">INDEX(Productos!$E$2:$E$13,MATCH($H506,Productos!$A$2:$A$13,0))*INDEX(Parametros!$B$26:$B$43,MATCH($C506,Parametros!$A$26:$A$43,0))</f>
        <v>61.62</v>
      </c>
      <c r="R506" s="21" t="n">
        <f aca="false">L506*Q506</f>
        <v>2279.94</v>
      </c>
      <c r="S506" s="18" t="n">
        <f aca="false">L506*INDEX(Parametros!$B$20:$B$22,MATCH($E506,Parametros!$A$20:$A$22,0))</f>
        <v>88.8</v>
      </c>
      <c r="T506" s="18" t="n">
        <f aca="false">P506*INDEX(Parametros!$B$13:$B$16,MATCH($F506,Parametros!$A$13:$A$16,0))</f>
        <v>151.83616</v>
      </c>
      <c r="U506" s="21" t="n">
        <f aca="false">P506-R506-S506-T506</f>
        <v>1275.32784</v>
      </c>
      <c r="V506" s="19" t="n">
        <f aca="false">IFERROR(U506/P506,0)</f>
        <v>0.335974734872115</v>
      </c>
      <c r="W506" s="48" t="n">
        <f aca="false">B506+INDEX(Parametros!$C$13:$C$16,MATCH($F506,Parametros!$A$13:$A$16,0))</f>
        <v>45895</v>
      </c>
      <c r="X506" s="31" t="s">
        <v>67</v>
      </c>
      <c r="Y506" s="53" t="n">
        <f aca="false">IF(COUNTIF($A$2:$A506,A506)=1,1,0)</f>
        <v>0</v>
      </c>
    </row>
    <row r="507" customFormat="false" ht="15" hidden="false" customHeight="false" outlineLevel="0" collapsed="false">
      <c r="A507" s="31" t="s">
        <v>516</v>
      </c>
      <c r="B507" s="36" t="n">
        <v>45824</v>
      </c>
      <c r="C507" s="49" t="n">
        <f aca="false">DATE(YEAR(B507),MONTH(B507),1)</f>
        <v>45809</v>
      </c>
      <c r="D507" s="31" t="s">
        <v>207</v>
      </c>
      <c r="E507" s="31" t="s">
        <v>41</v>
      </c>
      <c r="F507" s="31" t="s">
        <v>47</v>
      </c>
      <c r="G507" s="31" t="s">
        <v>62</v>
      </c>
      <c r="H507" s="31" t="s">
        <v>169</v>
      </c>
      <c r="I507" s="32" t="str">
        <f aca="false">INDEX(Productos!$B$2:$B$13,MATCH($H507,Productos!$A$2:$A$13,0))</f>
        <v>Tornillo DIN 912 M10x60 Allen inox A2</v>
      </c>
      <c r="J507" s="32" t="str">
        <f aca="false">INDEX(Productos!$C$2:$C$13,MATCH($H507,Productos!$A$2:$A$13,0))</f>
        <v>Inoxidable</v>
      </c>
      <c r="K507" s="31" t="s">
        <v>246</v>
      </c>
      <c r="L507" s="46" t="n">
        <v>56</v>
      </c>
      <c r="M507" s="50" t="n">
        <f aca="false">INDEX(Productos!$F$2:$F$13,MATCH($H507,Productos!$A$2:$A$13,0))</f>
        <v>79</v>
      </c>
      <c r="N507" s="51" t="n">
        <v>0.055</v>
      </c>
      <c r="O507" s="52" t="n">
        <f aca="false">M507*(1-N507)</f>
        <v>74.655</v>
      </c>
      <c r="P507" s="21" t="n">
        <f aca="false">L507*O507</f>
        <v>4180.68</v>
      </c>
      <c r="Q507" s="50" t="n">
        <f aca="false">INDEX(Productos!$E$2:$E$13,MATCH($H507,Productos!$A$2:$A$13,0))*INDEX(Parametros!$B$26:$B$43,MATCH($C507,Parametros!$A$26:$A$43,0))</f>
        <v>43.134</v>
      </c>
      <c r="R507" s="21" t="n">
        <f aca="false">L507*Q507</f>
        <v>2415.504</v>
      </c>
      <c r="S507" s="18" t="n">
        <f aca="false">L507*INDEX(Parametros!$B$20:$B$22,MATCH($E507,Parametros!$A$20:$A$22,0))</f>
        <v>47.6</v>
      </c>
      <c r="T507" s="18" t="n">
        <f aca="false">P507*INDEX(Parametros!$B$13:$B$16,MATCH($F507,Parametros!$A$13:$A$16,0))</f>
        <v>146.3238</v>
      </c>
      <c r="U507" s="21" t="n">
        <f aca="false">P507-R507-S507-T507</f>
        <v>1571.2522</v>
      </c>
      <c r="V507" s="19" t="n">
        <f aca="false">IFERROR(U507/P507,0)</f>
        <v>0.375836514633983</v>
      </c>
      <c r="W507" s="48" t="n">
        <f aca="false">B507+INDEX(Parametros!$C$13:$C$16,MATCH($F507,Parametros!$A$13:$A$16,0))</f>
        <v>45869</v>
      </c>
      <c r="X507" s="31" t="s">
        <v>67</v>
      </c>
      <c r="Y507" s="53" t="n">
        <f aca="false">IF(COUNTIF($A$2:$A507,A507)=1,1,0)</f>
        <v>1</v>
      </c>
    </row>
    <row r="508" customFormat="false" ht="15" hidden="false" customHeight="false" outlineLevel="0" collapsed="false">
      <c r="A508" s="31" t="s">
        <v>516</v>
      </c>
      <c r="B508" s="36" t="n">
        <v>45824</v>
      </c>
      <c r="C508" s="49" t="n">
        <f aca="false">DATE(YEAR(B508),MONTH(B508),1)</f>
        <v>45809</v>
      </c>
      <c r="D508" s="31" t="s">
        <v>207</v>
      </c>
      <c r="E508" s="31" t="s">
        <v>41</v>
      </c>
      <c r="F508" s="31" t="s">
        <v>47</v>
      </c>
      <c r="G508" s="31" t="s">
        <v>62</v>
      </c>
      <c r="H508" s="31" t="s">
        <v>183</v>
      </c>
      <c r="I508" s="32" t="str">
        <f aca="false">INDEX(Productos!$B$2:$B$13,MATCH($H508,Productos!$A$2:$A$13,0))</f>
        <v>Tornillo estructural M16x90 clase 10.9</v>
      </c>
      <c r="J508" s="32" t="str">
        <f aca="false">INDEX(Productos!$C$2:$C$13,MATCH($H508,Productos!$A$2:$A$13,0))</f>
        <v>Especial</v>
      </c>
      <c r="K508" s="31" t="s">
        <v>246</v>
      </c>
      <c r="L508" s="46" t="n">
        <v>16</v>
      </c>
      <c r="M508" s="50" t="n">
        <f aca="false">INDEX(Productos!$F$2:$F$13,MATCH($H508,Productos!$A$2:$A$13,0))</f>
        <v>112</v>
      </c>
      <c r="N508" s="51" t="n">
        <v>0.032</v>
      </c>
      <c r="O508" s="52" t="n">
        <f aca="false">M508*(1-N508)</f>
        <v>108.416</v>
      </c>
      <c r="P508" s="21" t="n">
        <f aca="false">L508*O508</f>
        <v>1734.656</v>
      </c>
      <c r="Q508" s="50" t="n">
        <f aca="false">INDEX(Productos!$E$2:$E$13,MATCH($H508,Productos!$A$2:$A$13,0))*INDEX(Parametros!$B$26:$B$43,MATCH($C508,Parametros!$A$26:$A$43,0))</f>
        <v>61.62</v>
      </c>
      <c r="R508" s="21" t="n">
        <f aca="false">L508*Q508</f>
        <v>985.92</v>
      </c>
      <c r="S508" s="18" t="n">
        <f aca="false">L508*INDEX(Parametros!$B$20:$B$22,MATCH($E508,Parametros!$A$20:$A$22,0))</f>
        <v>13.6</v>
      </c>
      <c r="T508" s="18" t="n">
        <f aca="false">P508*INDEX(Parametros!$B$13:$B$16,MATCH($F508,Parametros!$A$13:$A$16,0))</f>
        <v>60.71296</v>
      </c>
      <c r="U508" s="21" t="n">
        <f aca="false">P508-R508-S508-T508</f>
        <v>674.42304</v>
      </c>
      <c r="V508" s="19" t="n">
        <f aca="false">IFERROR(U508/P508,0)</f>
        <v>0.388793536009445</v>
      </c>
      <c r="W508" s="48" t="n">
        <f aca="false">B508+INDEX(Parametros!$C$13:$C$16,MATCH($F508,Parametros!$A$13:$A$16,0))</f>
        <v>45869</v>
      </c>
      <c r="X508" s="31" t="s">
        <v>69</v>
      </c>
      <c r="Y508" s="53" t="n">
        <f aca="false">IF(COUNTIF($A$2:$A508,A508)=1,1,0)</f>
        <v>0</v>
      </c>
    </row>
    <row r="509" customFormat="false" ht="15" hidden="false" customHeight="false" outlineLevel="0" collapsed="false">
      <c r="A509" s="31" t="s">
        <v>516</v>
      </c>
      <c r="B509" s="36" t="n">
        <v>45824</v>
      </c>
      <c r="C509" s="49" t="n">
        <f aca="false">DATE(YEAR(B509),MONTH(B509),1)</f>
        <v>45809</v>
      </c>
      <c r="D509" s="31" t="s">
        <v>207</v>
      </c>
      <c r="E509" s="31" t="s">
        <v>41</v>
      </c>
      <c r="F509" s="31" t="s">
        <v>47</v>
      </c>
      <c r="G509" s="31" t="s">
        <v>62</v>
      </c>
      <c r="H509" s="31" t="s">
        <v>163</v>
      </c>
      <c r="I509" s="32" t="str">
        <f aca="false">INDEX(Productos!$B$2:$B$13,MATCH($H509,Productos!$A$2:$A$13,0))</f>
        <v>Tornillo DIN 933 M6x30 rosca completa zincado</v>
      </c>
      <c r="J509" s="32" t="str">
        <f aca="false">INDEX(Productos!$C$2:$C$13,MATCH($H509,Productos!$A$2:$A$13,0))</f>
        <v>Métrica</v>
      </c>
      <c r="K509" s="31" t="s">
        <v>246</v>
      </c>
      <c r="L509" s="46" t="n">
        <v>34</v>
      </c>
      <c r="M509" s="50" t="n">
        <f aca="false">INDEX(Productos!$F$2:$F$13,MATCH($H509,Productos!$A$2:$A$13,0))</f>
        <v>32</v>
      </c>
      <c r="N509" s="51" t="n">
        <v>0.054</v>
      </c>
      <c r="O509" s="52" t="n">
        <f aca="false">M509*(1-N509)</f>
        <v>30.272</v>
      </c>
      <c r="P509" s="21" t="n">
        <f aca="false">L509*O509</f>
        <v>1029.248</v>
      </c>
      <c r="Q509" s="50" t="n">
        <f aca="false">INDEX(Productos!$E$2:$E$13,MATCH($H509,Productos!$A$2:$A$13,0))*INDEX(Parametros!$B$26:$B$43,MATCH($C509,Parametros!$A$26:$A$43,0))</f>
        <v>17.0482</v>
      </c>
      <c r="R509" s="21" t="n">
        <f aca="false">L509*Q509</f>
        <v>579.6388</v>
      </c>
      <c r="S509" s="18" t="n">
        <f aca="false">L509*INDEX(Parametros!$B$20:$B$22,MATCH($E509,Parametros!$A$20:$A$22,0))</f>
        <v>28.9</v>
      </c>
      <c r="T509" s="18" t="n">
        <f aca="false">P509*INDEX(Parametros!$B$13:$B$16,MATCH($F509,Parametros!$A$13:$A$16,0))</f>
        <v>36.02368</v>
      </c>
      <c r="U509" s="21" t="n">
        <f aca="false">P509-R509-S509-T509</f>
        <v>384.68552</v>
      </c>
      <c r="V509" s="19" t="n">
        <f aca="false">IFERROR(U509/P509,0)</f>
        <v>0.373753964059197</v>
      </c>
      <c r="W509" s="48" t="n">
        <f aca="false">B509+INDEX(Parametros!$C$13:$C$16,MATCH($F509,Parametros!$A$13:$A$16,0))</f>
        <v>45869</v>
      </c>
      <c r="X509" s="31" t="s">
        <v>67</v>
      </c>
      <c r="Y509" s="53" t="n">
        <f aca="false">IF(COUNTIF($A$2:$A509,A509)=1,1,0)</f>
        <v>0</v>
      </c>
    </row>
    <row r="510" customFormat="false" ht="15" hidden="false" customHeight="false" outlineLevel="0" collapsed="false">
      <c r="A510" s="31" t="s">
        <v>517</v>
      </c>
      <c r="B510" s="36" t="n">
        <v>45824</v>
      </c>
      <c r="C510" s="49" t="n">
        <f aca="false">DATE(YEAR(B510),MONTH(B510),1)</f>
        <v>45809</v>
      </c>
      <c r="D510" s="31" t="s">
        <v>193</v>
      </c>
      <c r="E510" s="31" t="s">
        <v>41</v>
      </c>
      <c r="F510" s="31" t="s">
        <v>45</v>
      </c>
      <c r="G510" s="31" t="s">
        <v>62</v>
      </c>
      <c r="H510" s="31" t="s">
        <v>173</v>
      </c>
      <c r="I510" s="32" t="str">
        <f aca="false">INDEX(Productos!$B$2:$B$13,MATCH($H510,Productos!$A$2:$A$13,0))</f>
        <v>Tornillo DIN 933 M12x70 clase 8.8</v>
      </c>
      <c r="J510" s="32" t="str">
        <f aca="false">INDEX(Productos!$C$2:$C$13,MATCH($H510,Productos!$A$2:$A$13,0))</f>
        <v>Métrica</v>
      </c>
      <c r="K510" s="31" t="s">
        <v>246</v>
      </c>
      <c r="L510" s="46" t="n">
        <v>240</v>
      </c>
      <c r="M510" s="50" t="n">
        <f aca="false">INDEX(Productos!$F$2:$F$13,MATCH($H510,Productos!$A$2:$A$13,0))</f>
        <v>64</v>
      </c>
      <c r="N510" s="51" t="n">
        <v>0.196</v>
      </c>
      <c r="O510" s="52" t="n">
        <f aca="false">M510*(1-N510)</f>
        <v>51.456</v>
      </c>
      <c r="P510" s="21" t="n">
        <f aca="false">L510*O510</f>
        <v>12349.44</v>
      </c>
      <c r="Q510" s="50" t="n">
        <f aca="false">INDEX(Productos!$E$2:$E$13,MATCH($H510,Productos!$A$2:$A$13,0))*INDEX(Parametros!$B$26:$B$43,MATCH($C510,Parametros!$A$26:$A$43,0))</f>
        <v>34.4045</v>
      </c>
      <c r="R510" s="21" t="n">
        <f aca="false">L510*Q510</f>
        <v>8257.08</v>
      </c>
      <c r="S510" s="18" t="n">
        <f aca="false">L510*INDEX(Parametros!$B$20:$B$22,MATCH($E510,Parametros!$A$20:$A$22,0))</f>
        <v>204</v>
      </c>
      <c r="T510" s="18" t="n">
        <f aca="false">P510*INDEX(Parametros!$B$13:$B$16,MATCH($F510,Parametros!$A$13:$A$16,0))</f>
        <v>370.4832</v>
      </c>
      <c r="U510" s="21" t="n">
        <f aca="false">P510-R510-S510-T510</f>
        <v>3517.8768</v>
      </c>
      <c r="V510" s="19" t="n">
        <f aca="false">IFERROR(U510/P510,0)</f>
        <v>0.284861240671642</v>
      </c>
      <c r="W510" s="48" t="n">
        <f aca="false">B510+INDEX(Parametros!$C$13:$C$16,MATCH($F510,Parametros!$A$13:$A$16,0))</f>
        <v>45884</v>
      </c>
      <c r="X510" s="31" t="s">
        <v>67</v>
      </c>
      <c r="Y510" s="53" t="n">
        <f aca="false">IF(COUNTIF($A$2:$A510,A510)=1,1,0)</f>
        <v>1</v>
      </c>
    </row>
    <row r="511" customFormat="false" ht="15" hidden="false" customHeight="false" outlineLevel="0" collapsed="false">
      <c r="A511" s="31" t="s">
        <v>517</v>
      </c>
      <c r="B511" s="36" t="n">
        <v>45824</v>
      </c>
      <c r="C511" s="49" t="n">
        <f aca="false">DATE(YEAR(B511),MONTH(B511),1)</f>
        <v>45809</v>
      </c>
      <c r="D511" s="31" t="s">
        <v>193</v>
      </c>
      <c r="E511" s="31" t="s">
        <v>41</v>
      </c>
      <c r="F511" s="31" t="s">
        <v>45</v>
      </c>
      <c r="G511" s="31" t="s">
        <v>62</v>
      </c>
      <c r="H511" s="31" t="s">
        <v>179</v>
      </c>
      <c r="I511" s="32" t="str">
        <f aca="false">INDEX(Productos!$B$2:$B$13,MATCH($H511,Productos!$A$2:$A$13,0))</f>
        <v>Autotaladrante DIN 7504 4,8x38 zincado</v>
      </c>
      <c r="J511" s="32" t="str">
        <f aca="false">INDEX(Productos!$C$2:$C$13,MATCH($H511,Productos!$A$2:$A$13,0))</f>
        <v>Autotaladrante</v>
      </c>
      <c r="K511" s="31" t="s">
        <v>246</v>
      </c>
      <c r="L511" s="46" t="n">
        <v>228</v>
      </c>
      <c r="M511" s="50" t="n">
        <f aca="false">INDEX(Productos!$F$2:$F$13,MATCH($H511,Productos!$A$2:$A$13,0))</f>
        <v>29.5</v>
      </c>
      <c r="N511" s="51" t="n">
        <v>0.165</v>
      </c>
      <c r="O511" s="52" t="n">
        <f aca="false">M511*(1-N511)</f>
        <v>24.6325</v>
      </c>
      <c r="P511" s="21" t="n">
        <f aca="false">L511*O511</f>
        <v>5616.21</v>
      </c>
      <c r="Q511" s="50" t="n">
        <f aca="false">INDEX(Productos!$E$2:$E$13,MATCH($H511,Productos!$A$2:$A$13,0))*INDEX(Parametros!$B$26:$B$43,MATCH($C511,Parametros!$A$26:$A$43,0))</f>
        <v>15.6104</v>
      </c>
      <c r="R511" s="21" t="n">
        <f aca="false">L511*Q511</f>
        <v>3559.1712</v>
      </c>
      <c r="S511" s="18" t="n">
        <f aca="false">L511*INDEX(Parametros!$B$20:$B$22,MATCH($E511,Parametros!$A$20:$A$22,0))</f>
        <v>193.8</v>
      </c>
      <c r="T511" s="18" t="n">
        <f aca="false">P511*INDEX(Parametros!$B$13:$B$16,MATCH($F511,Parametros!$A$13:$A$16,0))</f>
        <v>168.4863</v>
      </c>
      <c r="U511" s="21" t="n">
        <f aca="false">P511-R511-S511-T511</f>
        <v>1694.7525</v>
      </c>
      <c r="V511" s="19" t="n">
        <f aca="false">IFERROR(U511/P511,0)</f>
        <v>0.301760885009642</v>
      </c>
      <c r="W511" s="48" t="n">
        <f aca="false">B511+INDEX(Parametros!$C$13:$C$16,MATCH($F511,Parametros!$A$13:$A$16,0))</f>
        <v>45884</v>
      </c>
      <c r="X511" s="31" t="s">
        <v>67</v>
      </c>
      <c r="Y511" s="53" t="n">
        <f aca="false">IF(COUNTIF($A$2:$A511,A511)=1,1,0)</f>
        <v>0</v>
      </c>
    </row>
    <row r="512" customFormat="false" ht="15" hidden="false" customHeight="false" outlineLevel="0" collapsed="false">
      <c r="A512" s="31" t="s">
        <v>517</v>
      </c>
      <c r="B512" s="36" t="n">
        <v>45824</v>
      </c>
      <c r="C512" s="49" t="n">
        <f aca="false">DATE(YEAR(B512),MONTH(B512),1)</f>
        <v>45809</v>
      </c>
      <c r="D512" s="31" t="s">
        <v>193</v>
      </c>
      <c r="E512" s="31" t="s">
        <v>41</v>
      </c>
      <c r="F512" s="31" t="s">
        <v>45</v>
      </c>
      <c r="G512" s="31" t="s">
        <v>62</v>
      </c>
      <c r="H512" s="31" t="s">
        <v>177</v>
      </c>
      <c r="I512" s="32" t="str">
        <f aca="false">INDEX(Productos!$B$2:$B$13,MATCH($H512,Productos!$A$2:$A$13,0))</f>
        <v>Tirafondo madera 6x100 cabeza plana Torx</v>
      </c>
      <c r="J512" s="32" t="str">
        <f aca="false">INDEX(Productos!$C$2:$C$13,MATCH($H512,Productos!$A$2:$A$13,0))</f>
        <v>Madera</v>
      </c>
      <c r="K512" s="31" t="s">
        <v>246</v>
      </c>
      <c r="L512" s="46" t="n">
        <v>53</v>
      </c>
      <c r="M512" s="50" t="n">
        <f aca="false">INDEX(Productos!$F$2:$F$13,MATCH($H512,Productos!$A$2:$A$13,0))</f>
        <v>34</v>
      </c>
      <c r="N512" s="51" t="n">
        <v>0.186</v>
      </c>
      <c r="O512" s="52" t="n">
        <f aca="false">M512*(1-N512)</f>
        <v>27.676</v>
      </c>
      <c r="P512" s="21" t="n">
        <f aca="false">L512*O512</f>
        <v>1466.828</v>
      </c>
      <c r="Q512" s="50" t="n">
        <f aca="false">INDEX(Productos!$E$2:$E$13,MATCH($H512,Productos!$A$2:$A$13,0))*INDEX(Parametros!$B$26:$B$43,MATCH($C512,Parametros!$A$26:$A$43,0))</f>
        <v>18.2806</v>
      </c>
      <c r="R512" s="21" t="n">
        <f aca="false">L512*Q512</f>
        <v>968.8718</v>
      </c>
      <c r="S512" s="18" t="n">
        <f aca="false">L512*INDEX(Parametros!$B$20:$B$22,MATCH($E512,Parametros!$A$20:$A$22,0))</f>
        <v>45.05</v>
      </c>
      <c r="T512" s="18" t="n">
        <f aca="false">P512*INDEX(Parametros!$B$13:$B$16,MATCH($F512,Parametros!$A$13:$A$16,0))</f>
        <v>44.00484</v>
      </c>
      <c r="U512" s="21" t="n">
        <f aca="false">P512-R512-S512-T512</f>
        <v>408.90136</v>
      </c>
      <c r="V512" s="19" t="n">
        <f aca="false">IFERROR(U512/P512,0)</f>
        <v>0.278765717589247</v>
      </c>
      <c r="W512" s="48" t="n">
        <f aca="false">B512+INDEX(Parametros!$C$13:$C$16,MATCH($F512,Parametros!$A$13:$A$16,0))</f>
        <v>45884</v>
      </c>
      <c r="X512" s="31" t="s">
        <v>67</v>
      </c>
      <c r="Y512" s="53" t="n">
        <f aca="false">IF(COUNTIF($A$2:$A512,A512)=1,1,0)</f>
        <v>0</v>
      </c>
    </row>
    <row r="513" customFormat="false" ht="15" hidden="false" customHeight="false" outlineLevel="0" collapsed="false">
      <c r="A513" s="31" t="s">
        <v>518</v>
      </c>
      <c r="B513" s="36" t="n">
        <v>45825</v>
      </c>
      <c r="C513" s="49" t="n">
        <f aca="false">DATE(YEAR(B513),MONTH(B513),1)</f>
        <v>45809</v>
      </c>
      <c r="D513" s="31" t="s">
        <v>224</v>
      </c>
      <c r="E513" s="31" t="s">
        <v>43</v>
      </c>
      <c r="F513" s="31" t="s">
        <v>45</v>
      </c>
      <c r="G513" s="31" t="s">
        <v>59</v>
      </c>
      <c r="H513" s="31" t="s">
        <v>181</v>
      </c>
      <c r="I513" s="32" t="str">
        <f aca="false">INDEX(Productos!$B$2:$B$13,MATCH($H513,Productos!$A$2:$A$13,0))</f>
        <v>Autotaladrante 5,5x55 punta broca</v>
      </c>
      <c r="J513" s="32" t="str">
        <f aca="false">INDEX(Productos!$C$2:$C$13,MATCH($H513,Productos!$A$2:$A$13,0))</f>
        <v>Autotaladrante</v>
      </c>
      <c r="K513" s="31" t="s">
        <v>246</v>
      </c>
      <c r="L513" s="46" t="n">
        <v>80</v>
      </c>
      <c r="M513" s="50" t="n">
        <f aca="false">INDEX(Productos!$F$2:$F$13,MATCH($H513,Productos!$A$2:$A$13,0))</f>
        <v>39</v>
      </c>
      <c r="N513" s="51" t="n">
        <v>0.165</v>
      </c>
      <c r="O513" s="52" t="n">
        <f aca="false">M513*(1-N513)</f>
        <v>32.565</v>
      </c>
      <c r="P513" s="21" t="n">
        <f aca="false">L513*O513</f>
        <v>2605.2</v>
      </c>
      <c r="Q513" s="50" t="n">
        <f aca="false">INDEX(Productos!$E$2:$E$13,MATCH($H513,Productos!$A$2:$A$13,0))*INDEX(Parametros!$B$26:$B$43,MATCH($C513,Parametros!$A$26:$A$43,0))</f>
        <v>20.8481</v>
      </c>
      <c r="R513" s="21" t="n">
        <f aca="false">L513*Q513</f>
        <v>1667.848</v>
      </c>
      <c r="S513" s="18" t="n">
        <f aca="false">L513*INDEX(Parametros!$B$20:$B$22,MATCH($E513,Parametros!$A$20:$A$22,0))</f>
        <v>152</v>
      </c>
      <c r="T513" s="18" t="n">
        <f aca="false">P513*INDEX(Parametros!$B$13:$B$16,MATCH($F513,Parametros!$A$13:$A$16,0))</f>
        <v>78.156</v>
      </c>
      <c r="U513" s="21" t="n">
        <f aca="false">P513-R513-S513-T513</f>
        <v>707.196</v>
      </c>
      <c r="V513" s="19" t="n">
        <f aca="false">IFERROR(U513/P513,0)</f>
        <v>0.271455550437586</v>
      </c>
      <c r="W513" s="48" t="n">
        <f aca="false">B513+INDEX(Parametros!$C$13:$C$16,MATCH($F513,Parametros!$A$13:$A$16,0))</f>
        <v>45885</v>
      </c>
      <c r="X513" s="31" t="s">
        <v>67</v>
      </c>
      <c r="Y513" s="53" t="n">
        <f aca="false">IF(COUNTIF($A$2:$A513,A513)=1,1,0)</f>
        <v>1</v>
      </c>
    </row>
    <row r="514" customFormat="false" ht="15" hidden="false" customHeight="false" outlineLevel="0" collapsed="false">
      <c r="A514" s="31" t="s">
        <v>518</v>
      </c>
      <c r="B514" s="36" t="n">
        <v>45825</v>
      </c>
      <c r="C514" s="49" t="n">
        <f aca="false">DATE(YEAR(B514),MONTH(B514),1)</f>
        <v>45809</v>
      </c>
      <c r="D514" s="31" t="s">
        <v>224</v>
      </c>
      <c r="E514" s="31" t="s">
        <v>43</v>
      </c>
      <c r="F514" s="31" t="s">
        <v>45</v>
      </c>
      <c r="G514" s="31" t="s">
        <v>59</v>
      </c>
      <c r="H514" s="31" t="s">
        <v>185</v>
      </c>
      <c r="I514" s="32" t="str">
        <f aca="false">INDEX(Productos!$B$2:$B$13,MATCH($H514,Productos!$A$2:$A$13,0))</f>
        <v>Varilla roscada M10 x 1 m zincada</v>
      </c>
      <c r="J514" s="32" t="str">
        <f aca="false">INDEX(Productos!$C$2:$C$13,MATCH($H514,Productos!$A$2:$A$13,0))</f>
        <v>Especial</v>
      </c>
      <c r="K514" s="31" t="s">
        <v>246</v>
      </c>
      <c r="L514" s="46" t="n">
        <v>73</v>
      </c>
      <c r="M514" s="50" t="n">
        <f aca="false">INDEX(Productos!$F$2:$F$13,MATCH($H514,Productos!$A$2:$A$13,0))</f>
        <v>54</v>
      </c>
      <c r="N514" s="51" t="n">
        <v>0.123</v>
      </c>
      <c r="O514" s="52" t="n">
        <f aca="false">M514*(1-N514)</f>
        <v>47.358</v>
      </c>
      <c r="P514" s="21" t="n">
        <f aca="false">L514*O514</f>
        <v>3457.134</v>
      </c>
      <c r="Q514" s="50" t="n">
        <f aca="false">INDEX(Productos!$E$2:$E$13,MATCH($H514,Productos!$A$2:$A$13,0))*INDEX(Parametros!$B$26:$B$43,MATCH($C514,Parametros!$A$26:$A$43,0))</f>
        <v>29.2695</v>
      </c>
      <c r="R514" s="21" t="n">
        <f aca="false">L514*Q514</f>
        <v>2136.6735</v>
      </c>
      <c r="S514" s="18" t="n">
        <f aca="false">L514*INDEX(Parametros!$B$20:$B$22,MATCH($E514,Parametros!$A$20:$A$22,0))</f>
        <v>138.7</v>
      </c>
      <c r="T514" s="18" t="n">
        <f aca="false">P514*INDEX(Parametros!$B$13:$B$16,MATCH($F514,Parametros!$A$13:$A$16,0))</f>
        <v>103.71402</v>
      </c>
      <c r="U514" s="21" t="n">
        <f aca="false">P514-R514-S514-T514</f>
        <v>1078.04648</v>
      </c>
      <c r="V514" s="19" t="n">
        <f aca="false">IFERROR(U514/P514,0)</f>
        <v>0.3118324253558</v>
      </c>
      <c r="W514" s="48" t="n">
        <f aca="false">B514+INDEX(Parametros!$C$13:$C$16,MATCH($F514,Parametros!$A$13:$A$16,0))</f>
        <v>45885</v>
      </c>
      <c r="X514" s="31" t="s">
        <v>67</v>
      </c>
      <c r="Y514" s="53" t="n">
        <f aca="false">IF(COUNTIF($A$2:$A514,A514)=1,1,0)</f>
        <v>0</v>
      </c>
    </row>
    <row r="515" customFormat="false" ht="15" hidden="false" customHeight="false" outlineLevel="0" collapsed="false">
      <c r="A515" s="31" t="s">
        <v>518</v>
      </c>
      <c r="B515" s="36" t="n">
        <v>45825</v>
      </c>
      <c r="C515" s="49" t="n">
        <f aca="false">DATE(YEAR(B515),MONTH(B515),1)</f>
        <v>45809</v>
      </c>
      <c r="D515" s="31" t="s">
        <v>224</v>
      </c>
      <c r="E515" s="31" t="s">
        <v>43</v>
      </c>
      <c r="F515" s="31" t="s">
        <v>45</v>
      </c>
      <c r="G515" s="31" t="s">
        <v>59</v>
      </c>
      <c r="H515" s="31" t="s">
        <v>177</v>
      </c>
      <c r="I515" s="32" t="str">
        <f aca="false">INDEX(Productos!$B$2:$B$13,MATCH($H515,Productos!$A$2:$A$13,0))</f>
        <v>Tirafondo madera 6x100 cabeza plana Torx</v>
      </c>
      <c r="J515" s="32" t="str">
        <f aca="false">INDEX(Productos!$C$2:$C$13,MATCH($H515,Productos!$A$2:$A$13,0))</f>
        <v>Madera</v>
      </c>
      <c r="K515" s="31" t="s">
        <v>246</v>
      </c>
      <c r="L515" s="46" t="n">
        <v>243</v>
      </c>
      <c r="M515" s="50" t="n">
        <f aca="false">INDEX(Productos!$F$2:$F$13,MATCH($H515,Productos!$A$2:$A$13,0))</f>
        <v>34</v>
      </c>
      <c r="N515" s="51" t="n">
        <v>0.218</v>
      </c>
      <c r="O515" s="52" t="n">
        <f aca="false">M515*(1-N515)</f>
        <v>26.588</v>
      </c>
      <c r="P515" s="21" t="n">
        <f aca="false">L515*O515</f>
        <v>6460.884</v>
      </c>
      <c r="Q515" s="50" t="n">
        <f aca="false">INDEX(Productos!$E$2:$E$13,MATCH($H515,Productos!$A$2:$A$13,0))*INDEX(Parametros!$B$26:$B$43,MATCH($C515,Parametros!$A$26:$A$43,0))</f>
        <v>18.2806</v>
      </c>
      <c r="R515" s="21" t="n">
        <f aca="false">L515*Q515</f>
        <v>4442.1858</v>
      </c>
      <c r="S515" s="18" t="n">
        <f aca="false">L515*INDEX(Parametros!$B$20:$B$22,MATCH($E515,Parametros!$A$20:$A$22,0))</f>
        <v>461.7</v>
      </c>
      <c r="T515" s="18" t="n">
        <f aca="false">P515*INDEX(Parametros!$B$13:$B$16,MATCH($F515,Parametros!$A$13:$A$16,0))</f>
        <v>193.82652</v>
      </c>
      <c r="U515" s="21" t="n">
        <f aca="false">P515-R515-S515-T515</f>
        <v>1363.17168</v>
      </c>
      <c r="V515" s="19" t="n">
        <f aca="false">IFERROR(U515/P515,0)</f>
        <v>0.210988415826689</v>
      </c>
      <c r="W515" s="48" t="n">
        <f aca="false">B515+INDEX(Parametros!$C$13:$C$16,MATCH($F515,Parametros!$A$13:$A$16,0))</f>
        <v>45885</v>
      </c>
      <c r="X515" s="31" t="s">
        <v>67</v>
      </c>
      <c r="Y515" s="53" t="n">
        <f aca="false">IF(COUNTIF($A$2:$A515,A515)=1,1,0)</f>
        <v>0</v>
      </c>
    </row>
    <row r="516" customFormat="false" ht="15" hidden="false" customHeight="false" outlineLevel="0" collapsed="false">
      <c r="A516" s="31" t="s">
        <v>518</v>
      </c>
      <c r="B516" s="36" t="n">
        <v>45825</v>
      </c>
      <c r="C516" s="49" t="n">
        <f aca="false">DATE(YEAR(B516),MONTH(B516),1)</f>
        <v>45809</v>
      </c>
      <c r="D516" s="31" t="s">
        <v>224</v>
      </c>
      <c r="E516" s="31" t="s">
        <v>43</v>
      </c>
      <c r="F516" s="31" t="s">
        <v>45</v>
      </c>
      <c r="G516" s="31" t="s">
        <v>59</v>
      </c>
      <c r="H516" s="31" t="s">
        <v>169</v>
      </c>
      <c r="I516" s="32" t="str">
        <f aca="false">INDEX(Productos!$B$2:$B$13,MATCH($H516,Productos!$A$2:$A$13,0))</f>
        <v>Tornillo DIN 912 M10x60 Allen inox A2</v>
      </c>
      <c r="J516" s="32" t="str">
        <f aca="false">INDEX(Productos!$C$2:$C$13,MATCH($H516,Productos!$A$2:$A$13,0))</f>
        <v>Inoxidable</v>
      </c>
      <c r="K516" s="31" t="s">
        <v>246</v>
      </c>
      <c r="L516" s="46" t="n">
        <v>26</v>
      </c>
      <c r="M516" s="50" t="n">
        <f aca="false">INDEX(Productos!$F$2:$F$13,MATCH($H516,Productos!$A$2:$A$13,0))</f>
        <v>79</v>
      </c>
      <c r="N516" s="51" t="n">
        <v>0.177</v>
      </c>
      <c r="O516" s="52" t="n">
        <f aca="false">M516*(1-N516)</f>
        <v>65.017</v>
      </c>
      <c r="P516" s="21" t="n">
        <f aca="false">L516*O516</f>
        <v>1690.442</v>
      </c>
      <c r="Q516" s="50" t="n">
        <f aca="false">INDEX(Productos!$E$2:$E$13,MATCH($H516,Productos!$A$2:$A$13,0))*INDEX(Parametros!$B$26:$B$43,MATCH($C516,Parametros!$A$26:$A$43,0))</f>
        <v>43.134</v>
      </c>
      <c r="R516" s="21" t="n">
        <f aca="false">L516*Q516</f>
        <v>1121.484</v>
      </c>
      <c r="S516" s="18" t="n">
        <f aca="false">L516*INDEX(Parametros!$B$20:$B$22,MATCH($E516,Parametros!$A$20:$A$22,0))</f>
        <v>49.4</v>
      </c>
      <c r="T516" s="18" t="n">
        <f aca="false">P516*INDEX(Parametros!$B$13:$B$16,MATCH($F516,Parametros!$A$13:$A$16,0))</f>
        <v>50.71326</v>
      </c>
      <c r="U516" s="21" t="n">
        <f aca="false">P516-R516-S516-T516</f>
        <v>468.84474</v>
      </c>
      <c r="V516" s="19" t="n">
        <f aca="false">IFERROR(U516/P516,0)</f>
        <v>0.277350385283849</v>
      </c>
      <c r="W516" s="48" t="n">
        <f aca="false">B516+INDEX(Parametros!$C$13:$C$16,MATCH($F516,Parametros!$A$13:$A$16,0))</f>
        <v>45885</v>
      </c>
      <c r="X516" s="31" t="s">
        <v>69</v>
      </c>
      <c r="Y516" s="53" t="n">
        <f aca="false">IF(COUNTIF($A$2:$A516,A516)=1,1,0)</f>
        <v>0</v>
      </c>
    </row>
    <row r="517" customFormat="false" ht="15" hidden="false" customHeight="false" outlineLevel="0" collapsed="false">
      <c r="A517" s="31" t="s">
        <v>519</v>
      </c>
      <c r="B517" s="36" t="n">
        <v>45826</v>
      </c>
      <c r="C517" s="49" t="n">
        <f aca="false">DATE(YEAR(B517),MONTH(B517),1)</f>
        <v>45809</v>
      </c>
      <c r="D517" s="31" t="s">
        <v>206</v>
      </c>
      <c r="E517" s="31" t="s">
        <v>41</v>
      </c>
      <c r="F517" s="31" t="s">
        <v>46</v>
      </c>
      <c r="G517" s="31" t="s">
        <v>58</v>
      </c>
      <c r="H517" s="31" t="s">
        <v>183</v>
      </c>
      <c r="I517" s="32" t="str">
        <f aca="false">INDEX(Productos!$B$2:$B$13,MATCH($H517,Productos!$A$2:$A$13,0))</f>
        <v>Tornillo estructural M16x90 clase 10.9</v>
      </c>
      <c r="J517" s="32" t="str">
        <f aca="false">INDEX(Productos!$C$2:$C$13,MATCH($H517,Productos!$A$2:$A$13,0))</f>
        <v>Especial</v>
      </c>
      <c r="K517" s="31" t="s">
        <v>246</v>
      </c>
      <c r="L517" s="46" t="n">
        <v>79</v>
      </c>
      <c r="M517" s="50" t="n">
        <f aca="false">INDEX(Productos!$F$2:$F$13,MATCH($H517,Productos!$A$2:$A$13,0))</f>
        <v>112</v>
      </c>
      <c r="N517" s="51" t="n">
        <v>0.148</v>
      </c>
      <c r="O517" s="52" t="n">
        <f aca="false">M517*(1-N517)</f>
        <v>95.424</v>
      </c>
      <c r="P517" s="21" t="n">
        <f aca="false">L517*O517</f>
        <v>7538.496</v>
      </c>
      <c r="Q517" s="50" t="n">
        <f aca="false">INDEX(Productos!$E$2:$E$13,MATCH($H517,Productos!$A$2:$A$13,0))*INDEX(Parametros!$B$26:$B$43,MATCH($C517,Parametros!$A$26:$A$43,0))</f>
        <v>61.62</v>
      </c>
      <c r="R517" s="21" t="n">
        <f aca="false">L517*Q517</f>
        <v>4867.98</v>
      </c>
      <c r="S517" s="18" t="n">
        <f aca="false">L517*INDEX(Parametros!$B$20:$B$22,MATCH($E517,Parametros!$A$20:$A$22,0))</f>
        <v>67.15</v>
      </c>
      <c r="T517" s="18" t="n">
        <f aca="false">P517*INDEX(Parametros!$B$13:$B$16,MATCH($F517,Parametros!$A$13:$A$16,0))</f>
        <v>301.53984</v>
      </c>
      <c r="U517" s="21" t="n">
        <f aca="false">P517-R517-S517-T517</f>
        <v>2301.82616</v>
      </c>
      <c r="V517" s="19" t="n">
        <f aca="false">IFERROR(U517/P517,0)</f>
        <v>0.305342890677398</v>
      </c>
      <c r="W517" s="48" t="n">
        <f aca="false">B517+INDEX(Parametros!$C$13:$C$16,MATCH($F517,Parametros!$A$13:$A$16,0))</f>
        <v>45901</v>
      </c>
      <c r="X517" s="31" t="s">
        <v>67</v>
      </c>
      <c r="Y517" s="53" t="n">
        <f aca="false">IF(COUNTIF($A$2:$A517,A517)=1,1,0)</f>
        <v>1</v>
      </c>
    </row>
    <row r="518" customFormat="false" ht="15" hidden="false" customHeight="false" outlineLevel="0" collapsed="false">
      <c r="A518" s="31" t="s">
        <v>520</v>
      </c>
      <c r="B518" s="36" t="n">
        <v>45827</v>
      </c>
      <c r="C518" s="49" t="n">
        <f aca="false">DATE(YEAR(B518),MONTH(B518),1)</f>
        <v>45809</v>
      </c>
      <c r="D518" s="31" t="s">
        <v>201</v>
      </c>
      <c r="E518" s="31" t="s">
        <v>41</v>
      </c>
      <c r="F518" s="31" t="s">
        <v>46</v>
      </c>
      <c r="G518" s="31" t="s">
        <v>62</v>
      </c>
      <c r="H518" s="31" t="s">
        <v>167</v>
      </c>
      <c r="I518" s="32" t="str">
        <f aca="false">INDEX(Productos!$B$2:$B$13,MATCH($H518,Productos!$A$2:$A$13,0))</f>
        <v>Tornillo DIN 912 M6x25 Allen zincado</v>
      </c>
      <c r="J518" s="32" t="str">
        <f aca="false">INDEX(Productos!$C$2:$C$13,MATCH($H518,Productos!$A$2:$A$13,0))</f>
        <v>Métrica</v>
      </c>
      <c r="K518" s="31" t="s">
        <v>246</v>
      </c>
      <c r="L518" s="46" t="n">
        <v>106</v>
      </c>
      <c r="M518" s="50" t="n">
        <f aca="false">INDEX(Productos!$F$2:$F$13,MATCH($H518,Productos!$A$2:$A$13,0))</f>
        <v>42</v>
      </c>
      <c r="N518" s="51" t="n">
        <v>0.081</v>
      </c>
      <c r="O518" s="52" t="n">
        <f aca="false">M518*(1-N518)</f>
        <v>38.598</v>
      </c>
      <c r="P518" s="21" t="n">
        <f aca="false">L518*O518</f>
        <v>4091.388</v>
      </c>
      <c r="Q518" s="50" t="n">
        <f aca="false">INDEX(Productos!$E$2:$E$13,MATCH($H518,Productos!$A$2:$A$13,0))*INDEX(Parametros!$B$26:$B$43,MATCH($C518,Parametros!$A$26:$A$43,0))</f>
        <v>22.3886</v>
      </c>
      <c r="R518" s="21" t="n">
        <f aca="false">L518*Q518</f>
        <v>2373.1916</v>
      </c>
      <c r="S518" s="18" t="n">
        <f aca="false">L518*INDEX(Parametros!$B$20:$B$22,MATCH($E518,Parametros!$A$20:$A$22,0))</f>
        <v>90.1</v>
      </c>
      <c r="T518" s="18" t="n">
        <f aca="false">P518*INDEX(Parametros!$B$13:$B$16,MATCH($F518,Parametros!$A$13:$A$16,0))</f>
        <v>163.65552</v>
      </c>
      <c r="U518" s="21" t="n">
        <f aca="false">P518-R518-S518-T518</f>
        <v>1464.44088</v>
      </c>
      <c r="V518" s="19" t="n">
        <f aca="false">IFERROR(U518/P518,0)</f>
        <v>0.357932535364527</v>
      </c>
      <c r="W518" s="48" t="n">
        <f aca="false">B518+INDEX(Parametros!$C$13:$C$16,MATCH($F518,Parametros!$A$13:$A$16,0))</f>
        <v>45902</v>
      </c>
      <c r="X518" s="31" t="s">
        <v>67</v>
      </c>
      <c r="Y518" s="53" t="n">
        <f aca="false">IF(COUNTIF($A$2:$A518,A518)=1,1,0)</f>
        <v>1</v>
      </c>
    </row>
    <row r="519" customFormat="false" ht="15" hidden="false" customHeight="false" outlineLevel="0" collapsed="false">
      <c r="A519" s="31" t="s">
        <v>521</v>
      </c>
      <c r="B519" s="36" t="n">
        <v>45827</v>
      </c>
      <c r="C519" s="49" t="n">
        <f aca="false">DATE(YEAR(B519),MONTH(B519),1)</f>
        <v>45809</v>
      </c>
      <c r="D519" s="31" t="s">
        <v>212</v>
      </c>
      <c r="E519" s="31" t="s">
        <v>42</v>
      </c>
      <c r="F519" s="31" t="s">
        <v>45</v>
      </c>
      <c r="G519" s="31" t="s">
        <v>61</v>
      </c>
      <c r="H519" s="31" t="s">
        <v>185</v>
      </c>
      <c r="I519" s="32" t="str">
        <f aca="false">INDEX(Productos!$B$2:$B$13,MATCH($H519,Productos!$A$2:$A$13,0))</f>
        <v>Varilla roscada M10 x 1 m zincada</v>
      </c>
      <c r="J519" s="32" t="str">
        <f aca="false">INDEX(Productos!$C$2:$C$13,MATCH($H519,Productos!$A$2:$A$13,0))</f>
        <v>Especial</v>
      </c>
      <c r="K519" s="31" t="s">
        <v>246</v>
      </c>
      <c r="L519" s="46" t="n">
        <v>219</v>
      </c>
      <c r="M519" s="50" t="n">
        <f aca="false">INDEX(Productos!$F$2:$F$13,MATCH($H519,Productos!$A$2:$A$13,0))</f>
        <v>54</v>
      </c>
      <c r="N519" s="51" t="n">
        <v>0.142</v>
      </c>
      <c r="O519" s="52" t="n">
        <f aca="false">M519*(1-N519)</f>
        <v>46.332</v>
      </c>
      <c r="P519" s="21" t="n">
        <f aca="false">L519*O519</f>
        <v>10146.708</v>
      </c>
      <c r="Q519" s="50" t="n">
        <f aca="false">INDEX(Productos!$E$2:$E$13,MATCH($H519,Productos!$A$2:$A$13,0))*INDEX(Parametros!$B$26:$B$43,MATCH($C519,Parametros!$A$26:$A$43,0))</f>
        <v>29.2695</v>
      </c>
      <c r="R519" s="21" t="n">
        <f aca="false">L519*Q519</f>
        <v>6410.0205</v>
      </c>
      <c r="S519" s="18" t="n">
        <f aca="false">L519*INDEX(Parametros!$B$20:$B$22,MATCH($E519,Parametros!$A$20:$A$22,0))</f>
        <v>525.6</v>
      </c>
      <c r="T519" s="18" t="n">
        <f aca="false">P519*INDEX(Parametros!$B$13:$B$16,MATCH($F519,Parametros!$A$13:$A$16,0))</f>
        <v>304.40124</v>
      </c>
      <c r="U519" s="21" t="n">
        <f aca="false">P519-R519-S519-T519</f>
        <v>2906.68626</v>
      </c>
      <c r="V519" s="19" t="n">
        <f aca="false">IFERROR(U519/P519,0)</f>
        <v>0.286465941465942</v>
      </c>
      <c r="W519" s="48" t="n">
        <f aca="false">B519+INDEX(Parametros!$C$13:$C$16,MATCH($F519,Parametros!$A$13:$A$16,0))</f>
        <v>45887</v>
      </c>
      <c r="X519" s="31" t="s">
        <v>67</v>
      </c>
      <c r="Y519" s="53" t="n">
        <f aca="false">IF(COUNTIF($A$2:$A519,A519)=1,1,0)</f>
        <v>1</v>
      </c>
    </row>
    <row r="520" customFormat="false" ht="15" hidden="false" customHeight="false" outlineLevel="0" collapsed="false">
      <c r="A520" s="31" t="s">
        <v>521</v>
      </c>
      <c r="B520" s="36" t="n">
        <v>45827</v>
      </c>
      <c r="C520" s="49" t="n">
        <f aca="false">DATE(YEAR(B520),MONTH(B520),1)</f>
        <v>45809</v>
      </c>
      <c r="D520" s="31" t="s">
        <v>212</v>
      </c>
      <c r="E520" s="31" t="s">
        <v>42</v>
      </c>
      <c r="F520" s="31" t="s">
        <v>45</v>
      </c>
      <c r="G520" s="31" t="s">
        <v>61</v>
      </c>
      <c r="H520" s="31" t="s">
        <v>177</v>
      </c>
      <c r="I520" s="32" t="str">
        <f aca="false">INDEX(Productos!$B$2:$B$13,MATCH($H520,Productos!$A$2:$A$13,0))</f>
        <v>Tirafondo madera 6x100 cabeza plana Torx</v>
      </c>
      <c r="J520" s="32" t="str">
        <f aca="false">INDEX(Productos!$C$2:$C$13,MATCH($H520,Productos!$A$2:$A$13,0))</f>
        <v>Madera</v>
      </c>
      <c r="K520" s="31" t="s">
        <v>246</v>
      </c>
      <c r="L520" s="46" t="n">
        <v>299</v>
      </c>
      <c r="M520" s="50" t="n">
        <f aca="false">INDEX(Productos!$F$2:$F$13,MATCH($H520,Productos!$A$2:$A$13,0))</f>
        <v>34</v>
      </c>
      <c r="N520" s="51" t="n">
        <v>0.194</v>
      </c>
      <c r="O520" s="52" t="n">
        <f aca="false">M520*(1-N520)</f>
        <v>27.404</v>
      </c>
      <c r="P520" s="21" t="n">
        <f aca="false">L520*O520</f>
        <v>8193.796</v>
      </c>
      <c r="Q520" s="50" t="n">
        <f aca="false">INDEX(Productos!$E$2:$E$13,MATCH($H520,Productos!$A$2:$A$13,0))*INDEX(Parametros!$B$26:$B$43,MATCH($C520,Parametros!$A$26:$A$43,0))</f>
        <v>18.2806</v>
      </c>
      <c r="R520" s="21" t="n">
        <f aca="false">L520*Q520</f>
        <v>5465.8994</v>
      </c>
      <c r="S520" s="18" t="n">
        <f aca="false">L520*INDEX(Parametros!$B$20:$B$22,MATCH($E520,Parametros!$A$20:$A$22,0))</f>
        <v>717.6</v>
      </c>
      <c r="T520" s="18" t="n">
        <f aca="false">P520*INDEX(Parametros!$B$13:$B$16,MATCH($F520,Parametros!$A$13:$A$16,0))</f>
        <v>245.81388</v>
      </c>
      <c r="U520" s="21" t="n">
        <f aca="false">P520-R520-S520-T520</f>
        <v>1764.48272</v>
      </c>
      <c r="V520" s="19" t="n">
        <f aca="false">IFERROR(U520/P520,0)</f>
        <v>0.215343745438622</v>
      </c>
      <c r="W520" s="48" t="n">
        <f aca="false">B520+INDEX(Parametros!$C$13:$C$16,MATCH($F520,Parametros!$A$13:$A$16,0))</f>
        <v>45887</v>
      </c>
      <c r="X520" s="31" t="s">
        <v>67</v>
      </c>
      <c r="Y520" s="53" t="n">
        <f aca="false">IF(COUNTIF($A$2:$A520,A520)=1,1,0)</f>
        <v>0</v>
      </c>
    </row>
    <row r="521" customFormat="false" ht="15" hidden="false" customHeight="false" outlineLevel="0" collapsed="false">
      <c r="A521" s="31" t="s">
        <v>522</v>
      </c>
      <c r="B521" s="36" t="n">
        <v>45828</v>
      </c>
      <c r="C521" s="49" t="n">
        <f aca="false">DATE(YEAR(B521),MONTH(B521),1)</f>
        <v>45809</v>
      </c>
      <c r="D521" s="31" t="s">
        <v>205</v>
      </c>
      <c r="E521" s="31" t="s">
        <v>41</v>
      </c>
      <c r="F521" s="31" t="s">
        <v>45</v>
      </c>
      <c r="G521" s="31" t="s">
        <v>62</v>
      </c>
      <c r="H521" s="31" t="s">
        <v>167</v>
      </c>
      <c r="I521" s="32" t="str">
        <f aca="false">INDEX(Productos!$B$2:$B$13,MATCH($H521,Productos!$A$2:$A$13,0))</f>
        <v>Tornillo DIN 912 M6x25 Allen zincado</v>
      </c>
      <c r="J521" s="32" t="str">
        <f aca="false">INDEX(Productos!$C$2:$C$13,MATCH($H521,Productos!$A$2:$A$13,0))</f>
        <v>Métrica</v>
      </c>
      <c r="K521" s="31" t="s">
        <v>246</v>
      </c>
      <c r="L521" s="46" t="n">
        <v>31</v>
      </c>
      <c r="M521" s="50" t="n">
        <f aca="false">INDEX(Productos!$F$2:$F$13,MATCH($H521,Productos!$A$2:$A$13,0))</f>
        <v>42</v>
      </c>
      <c r="N521" s="51" t="n">
        <v>0.123</v>
      </c>
      <c r="O521" s="52" t="n">
        <f aca="false">M521*(1-N521)</f>
        <v>36.834</v>
      </c>
      <c r="P521" s="21" t="n">
        <f aca="false">L521*O521</f>
        <v>1141.854</v>
      </c>
      <c r="Q521" s="50" t="n">
        <f aca="false">INDEX(Productos!$E$2:$E$13,MATCH($H521,Productos!$A$2:$A$13,0))*INDEX(Parametros!$B$26:$B$43,MATCH($C521,Parametros!$A$26:$A$43,0))</f>
        <v>22.3886</v>
      </c>
      <c r="R521" s="21" t="n">
        <f aca="false">L521*Q521</f>
        <v>694.0466</v>
      </c>
      <c r="S521" s="18" t="n">
        <f aca="false">L521*INDEX(Parametros!$B$20:$B$22,MATCH($E521,Parametros!$A$20:$A$22,0))</f>
        <v>26.35</v>
      </c>
      <c r="T521" s="18" t="n">
        <f aca="false">P521*INDEX(Parametros!$B$13:$B$16,MATCH($F521,Parametros!$A$13:$A$16,0))</f>
        <v>34.25562</v>
      </c>
      <c r="U521" s="21" t="n">
        <f aca="false">P521-R521-S521-T521</f>
        <v>387.20178</v>
      </c>
      <c r="V521" s="19" t="n">
        <f aca="false">IFERROR(U521/P521,0)</f>
        <v>0.339099201824401</v>
      </c>
      <c r="W521" s="48" t="n">
        <f aca="false">B521+INDEX(Parametros!$C$13:$C$16,MATCH($F521,Parametros!$A$13:$A$16,0))</f>
        <v>45888</v>
      </c>
      <c r="X521" s="31" t="s">
        <v>67</v>
      </c>
      <c r="Y521" s="53" t="n">
        <f aca="false">IF(COUNTIF($A$2:$A521,A521)=1,1,0)</f>
        <v>1</v>
      </c>
    </row>
    <row r="522" customFormat="false" ht="15" hidden="false" customHeight="false" outlineLevel="0" collapsed="false">
      <c r="A522" s="31" t="s">
        <v>522</v>
      </c>
      <c r="B522" s="36" t="n">
        <v>45828</v>
      </c>
      <c r="C522" s="49" t="n">
        <f aca="false">DATE(YEAR(B522),MONTH(B522),1)</f>
        <v>45809</v>
      </c>
      <c r="D522" s="31" t="s">
        <v>205</v>
      </c>
      <c r="E522" s="31" t="s">
        <v>41</v>
      </c>
      <c r="F522" s="31" t="s">
        <v>45</v>
      </c>
      <c r="G522" s="31" t="s">
        <v>62</v>
      </c>
      <c r="H522" s="31" t="s">
        <v>173</v>
      </c>
      <c r="I522" s="32" t="str">
        <f aca="false">INDEX(Productos!$B$2:$B$13,MATCH($H522,Productos!$A$2:$A$13,0))</f>
        <v>Tornillo DIN 933 M12x70 clase 8.8</v>
      </c>
      <c r="J522" s="32" t="str">
        <f aca="false">INDEX(Productos!$C$2:$C$13,MATCH($H522,Productos!$A$2:$A$13,0))</f>
        <v>Métrica</v>
      </c>
      <c r="K522" s="31" t="s">
        <v>246</v>
      </c>
      <c r="L522" s="46" t="n">
        <v>41</v>
      </c>
      <c r="M522" s="50" t="n">
        <f aca="false">INDEX(Productos!$F$2:$F$13,MATCH($H522,Productos!$A$2:$A$13,0))</f>
        <v>64</v>
      </c>
      <c r="N522" s="51" t="n">
        <v>0.121</v>
      </c>
      <c r="O522" s="52" t="n">
        <f aca="false">M522*(1-N522)</f>
        <v>56.256</v>
      </c>
      <c r="P522" s="21" t="n">
        <f aca="false">L522*O522</f>
        <v>2306.496</v>
      </c>
      <c r="Q522" s="50" t="n">
        <f aca="false">INDEX(Productos!$E$2:$E$13,MATCH($H522,Productos!$A$2:$A$13,0))*INDEX(Parametros!$B$26:$B$43,MATCH($C522,Parametros!$A$26:$A$43,0))</f>
        <v>34.4045</v>
      </c>
      <c r="R522" s="21" t="n">
        <f aca="false">L522*Q522</f>
        <v>1410.5845</v>
      </c>
      <c r="S522" s="18" t="n">
        <f aca="false">L522*INDEX(Parametros!$B$20:$B$22,MATCH($E522,Parametros!$A$20:$A$22,0))</f>
        <v>34.85</v>
      </c>
      <c r="T522" s="18" t="n">
        <f aca="false">P522*INDEX(Parametros!$B$13:$B$16,MATCH($F522,Parametros!$A$13:$A$16,0))</f>
        <v>69.19488</v>
      </c>
      <c r="U522" s="21" t="n">
        <f aca="false">P522-R522-S522-T522</f>
        <v>791.86662</v>
      </c>
      <c r="V522" s="19" t="n">
        <f aca="false">IFERROR(U522/P522,0)</f>
        <v>0.343320179180887</v>
      </c>
      <c r="W522" s="48" t="n">
        <f aca="false">B522+INDEX(Parametros!$C$13:$C$16,MATCH($F522,Parametros!$A$13:$A$16,0))</f>
        <v>45888</v>
      </c>
      <c r="X522" s="31" t="s">
        <v>67</v>
      </c>
      <c r="Y522" s="53" t="n">
        <f aca="false">IF(COUNTIF($A$2:$A522,A522)=1,1,0)</f>
        <v>0</v>
      </c>
    </row>
    <row r="523" customFormat="false" ht="15" hidden="false" customHeight="false" outlineLevel="0" collapsed="false">
      <c r="A523" s="31" t="s">
        <v>522</v>
      </c>
      <c r="B523" s="36" t="n">
        <v>45828</v>
      </c>
      <c r="C523" s="49" t="n">
        <f aca="false">DATE(YEAR(B523),MONTH(B523),1)</f>
        <v>45809</v>
      </c>
      <c r="D523" s="31" t="s">
        <v>205</v>
      </c>
      <c r="E523" s="31" t="s">
        <v>41</v>
      </c>
      <c r="F523" s="31" t="s">
        <v>45</v>
      </c>
      <c r="G523" s="31" t="s">
        <v>62</v>
      </c>
      <c r="H523" s="31" t="s">
        <v>165</v>
      </c>
      <c r="I523" s="32" t="str">
        <f aca="false">INDEX(Productos!$B$2:$B$13,MATCH($H523,Productos!$A$2:$A$13,0))</f>
        <v>Tornillo DIN 933 M8x40 rosca completa zincado</v>
      </c>
      <c r="J523" s="32" t="str">
        <f aca="false">INDEX(Productos!$C$2:$C$13,MATCH($H523,Productos!$A$2:$A$13,0))</f>
        <v>Métrica</v>
      </c>
      <c r="K523" s="31" t="s">
        <v>246</v>
      </c>
      <c r="L523" s="46" t="n">
        <v>182</v>
      </c>
      <c r="M523" s="50" t="n">
        <f aca="false">INDEX(Productos!$F$2:$F$13,MATCH($H523,Productos!$A$2:$A$13,0))</f>
        <v>37.5</v>
      </c>
      <c r="N523" s="51" t="n">
        <v>0.218</v>
      </c>
      <c r="O523" s="52" t="n">
        <f aca="false">M523*(1-N523)</f>
        <v>29.325</v>
      </c>
      <c r="P523" s="21" t="n">
        <f aca="false">L523*O523</f>
        <v>5337.15</v>
      </c>
      <c r="Q523" s="50" t="n">
        <f aca="false">INDEX(Productos!$E$2:$E$13,MATCH($H523,Productos!$A$2:$A$13,0))*INDEX(Parametros!$B$26:$B$43,MATCH($C523,Parametros!$A$26:$A$43,0))</f>
        <v>19.9238</v>
      </c>
      <c r="R523" s="21" t="n">
        <f aca="false">L523*Q523</f>
        <v>3626.1316</v>
      </c>
      <c r="S523" s="18" t="n">
        <f aca="false">L523*INDEX(Parametros!$B$20:$B$22,MATCH($E523,Parametros!$A$20:$A$22,0))</f>
        <v>154.7</v>
      </c>
      <c r="T523" s="18" t="n">
        <f aca="false">P523*INDEX(Parametros!$B$13:$B$16,MATCH($F523,Parametros!$A$13:$A$16,0))</f>
        <v>160.1145</v>
      </c>
      <c r="U523" s="21" t="n">
        <f aca="false">P523-R523-S523-T523</f>
        <v>1396.2039</v>
      </c>
      <c r="V523" s="19" t="n">
        <f aca="false">IFERROR(U523/P523,0)</f>
        <v>0.261601023017903</v>
      </c>
      <c r="W523" s="48" t="n">
        <f aca="false">B523+INDEX(Parametros!$C$13:$C$16,MATCH($F523,Parametros!$A$13:$A$16,0))</f>
        <v>45888</v>
      </c>
      <c r="X523" s="31" t="s">
        <v>67</v>
      </c>
      <c r="Y523" s="53" t="n">
        <f aca="false">IF(COUNTIF($A$2:$A523,A523)=1,1,0)</f>
        <v>0</v>
      </c>
    </row>
    <row r="524" customFormat="false" ht="15" hidden="false" customHeight="false" outlineLevel="0" collapsed="false">
      <c r="A524" s="31" t="s">
        <v>523</v>
      </c>
      <c r="B524" s="36" t="n">
        <v>45828</v>
      </c>
      <c r="C524" s="49" t="n">
        <f aca="false">DATE(YEAR(B524),MONTH(B524),1)</f>
        <v>45809</v>
      </c>
      <c r="D524" s="31" t="s">
        <v>206</v>
      </c>
      <c r="E524" s="31" t="s">
        <v>41</v>
      </c>
      <c r="F524" s="31" t="s">
        <v>46</v>
      </c>
      <c r="G524" s="31" t="s">
        <v>58</v>
      </c>
      <c r="H524" s="31" t="s">
        <v>177</v>
      </c>
      <c r="I524" s="32" t="str">
        <f aca="false">INDEX(Productos!$B$2:$B$13,MATCH($H524,Productos!$A$2:$A$13,0))</f>
        <v>Tirafondo madera 6x100 cabeza plana Torx</v>
      </c>
      <c r="J524" s="32" t="str">
        <f aca="false">INDEX(Productos!$C$2:$C$13,MATCH($H524,Productos!$A$2:$A$13,0))</f>
        <v>Madera</v>
      </c>
      <c r="K524" s="31" t="s">
        <v>246</v>
      </c>
      <c r="L524" s="46" t="n">
        <v>150</v>
      </c>
      <c r="M524" s="50" t="n">
        <f aca="false">INDEX(Productos!$F$2:$F$13,MATCH($H524,Productos!$A$2:$A$13,0))</f>
        <v>34</v>
      </c>
      <c r="N524" s="51" t="n">
        <v>0.142</v>
      </c>
      <c r="O524" s="52" t="n">
        <f aca="false">M524*(1-N524)</f>
        <v>29.172</v>
      </c>
      <c r="P524" s="21" t="n">
        <f aca="false">L524*O524</f>
        <v>4375.8</v>
      </c>
      <c r="Q524" s="50" t="n">
        <f aca="false">INDEX(Productos!$E$2:$E$13,MATCH($H524,Productos!$A$2:$A$13,0))*INDEX(Parametros!$B$26:$B$43,MATCH($C524,Parametros!$A$26:$A$43,0))</f>
        <v>18.2806</v>
      </c>
      <c r="R524" s="21" t="n">
        <f aca="false">L524*Q524</f>
        <v>2742.09</v>
      </c>
      <c r="S524" s="18" t="n">
        <f aca="false">L524*INDEX(Parametros!$B$20:$B$22,MATCH($E524,Parametros!$A$20:$A$22,0))</f>
        <v>127.5</v>
      </c>
      <c r="T524" s="18" t="n">
        <f aca="false">P524*INDEX(Parametros!$B$13:$B$16,MATCH($F524,Parametros!$A$13:$A$16,0))</f>
        <v>175.032</v>
      </c>
      <c r="U524" s="21" t="n">
        <f aca="false">P524-R524-S524-T524</f>
        <v>1331.178</v>
      </c>
      <c r="V524" s="19" t="n">
        <f aca="false">IFERROR(U524/P524,0)</f>
        <v>0.304213629507747</v>
      </c>
      <c r="W524" s="48" t="n">
        <f aca="false">B524+INDEX(Parametros!$C$13:$C$16,MATCH($F524,Parametros!$A$13:$A$16,0))</f>
        <v>45903</v>
      </c>
      <c r="X524" s="31" t="s">
        <v>67</v>
      </c>
      <c r="Y524" s="53" t="n">
        <f aca="false">IF(COUNTIF($A$2:$A524,A524)=1,1,0)</f>
        <v>1</v>
      </c>
    </row>
    <row r="525" customFormat="false" ht="15" hidden="false" customHeight="false" outlineLevel="0" collapsed="false">
      <c r="A525" s="31" t="s">
        <v>524</v>
      </c>
      <c r="B525" s="36" t="n">
        <v>45831</v>
      </c>
      <c r="C525" s="49" t="n">
        <f aca="false">DATE(YEAR(B525),MONTH(B525),1)</f>
        <v>45809</v>
      </c>
      <c r="D525" s="31" t="s">
        <v>207</v>
      </c>
      <c r="E525" s="31" t="s">
        <v>41</v>
      </c>
      <c r="F525" s="31" t="s">
        <v>47</v>
      </c>
      <c r="G525" s="31" t="s">
        <v>62</v>
      </c>
      <c r="H525" s="31" t="s">
        <v>171</v>
      </c>
      <c r="I525" s="32" t="str">
        <f aca="false">INDEX(Productos!$B$2:$B$13,MATCH($H525,Productos!$A$2:$A$13,0))</f>
        <v>Tornillo DIN 7991 M8x30 avellanado inox A2</v>
      </c>
      <c r="J525" s="32" t="str">
        <f aca="false">INDEX(Productos!$C$2:$C$13,MATCH($H525,Productos!$A$2:$A$13,0))</f>
        <v>Inoxidable</v>
      </c>
      <c r="K525" s="31" t="s">
        <v>275</v>
      </c>
      <c r="L525" s="46" t="n">
        <v>-42</v>
      </c>
      <c r="M525" s="50" t="n">
        <f aca="false">INDEX(Productos!$F$2:$F$13,MATCH($H525,Productos!$A$2:$A$13,0))</f>
        <v>88</v>
      </c>
      <c r="N525" s="51" t="n">
        <v>0.089</v>
      </c>
      <c r="O525" s="52" t="n">
        <f aca="false">M525*(1-N525)</f>
        <v>80.168</v>
      </c>
      <c r="P525" s="21" t="n">
        <f aca="false">L525*O525</f>
        <v>-3367.056</v>
      </c>
      <c r="Q525" s="50" t="n">
        <f aca="false">INDEX(Productos!$E$2:$E$13,MATCH($H525,Productos!$A$2:$A$13,0))*INDEX(Parametros!$B$26:$B$43,MATCH($C525,Parametros!$A$26:$A$43,0))</f>
        <v>47.7555</v>
      </c>
      <c r="R525" s="21" t="n">
        <f aca="false">L525*Q525</f>
        <v>-2005.731</v>
      </c>
      <c r="S525" s="18" t="n">
        <f aca="false">L525*INDEX(Parametros!$B$20:$B$22,MATCH($E525,Parametros!$A$20:$A$22,0))</f>
        <v>-35.7</v>
      </c>
      <c r="T525" s="18" t="n">
        <f aca="false">P525*INDEX(Parametros!$B$13:$B$16,MATCH($F525,Parametros!$A$13:$A$16,0))</f>
        <v>-117.84696</v>
      </c>
      <c r="U525" s="21" t="n">
        <f aca="false">P525-R525-S525-T525</f>
        <v>-1207.77804</v>
      </c>
      <c r="V525" s="19" t="n">
        <f aca="false">IFERROR(U525/P525,0)</f>
        <v>0.358704470611715</v>
      </c>
      <c r="W525" s="48" t="n">
        <f aca="false">B525+INDEX(Parametros!$C$13:$C$16,MATCH($F525,Parametros!$A$13:$A$16,0))</f>
        <v>45876</v>
      </c>
      <c r="X525" s="31" t="s">
        <v>67</v>
      </c>
      <c r="Y525" s="53" t="n">
        <f aca="false">IF(COUNTIF($A$2:$A525,A525)=1,1,0)</f>
        <v>1</v>
      </c>
    </row>
    <row r="526" customFormat="false" ht="15" hidden="false" customHeight="false" outlineLevel="0" collapsed="false">
      <c r="A526" s="31" t="s">
        <v>524</v>
      </c>
      <c r="B526" s="36" t="n">
        <v>45831</v>
      </c>
      <c r="C526" s="49" t="n">
        <f aca="false">DATE(YEAR(B526),MONTH(B526),1)</f>
        <v>45809</v>
      </c>
      <c r="D526" s="31" t="s">
        <v>207</v>
      </c>
      <c r="E526" s="31" t="s">
        <v>41</v>
      </c>
      <c r="F526" s="31" t="s">
        <v>47</v>
      </c>
      <c r="G526" s="31" t="s">
        <v>62</v>
      </c>
      <c r="H526" s="31" t="s">
        <v>167</v>
      </c>
      <c r="I526" s="32" t="str">
        <f aca="false">INDEX(Productos!$B$2:$B$13,MATCH($H526,Productos!$A$2:$A$13,0))</f>
        <v>Tornillo DIN 912 M6x25 Allen zincado</v>
      </c>
      <c r="J526" s="32" t="str">
        <f aca="false">INDEX(Productos!$C$2:$C$13,MATCH($H526,Productos!$A$2:$A$13,0))</f>
        <v>Métrica</v>
      </c>
      <c r="K526" s="31" t="s">
        <v>275</v>
      </c>
      <c r="L526" s="46" t="n">
        <v>-17</v>
      </c>
      <c r="M526" s="50" t="n">
        <f aca="false">INDEX(Productos!$F$2:$F$13,MATCH($H526,Productos!$A$2:$A$13,0))</f>
        <v>42</v>
      </c>
      <c r="N526" s="51" t="n">
        <v>0.078</v>
      </c>
      <c r="O526" s="52" t="n">
        <f aca="false">M526*(1-N526)</f>
        <v>38.724</v>
      </c>
      <c r="P526" s="21" t="n">
        <f aca="false">L526*O526</f>
        <v>-658.308</v>
      </c>
      <c r="Q526" s="50" t="n">
        <f aca="false">INDEX(Productos!$E$2:$E$13,MATCH($H526,Productos!$A$2:$A$13,0))*INDEX(Parametros!$B$26:$B$43,MATCH($C526,Parametros!$A$26:$A$43,0))</f>
        <v>22.3886</v>
      </c>
      <c r="R526" s="21" t="n">
        <f aca="false">L526*Q526</f>
        <v>-380.6062</v>
      </c>
      <c r="S526" s="18" t="n">
        <f aca="false">L526*INDEX(Parametros!$B$20:$B$22,MATCH($E526,Parametros!$A$20:$A$22,0))</f>
        <v>-14.45</v>
      </c>
      <c r="T526" s="18" t="n">
        <f aca="false">P526*INDEX(Parametros!$B$13:$B$16,MATCH($F526,Parametros!$A$13:$A$16,0))</f>
        <v>-23.04078</v>
      </c>
      <c r="U526" s="21" t="n">
        <f aca="false">P526-R526-S526-T526</f>
        <v>-240.21102</v>
      </c>
      <c r="V526" s="19" t="n">
        <f aca="false">IFERROR(U526/P526,0)</f>
        <v>0.364891540130152</v>
      </c>
      <c r="W526" s="48" t="n">
        <f aca="false">B526+INDEX(Parametros!$C$13:$C$16,MATCH($F526,Parametros!$A$13:$A$16,0))</f>
        <v>45876</v>
      </c>
      <c r="X526" s="31" t="s">
        <v>67</v>
      </c>
      <c r="Y526" s="53" t="n">
        <f aca="false">IF(COUNTIF($A$2:$A526,A526)=1,1,0)</f>
        <v>0</v>
      </c>
    </row>
    <row r="527" customFormat="false" ht="15" hidden="false" customHeight="false" outlineLevel="0" collapsed="false">
      <c r="A527" s="31" t="s">
        <v>525</v>
      </c>
      <c r="B527" s="36" t="n">
        <v>45831</v>
      </c>
      <c r="C527" s="49" t="n">
        <f aca="false">DATE(YEAR(B527),MONTH(B527),1)</f>
        <v>45809</v>
      </c>
      <c r="D527" s="31" t="s">
        <v>206</v>
      </c>
      <c r="E527" s="31" t="s">
        <v>41</v>
      </c>
      <c r="F527" s="31" t="s">
        <v>46</v>
      </c>
      <c r="G527" s="31" t="s">
        <v>58</v>
      </c>
      <c r="H527" s="31" t="s">
        <v>171</v>
      </c>
      <c r="I527" s="32" t="str">
        <f aca="false">INDEX(Productos!$B$2:$B$13,MATCH($H527,Productos!$A$2:$A$13,0))</f>
        <v>Tornillo DIN 7991 M8x30 avellanado inox A2</v>
      </c>
      <c r="J527" s="32" t="str">
        <f aca="false">INDEX(Productos!$C$2:$C$13,MATCH($H527,Productos!$A$2:$A$13,0))</f>
        <v>Inoxidable</v>
      </c>
      <c r="K527" s="31" t="s">
        <v>246</v>
      </c>
      <c r="L527" s="46" t="n">
        <v>60</v>
      </c>
      <c r="M527" s="50" t="n">
        <f aca="false">INDEX(Productos!$F$2:$F$13,MATCH($H527,Productos!$A$2:$A$13,0))</f>
        <v>88</v>
      </c>
      <c r="N527" s="51" t="n">
        <v>0.115</v>
      </c>
      <c r="O527" s="52" t="n">
        <f aca="false">M527*(1-N527)</f>
        <v>77.88</v>
      </c>
      <c r="P527" s="21" t="n">
        <f aca="false">L527*O527</f>
        <v>4672.8</v>
      </c>
      <c r="Q527" s="50" t="n">
        <f aca="false">INDEX(Productos!$E$2:$E$13,MATCH($H527,Productos!$A$2:$A$13,0))*INDEX(Parametros!$B$26:$B$43,MATCH($C527,Parametros!$A$26:$A$43,0))</f>
        <v>47.7555</v>
      </c>
      <c r="R527" s="21" t="n">
        <f aca="false">L527*Q527</f>
        <v>2865.33</v>
      </c>
      <c r="S527" s="18" t="n">
        <f aca="false">L527*INDEX(Parametros!$B$20:$B$22,MATCH($E527,Parametros!$A$20:$A$22,0))</f>
        <v>51</v>
      </c>
      <c r="T527" s="18" t="n">
        <f aca="false">P527*INDEX(Parametros!$B$13:$B$16,MATCH($F527,Parametros!$A$13:$A$16,0))</f>
        <v>186.912</v>
      </c>
      <c r="U527" s="21" t="n">
        <f aca="false">P527-R527-S527-T527</f>
        <v>1569.558</v>
      </c>
      <c r="V527" s="19" t="n">
        <f aca="false">IFERROR(U527/P527,0)</f>
        <v>0.33589239856189</v>
      </c>
      <c r="W527" s="48" t="n">
        <f aca="false">B527+INDEX(Parametros!$C$13:$C$16,MATCH($F527,Parametros!$A$13:$A$16,0))</f>
        <v>45906</v>
      </c>
      <c r="X527" s="31" t="s">
        <v>67</v>
      </c>
      <c r="Y527" s="53" t="n">
        <f aca="false">IF(COUNTIF($A$2:$A527,A527)=1,1,0)</f>
        <v>1</v>
      </c>
    </row>
    <row r="528" customFormat="false" ht="15" hidden="false" customHeight="false" outlineLevel="0" collapsed="false">
      <c r="A528" s="31" t="s">
        <v>525</v>
      </c>
      <c r="B528" s="36" t="n">
        <v>45831</v>
      </c>
      <c r="C528" s="49" t="n">
        <f aca="false">DATE(YEAR(B528),MONTH(B528),1)</f>
        <v>45809</v>
      </c>
      <c r="D528" s="31" t="s">
        <v>206</v>
      </c>
      <c r="E528" s="31" t="s">
        <v>41</v>
      </c>
      <c r="F528" s="31" t="s">
        <v>46</v>
      </c>
      <c r="G528" s="31" t="s">
        <v>58</v>
      </c>
      <c r="H528" s="31" t="s">
        <v>177</v>
      </c>
      <c r="I528" s="32" t="str">
        <f aca="false">INDEX(Productos!$B$2:$B$13,MATCH($H528,Productos!$A$2:$A$13,0))</f>
        <v>Tirafondo madera 6x100 cabeza plana Torx</v>
      </c>
      <c r="J528" s="32" t="str">
        <f aca="false">INDEX(Productos!$C$2:$C$13,MATCH($H528,Productos!$A$2:$A$13,0))</f>
        <v>Madera</v>
      </c>
      <c r="K528" s="31" t="s">
        <v>246</v>
      </c>
      <c r="L528" s="46" t="n">
        <v>72</v>
      </c>
      <c r="M528" s="50" t="n">
        <f aca="false">INDEX(Productos!$F$2:$F$13,MATCH($H528,Productos!$A$2:$A$13,0))</f>
        <v>34</v>
      </c>
      <c r="N528" s="51" t="n">
        <v>0.179</v>
      </c>
      <c r="O528" s="52" t="n">
        <f aca="false">M528*(1-N528)</f>
        <v>27.914</v>
      </c>
      <c r="P528" s="21" t="n">
        <f aca="false">L528*O528</f>
        <v>2009.808</v>
      </c>
      <c r="Q528" s="50" t="n">
        <f aca="false">INDEX(Productos!$E$2:$E$13,MATCH($H528,Productos!$A$2:$A$13,0))*INDEX(Parametros!$B$26:$B$43,MATCH($C528,Parametros!$A$26:$A$43,0))</f>
        <v>18.2806</v>
      </c>
      <c r="R528" s="21" t="n">
        <f aca="false">L528*Q528</f>
        <v>1316.2032</v>
      </c>
      <c r="S528" s="18" t="n">
        <f aca="false">L528*INDEX(Parametros!$B$20:$B$22,MATCH($E528,Parametros!$A$20:$A$22,0))</f>
        <v>61.2</v>
      </c>
      <c r="T528" s="18" t="n">
        <f aca="false">P528*INDEX(Parametros!$B$13:$B$16,MATCH($F528,Parametros!$A$13:$A$16,0))</f>
        <v>80.39232</v>
      </c>
      <c r="U528" s="21" t="n">
        <f aca="false">P528-R528-S528-T528</f>
        <v>552.01248</v>
      </c>
      <c r="V528" s="19" t="n">
        <f aca="false">IFERROR(U528/P528,0)</f>
        <v>0.27465931074013</v>
      </c>
      <c r="W528" s="48" t="n">
        <f aca="false">B528+INDEX(Parametros!$C$13:$C$16,MATCH($F528,Parametros!$A$13:$A$16,0))</f>
        <v>45906</v>
      </c>
      <c r="X528" s="31" t="s">
        <v>67</v>
      </c>
      <c r="Y528" s="53" t="n">
        <f aca="false">IF(COUNTIF($A$2:$A528,A528)=1,1,0)</f>
        <v>0</v>
      </c>
    </row>
    <row r="529" customFormat="false" ht="15" hidden="false" customHeight="false" outlineLevel="0" collapsed="false">
      <c r="A529" s="31" t="s">
        <v>525</v>
      </c>
      <c r="B529" s="36" t="n">
        <v>45831</v>
      </c>
      <c r="C529" s="49" t="n">
        <f aca="false">DATE(YEAR(B529),MONTH(B529),1)</f>
        <v>45809</v>
      </c>
      <c r="D529" s="31" t="s">
        <v>206</v>
      </c>
      <c r="E529" s="31" t="s">
        <v>41</v>
      </c>
      <c r="F529" s="31" t="s">
        <v>46</v>
      </c>
      <c r="G529" s="31" t="s">
        <v>58</v>
      </c>
      <c r="H529" s="31" t="s">
        <v>183</v>
      </c>
      <c r="I529" s="32" t="str">
        <f aca="false">INDEX(Productos!$B$2:$B$13,MATCH($H529,Productos!$A$2:$A$13,0))</f>
        <v>Tornillo estructural M16x90 clase 10.9</v>
      </c>
      <c r="J529" s="32" t="str">
        <f aca="false">INDEX(Productos!$C$2:$C$13,MATCH($H529,Productos!$A$2:$A$13,0))</f>
        <v>Especial</v>
      </c>
      <c r="K529" s="31" t="s">
        <v>246</v>
      </c>
      <c r="L529" s="46" t="n">
        <v>96</v>
      </c>
      <c r="M529" s="50" t="n">
        <f aca="false">INDEX(Productos!$F$2:$F$13,MATCH($H529,Productos!$A$2:$A$13,0))</f>
        <v>112</v>
      </c>
      <c r="N529" s="51" t="n">
        <v>0.117</v>
      </c>
      <c r="O529" s="52" t="n">
        <f aca="false">M529*(1-N529)</f>
        <v>98.896</v>
      </c>
      <c r="P529" s="21" t="n">
        <f aca="false">L529*O529</f>
        <v>9494.016</v>
      </c>
      <c r="Q529" s="50" t="n">
        <f aca="false">INDEX(Productos!$E$2:$E$13,MATCH($H529,Productos!$A$2:$A$13,0))*INDEX(Parametros!$B$26:$B$43,MATCH($C529,Parametros!$A$26:$A$43,0))</f>
        <v>61.62</v>
      </c>
      <c r="R529" s="21" t="n">
        <f aca="false">L529*Q529</f>
        <v>5915.52</v>
      </c>
      <c r="S529" s="18" t="n">
        <f aca="false">L529*INDEX(Parametros!$B$20:$B$22,MATCH($E529,Parametros!$A$20:$A$22,0))</f>
        <v>81.6</v>
      </c>
      <c r="T529" s="18" t="n">
        <f aca="false">P529*INDEX(Parametros!$B$13:$B$16,MATCH($F529,Parametros!$A$13:$A$16,0))</f>
        <v>379.76064</v>
      </c>
      <c r="U529" s="21" t="n">
        <f aca="false">P529-R529-S529-T529</f>
        <v>3117.13536</v>
      </c>
      <c r="V529" s="19" t="n">
        <f aca="false">IFERROR(U529/P529,0)</f>
        <v>0.328326322601521</v>
      </c>
      <c r="W529" s="48" t="n">
        <f aca="false">B529+INDEX(Parametros!$C$13:$C$16,MATCH($F529,Parametros!$A$13:$A$16,0))</f>
        <v>45906</v>
      </c>
      <c r="X529" s="31" t="s">
        <v>69</v>
      </c>
      <c r="Y529" s="53" t="n">
        <f aca="false">IF(COUNTIF($A$2:$A529,A529)=1,1,0)</f>
        <v>0</v>
      </c>
    </row>
    <row r="530" customFormat="false" ht="15" hidden="false" customHeight="false" outlineLevel="0" collapsed="false">
      <c r="A530" s="31" t="s">
        <v>526</v>
      </c>
      <c r="B530" s="36" t="n">
        <v>45831</v>
      </c>
      <c r="C530" s="49" t="n">
        <f aca="false">DATE(YEAR(B530),MONTH(B530),1)</f>
        <v>45809</v>
      </c>
      <c r="D530" s="31" t="s">
        <v>207</v>
      </c>
      <c r="E530" s="31" t="s">
        <v>41</v>
      </c>
      <c r="F530" s="31" t="s">
        <v>47</v>
      </c>
      <c r="G530" s="31" t="s">
        <v>62</v>
      </c>
      <c r="H530" s="31" t="s">
        <v>179</v>
      </c>
      <c r="I530" s="32" t="str">
        <f aca="false">INDEX(Productos!$B$2:$B$13,MATCH($H530,Productos!$A$2:$A$13,0))</f>
        <v>Autotaladrante DIN 7504 4,8x38 zincado</v>
      </c>
      <c r="J530" s="32" t="str">
        <f aca="false">INDEX(Productos!$C$2:$C$13,MATCH($H530,Productos!$A$2:$A$13,0))</f>
        <v>Autotaladrante</v>
      </c>
      <c r="K530" s="31" t="s">
        <v>246</v>
      </c>
      <c r="L530" s="46" t="n">
        <v>54</v>
      </c>
      <c r="M530" s="50" t="n">
        <f aca="false">INDEX(Productos!$F$2:$F$13,MATCH($H530,Productos!$A$2:$A$13,0))</f>
        <v>29.5</v>
      </c>
      <c r="N530" s="51" t="n">
        <v>0.041</v>
      </c>
      <c r="O530" s="52" t="n">
        <f aca="false">M530*(1-N530)</f>
        <v>28.2905</v>
      </c>
      <c r="P530" s="21" t="n">
        <f aca="false">L530*O530</f>
        <v>1527.687</v>
      </c>
      <c r="Q530" s="50" t="n">
        <f aca="false">INDEX(Productos!$E$2:$E$13,MATCH($H530,Productos!$A$2:$A$13,0))*INDEX(Parametros!$B$26:$B$43,MATCH($C530,Parametros!$A$26:$A$43,0))</f>
        <v>15.6104</v>
      </c>
      <c r="R530" s="21" t="n">
        <f aca="false">L530*Q530</f>
        <v>842.9616</v>
      </c>
      <c r="S530" s="18" t="n">
        <f aca="false">L530*INDEX(Parametros!$B$20:$B$22,MATCH($E530,Parametros!$A$20:$A$22,0))</f>
        <v>45.9</v>
      </c>
      <c r="T530" s="18" t="n">
        <f aca="false">P530*INDEX(Parametros!$B$13:$B$16,MATCH($F530,Parametros!$A$13:$A$16,0))</f>
        <v>53.469045</v>
      </c>
      <c r="U530" s="21" t="n">
        <f aca="false">P530-R530-S530-T530</f>
        <v>585.356355</v>
      </c>
      <c r="V530" s="19" t="n">
        <f aca="false">IFERROR(U530/P530,0)</f>
        <v>0.383165108428625</v>
      </c>
      <c r="W530" s="48" t="n">
        <f aca="false">B530+INDEX(Parametros!$C$13:$C$16,MATCH($F530,Parametros!$A$13:$A$16,0))</f>
        <v>45876</v>
      </c>
      <c r="X530" s="31" t="s">
        <v>67</v>
      </c>
      <c r="Y530" s="53" t="n">
        <f aca="false">IF(COUNTIF($A$2:$A530,A530)=1,1,0)</f>
        <v>1</v>
      </c>
    </row>
    <row r="531" customFormat="false" ht="15" hidden="false" customHeight="false" outlineLevel="0" collapsed="false">
      <c r="A531" s="31" t="s">
        <v>526</v>
      </c>
      <c r="B531" s="36" t="n">
        <v>45831</v>
      </c>
      <c r="C531" s="49" t="n">
        <f aca="false">DATE(YEAR(B531),MONTH(B531),1)</f>
        <v>45809</v>
      </c>
      <c r="D531" s="31" t="s">
        <v>207</v>
      </c>
      <c r="E531" s="31" t="s">
        <v>41</v>
      </c>
      <c r="F531" s="31" t="s">
        <v>47</v>
      </c>
      <c r="G531" s="31" t="s">
        <v>62</v>
      </c>
      <c r="H531" s="31" t="s">
        <v>181</v>
      </c>
      <c r="I531" s="32" t="str">
        <f aca="false">INDEX(Productos!$B$2:$B$13,MATCH($H531,Productos!$A$2:$A$13,0))</f>
        <v>Autotaladrante 5,5x55 punta broca</v>
      </c>
      <c r="J531" s="32" t="str">
        <f aca="false">INDEX(Productos!$C$2:$C$13,MATCH($H531,Productos!$A$2:$A$13,0))</f>
        <v>Autotaladrante</v>
      </c>
      <c r="K531" s="31" t="s">
        <v>246</v>
      </c>
      <c r="L531" s="46" t="n">
        <v>36</v>
      </c>
      <c r="M531" s="50" t="n">
        <f aca="false">INDEX(Productos!$F$2:$F$13,MATCH($H531,Productos!$A$2:$A$13,0))</f>
        <v>39</v>
      </c>
      <c r="N531" s="51" t="n">
        <v>0.08</v>
      </c>
      <c r="O531" s="52" t="n">
        <f aca="false">M531*(1-N531)</f>
        <v>35.88</v>
      </c>
      <c r="P531" s="21" t="n">
        <f aca="false">L531*O531</f>
        <v>1291.68</v>
      </c>
      <c r="Q531" s="50" t="n">
        <f aca="false">INDEX(Productos!$E$2:$E$13,MATCH($H531,Productos!$A$2:$A$13,0))*INDEX(Parametros!$B$26:$B$43,MATCH($C531,Parametros!$A$26:$A$43,0))</f>
        <v>20.8481</v>
      </c>
      <c r="R531" s="21" t="n">
        <f aca="false">L531*Q531</f>
        <v>750.5316</v>
      </c>
      <c r="S531" s="18" t="n">
        <f aca="false">L531*INDEX(Parametros!$B$20:$B$22,MATCH($E531,Parametros!$A$20:$A$22,0))</f>
        <v>30.6</v>
      </c>
      <c r="T531" s="18" t="n">
        <f aca="false">P531*INDEX(Parametros!$B$13:$B$16,MATCH($F531,Parametros!$A$13:$A$16,0))</f>
        <v>45.2088</v>
      </c>
      <c r="U531" s="21" t="n">
        <f aca="false">P531-R531-S531-T531</f>
        <v>465.3396</v>
      </c>
      <c r="V531" s="19" t="n">
        <f aca="false">IFERROR(U531/P531,0)</f>
        <v>0.360259197324415</v>
      </c>
      <c r="W531" s="48" t="n">
        <f aca="false">B531+INDEX(Parametros!$C$13:$C$16,MATCH($F531,Parametros!$A$13:$A$16,0))</f>
        <v>45876</v>
      </c>
      <c r="X531" s="31" t="s">
        <v>67</v>
      </c>
      <c r="Y531" s="53" t="n">
        <f aca="false">IF(COUNTIF($A$2:$A531,A531)=1,1,0)</f>
        <v>0</v>
      </c>
    </row>
    <row r="532" customFormat="false" ht="15" hidden="false" customHeight="false" outlineLevel="0" collapsed="false">
      <c r="A532" s="31" t="s">
        <v>527</v>
      </c>
      <c r="B532" s="36" t="n">
        <v>45832</v>
      </c>
      <c r="C532" s="49" t="n">
        <f aca="false">DATE(YEAR(B532),MONTH(B532),1)</f>
        <v>45809</v>
      </c>
      <c r="D532" s="31" t="s">
        <v>224</v>
      </c>
      <c r="E532" s="31" t="s">
        <v>43</v>
      </c>
      <c r="F532" s="31" t="s">
        <v>45</v>
      </c>
      <c r="G532" s="31" t="s">
        <v>59</v>
      </c>
      <c r="H532" s="31" t="s">
        <v>173</v>
      </c>
      <c r="I532" s="32" t="str">
        <f aca="false">INDEX(Productos!$B$2:$B$13,MATCH($H532,Productos!$A$2:$A$13,0))</f>
        <v>Tornillo DIN 933 M12x70 clase 8.8</v>
      </c>
      <c r="J532" s="32" t="str">
        <f aca="false">INDEX(Productos!$C$2:$C$13,MATCH($H532,Productos!$A$2:$A$13,0))</f>
        <v>Métrica</v>
      </c>
      <c r="K532" s="31" t="s">
        <v>275</v>
      </c>
      <c r="L532" s="46" t="n">
        <v>-20</v>
      </c>
      <c r="M532" s="50" t="n">
        <f aca="false">INDEX(Productos!$F$2:$F$13,MATCH($H532,Productos!$A$2:$A$13,0))</f>
        <v>64</v>
      </c>
      <c r="N532" s="51" t="n">
        <v>0.185</v>
      </c>
      <c r="O532" s="52" t="n">
        <f aca="false">M532*(1-N532)</f>
        <v>52.16</v>
      </c>
      <c r="P532" s="21" t="n">
        <f aca="false">L532*O532</f>
        <v>-1043.2</v>
      </c>
      <c r="Q532" s="50" t="n">
        <f aca="false">INDEX(Productos!$E$2:$E$13,MATCH($H532,Productos!$A$2:$A$13,0))*INDEX(Parametros!$B$26:$B$43,MATCH($C532,Parametros!$A$26:$A$43,0))</f>
        <v>34.4045</v>
      </c>
      <c r="R532" s="21" t="n">
        <f aca="false">L532*Q532</f>
        <v>-688.09</v>
      </c>
      <c r="S532" s="18" t="n">
        <f aca="false">L532*INDEX(Parametros!$B$20:$B$22,MATCH($E532,Parametros!$A$20:$A$22,0))</f>
        <v>-38</v>
      </c>
      <c r="T532" s="18" t="n">
        <f aca="false">P532*INDEX(Parametros!$B$13:$B$16,MATCH($F532,Parametros!$A$13:$A$16,0))</f>
        <v>-31.296</v>
      </c>
      <c r="U532" s="21" t="n">
        <f aca="false">P532-R532-S532-T532</f>
        <v>-285.814</v>
      </c>
      <c r="V532" s="19" t="n">
        <f aca="false">IFERROR(U532/P532,0)</f>
        <v>0.273978144171779</v>
      </c>
      <c r="W532" s="48" t="n">
        <f aca="false">B532+INDEX(Parametros!$C$13:$C$16,MATCH($F532,Parametros!$A$13:$A$16,0))</f>
        <v>45892</v>
      </c>
      <c r="X532" s="31" t="s">
        <v>67</v>
      </c>
      <c r="Y532" s="53" t="n">
        <f aca="false">IF(COUNTIF($A$2:$A532,A532)=1,1,0)</f>
        <v>1</v>
      </c>
    </row>
    <row r="533" customFormat="false" ht="15" hidden="false" customHeight="false" outlineLevel="0" collapsed="false">
      <c r="A533" s="31" t="s">
        <v>527</v>
      </c>
      <c r="B533" s="36" t="n">
        <v>45832</v>
      </c>
      <c r="C533" s="49" t="n">
        <f aca="false">DATE(YEAR(B533),MONTH(B533),1)</f>
        <v>45809</v>
      </c>
      <c r="D533" s="31" t="s">
        <v>224</v>
      </c>
      <c r="E533" s="31" t="s">
        <v>43</v>
      </c>
      <c r="F533" s="31" t="s">
        <v>45</v>
      </c>
      <c r="G533" s="31" t="s">
        <v>59</v>
      </c>
      <c r="H533" s="31" t="s">
        <v>183</v>
      </c>
      <c r="I533" s="32" t="str">
        <f aca="false">INDEX(Productos!$B$2:$B$13,MATCH($H533,Productos!$A$2:$A$13,0))</f>
        <v>Tornillo estructural M16x90 clase 10.9</v>
      </c>
      <c r="J533" s="32" t="str">
        <f aca="false">INDEX(Productos!$C$2:$C$13,MATCH($H533,Productos!$A$2:$A$13,0))</f>
        <v>Especial</v>
      </c>
      <c r="K533" s="31" t="s">
        <v>275</v>
      </c>
      <c r="L533" s="46" t="n">
        <v>-5</v>
      </c>
      <c r="M533" s="50" t="n">
        <f aca="false">INDEX(Productos!$F$2:$F$13,MATCH($H533,Productos!$A$2:$A$13,0))</f>
        <v>112</v>
      </c>
      <c r="N533" s="51" t="n">
        <v>0.136</v>
      </c>
      <c r="O533" s="52" t="n">
        <f aca="false">M533*(1-N533)</f>
        <v>96.768</v>
      </c>
      <c r="P533" s="21" t="n">
        <f aca="false">L533*O533</f>
        <v>-483.84</v>
      </c>
      <c r="Q533" s="50" t="n">
        <f aca="false">INDEX(Productos!$E$2:$E$13,MATCH($H533,Productos!$A$2:$A$13,0))*INDEX(Parametros!$B$26:$B$43,MATCH($C533,Parametros!$A$26:$A$43,0))</f>
        <v>61.62</v>
      </c>
      <c r="R533" s="21" t="n">
        <f aca="false">L533*Q533</f>
        <v>-308.1</v>
      </c>
      <c r="S533" s="18" t="n">
        <f aca="false">L533*INDEX(Parametros!$B$20:$B$22,MATCH($E533,Parametros!$A$20:$A$22,0))</f>
        <v>-9.5</v>
      </c>
      <c r="T533" s="18" t="n">
        <f aca="false">P533*INDEX(Parametros!$B$13:$B$16,MATCH($F533,Parametros!$A$13:$A$16,0))</f>
        <v>-14.5152</v>
      </c>
      <c r="U533" s="21" t="n">
        <f aca="false">P533-R533-S533-T533</f>
        <v>-151.7248</v>
      </c>
      <c r="V533" s="19" t="n">
        <f aca="false">IFERROR(U533/P533,0)</f>
        <v>0.313584656084656</v>
      </c>
      <c r="W533" s="48" t="n">
        <f aca="false">B533+INDEX(Parametros!$C$13:$C$16,MATCH($F533,Parametros!$A$13:$A$16,0))</f>
        <v>45892</v>
      </c>
      <c r="X533" s="31" t="s">
        <v>67</v>
      </c>
      <c r="Y533" s="53" t="n">
        <f aca="false">IF(COUNTIF($A$2:$A533,A533)=1,1,0)</f>
        <v>0</v>
      </c>
    </row>
    <row r="534" customFormat="false" ht="15" hidden="false" customHeight="false" outlineLevel="0" collapsed="false">
      <c r="A534" s="31" t="s">
        <v>528</v>
      </c>
      <c r="B534" s="36" t="n">
        <v>45832</v>
      </c>
      <c r="C534" s="49" t="n">
        <f aca="false">DATE(YEAR(B534),MONTH(B534),1)</f>
        <v>45809</v>
      </c>
      <c r="D534" s="31" t="s">
        <v>223</v>
      </c>
      <c r="E534" s="31" t="s">
        <v>43</v>
      </c>
      <c r="F534" s="31" t="s">
        <v>46</v>
      </c>
      <c r="G534" s="31" t="s">
        <v>59</v>
      </c>
      <c r="H534" s="31" t="s">
        <v>169</v>
      </c>
      <c r="I534" s="32" t="str">
        <f aca="false">INDEX(Productos!$B$2:$B$13,MATCH($H534,Productos!$A$2:$A$13,0))</f>
        <v>Tornillo DIN 912 M10x60 Allen inox A2</v>
      </c>
      <c r="J534" s="32" t="str">
        <f aca="false">INDEX(Productos!$C$2:$C$13,MATCH($H534,Productos!$A$2:$A$13,0))</f>
        <v>Inoxidable</v>
      </c>
      <c r="K534" s="31" t="s">
        <v>246</v>
      </c>
      <c r="L534" s="46" t="n">
        <v>107</v>
      </c>
      <c r="M534" s="50" t="n">
        <f aca="false">INDEX(Productos!$F$2:$F$13,MATCH($H534,Productos!$A$2:$A$13,0))</f>
        <v>79</v>
      </c>
      <c r="N534" s="51" t="n">
        <v>0.096</v>
      </c>
      <c r="O534" s="52" t="n">
        <f aca="false">M534*(1-N534)</f>
        <v>71.416</v>
      </c>
      <c r="P534" s="21" t="n">
        <f aca="false">L534*O534</f>
        <v>7641.512</v>
      </c>
      <c r="Q534" s="50" t="n">
        <f aca="false">INDEX(Productos!$E$2:$E$13,MATCH($H534,Productos!$A$2:$A$13,0))*INDEX(Parametros!$B$26:$B$43,MATCH($C534,Parametros!$A$26:$A$43,0))</f>
        <v>43.134</v>
      </c>
      <c r="R534" s="21" t="n">
        <f aca="false">L534*Q534</f>
        <v>4615.338</v>
      </c>
      <c r="S534" s="18" t="n">
        <f aca="false">L534*INDEX(Parametros!$B$20:$B$22,MATCH($E534,Parametros!$A$20:$A$22,0))</f>
        <v>203.3</v>
      </c>
      <c r="T534" s="18" t="n">
        <f aca="false">P534*INDEX(Parametros!$B$13:$B$16,MATCH($F534,Parametros!$A$13:$A$16,0))</f>
        <v>305.66048</v>
      </c>
      <c r="U534" s="21" t="n">
        <f aca="false">P534-R534-S534-T534</f>
        <v>2517.21352</v>
      </c>
      <c r="V534" s="19" t="n">
        <f aca="false">IFERROR(U534/P534,0)</f>
        <v>0.329413016690938</v>
      </c>
      <c r="W534" s="48" t="n">
        <f aca="false">B534+INDEX(Parametros!$C$13:$C$16,MATCH($F534,Parametros!$A$13:$A$16,0))</f>
        <v>45907</v>
      </c>
      <c r="X534" s="31" t="s">
        <v>67</v>
      </c>
      <c r="Y534" s="53" t="n">
        <f aca="false">IF(COUNTIF($A$2:$A534,A534)=1,1,0)</f>
        <v>1</v>
      </c>
    </row>
    <row r="535" customFormat="false" ht="15" hidden="false" customHeight="false" outlineLevel="0" collapsed="false">
      <c r="A535" s="31" t="s">
        <v>529</v>
      </c>
      <c r="B535" s="36" t="n">
        <v>45833</v>
      </c>
      <c r="C535" s="49" t="n">
        <f aca="false">DATE(YEAR(B535),MONTH(B535),1)</f>
        <v>45809</v>
      </c>
      <c r="D535" s="31" t="s">
        <v>225</v>
      </c>
      <c r="E535" s="31" t="s">
        <v>43</v>
      </c>
      <c r="F535" s="31" t="s">
        <v>47</v>
      </c>
      <c r="G535" s="31" t="s">
        <v>59</v>
      </c>
      <c r="H535" s="31" t="s">
        <v>171</v>
      </c>
      <c r="I535" s="32" t="str">
        <f aca="false">INDEX(Productos!$B$2:$B$13,MATCH($H535,Productos!$A$2:$A$13,0))</f>
        <v>Tornillo DIN 7991 M8x30 avellanado inox A2</v>
      </c>
      <c r="J535" s="32" t="str">
        <f aca="false">INDEX(Productos!$C$2:$C$13,MATCH($H535,Productos!$A$2:$A$13,0))</f>
        <v>Inoxidable</v>
      </c>
      <c r="K535" s="31" t="s">
        <v>246</v>
      </c>
      <c r="L535" s="46" t="n">
        <v>28</v>
      </c>
      <c r="M535" s="50" t="n">
        <f aca="false">INDEX(Productos!$F$2:$F$13,MATCH($H535,Productos!$A$2:$A$13,0))</f>
        <v>88</v>
      </c>
      <c r="N535" s="51" t="n">
        <v>0.042</v>
      </c>
      <c r="O535" s="52" t="n">
        <f aca="false">M535*(1-N535)</f>
        <v>84.304</v>
      </c>
      <c r="P535" s="21" t="n">
        <f aca="false">L535*O535</f>
        <v>2360.512</v>
      </c>
      <c r="Q535" s="50" t="n">
        <f aca="false">INDEX(Productos!$E$2:$E$13,MATCH($H535,Productos!$A$2:$A$13,0))*INDEX(Parametros!$B$26:$B$43,MATCH($C535,Parametros!$A$26:$A$43,0))</f>
        <v>47.7555</v>
      </c>
      <c r="R535" s="21" t="n">
        <f aca="false">L535*Q535</f>
        <v>1337.154</v>
      </c>
      <c r="S535" s="18" t="n">
        <f aca="false">L535*INDEX(Parametros!$B$20:$B$22,MATCH($E535,Parametros!$A$20:$A$22,0))</f>
        <v>53.2</v>
      </c>
      <c r="T535" s="18" t="n">
        <f aca="false">P535*INDEX(Parametros!$B$13:$B$16,MATCH($F535,Parametros!$A$13:$A$16,0))</f>
        <v>82.61792</v>
      </c>
      <c r="U535" s="21" t="n">
        <f aca="false">P535-R535-S535-T535</f>
        <v>887.54008</v>
      </c>
      <c r="V535" s="19" t="n">
        <f aca="false">IFERROR(U535/P535,0)</f>
        <v>0.375994733345986</v>
      </c>
      <c r="W535" s="48" t="n">
        <f aca="false">B535+INDEX(Parametros!$C$13:$C$16,MATCH($F535,Parametros!$A$13:$A$16,0))</f>
        <v>45878</v>
      </c>
      <c r="X535" s="31" t="s">
        <v>67</v>
      </c>
      <c r="Y535" s="53" t="n">
        <f aca="false">IF(COUNTIF($A$2:$A535,A535)=1,1,0)</f>
        <v>1</v>
      </c>
    </row>
    <row r="536" customFormat="false" ht="15" hidden="false" customHeight="false" outlineLevel="0" collapsed="false">
      <c r="A536" s="31" t="s">
        <v>530</v>
      </c>
      <c r="B536" s="36" t="n">
        <v>45833</v>
      </c>
      <c r="C536" s="49" t="n">
        <f aca="false">DATE(YEAR(B536),MONTH(B536),1)</f>
        <v>45809</v>
      </c>
      <c r="D536" s="31" t="s">
        <v>193</v>
      </c>
      <c r="E536" s="31" t="s">
        <v>41</v>
      </c>
      <c r="F536" s="31" t="s">
        <v>45</v>
      </c>
      <c r="G536" s="31" t="s">
        <v>62</v>
      </c>
      <c r="H536" s="31" t="s">
        <v>171</v>
      </c>
      <c r="I536" s="32" t="str">
        <f aca="false">INDEX(Productos!$B$2:$B$13,MATCH($H536,Productos!$A$2:$A$13,0))</f>
        <v>Tornillo DIN 7991 M8x30 avellanado inox A2</v>
      </c>
      <c r="J536" s="32" t="str">
        <f aca="false">INDEX(Productos!$C$2:$C$13,MATCH($H536,Productos!$A$2:$A$13,0))</f>
        <v>Inoxidable</v>
      </c>
      <c r="K536" s="31" t="s">
        <v>246</v>
      </c>
      <c r="L536" s="46" t="n">
        <v>59</v>
      </c>
      <c r="M536" s="50" t="n">
        <f aca="false">INDEX(Productos!$F$2:$F$13,MATCH($H536,Productos!$A$2:$A$13,0))</f>
        <v>88</v>
      </c>
      <c r="N536" s="51" t="n">
        <v>0.17</v>
      </c>
      <c r="O536" s="52" t="n">
        <f aca="false">M536*(1-N536)</f>
        <v>73.04</v>
      </c>
      <c r="P536" s="21" t="n">
        <f aca="false">L536*O536</f>
        <v>4309.36</v>
      </c>
      <c r="Q536" s="50" t="n">
        <f aca="false">INDEX(Productos!$E$2:$E$13,MATCH($H536,Productos!$A$2:$A$13,0))*INDEX(Parametros!$B$26:$B$43,MATCH($C536,Parametros!$A$26:$A$43,0))</f>
        <v>47.7555</v>
      </c>
      <c r="R536" s="21" t="n">
        <f aca="false">L536*Q536</f>
        <v>2817.5745</v>
      </c>
      <c r="S536" s="18" t="n">
        <f aca="false">L536*INDEX(Parametros!$B$20:$B$22,MATCH($E536,Parametros!$A$20:$A$22,0))</f>
        <v>50.15</v>
      </c>
      <c r="T536" s="18" t="n">
        <f aca="false">P536*INDEX(Parametros!$B$13:$B$16,MATCH($F536,Parametros!$A$13:$A$16,0))</f>
        <v>129.2808</v>
      </c>
      <c r="U536" s="21" t="n">
        <f aca="false">P536-R536-S536-T536</f>
        <v>1312.3547</v>
      </c>
      <c r="V536" s="19" t="n">
        <f aca="false">IFERROR(U536/P536,0)</f>
        <v>0.30453587075575</v>
      </c>
      <c r="W536" s="48" t="n">
        <f aca="false">B536+INDEX(Parametros!$C$13:$C$16,MATCH($F536,Parametros!$A$13:$A$16,0))</f>
        <v>45893</v>
      </c>
      <c r="X536" s="31" t="s">
        <v>67</v>
      </c>
      <c r="Y536" s="53" t="n">
        <f aca="false">IF(COUNTIF($A$2:$A536,A536)=1,1,0)</f>
        <v>1</v>
      </c>
    </row>
    <row r="537" customFormat="false" ht="15" hidden="false" customHeight="false" outlineLevel="0" collapsed="false">
      <c r="A537" s="31" t="s">
        <v>531</v>
      </c>
      <c r="B537" s="36" t="n">
        <v>45834</v>
      </c>
      <c r="C537" s="49" t="n">
        <f aca="false">DATE(YEAR(B537),MONTH(B537),1)</f>
        <v>45809</v>
      </c>
      <c r="D537" s="31" t="s">
        <v>196</v>
      </c>
      <c r="E537" s="31" t="s">
        <v>41</v>
      </c>
      <c r="F537" s="31" t="s">
        <v>47</v>
      </c>
      <c r="G537" s="31" t="s">
        <v>58</v>
      </c>
      <c r="H537" s="31" t="s">
        <v>167</v>
      </c>
      <c r="I537" s="32" t="str">
        <f aca="false">INDEX(Productos!$B$2:$B$13,MATCH($H537,Productos!$A$2:$A$13,0))</f>
        <v>Tornillo DIN 912 M6x25 Allen zincado</v>
      </c>
      <c r="J537" s="32" t="str">
        <f aca="false">INDEX(Productos!$C$2:$C$13,MATCH($H537,Productos!$A$2:$A$13,0))</f>
        <v>Métrica</v>
      </c>
      <c r="K537" s="31" t="s">
        <v>246</v>
      </c>
      <c r="L537" s="46" t="n">
        <v>24</v>
      </c>
      <c r="M537" s="50" t="n">
        <f aca="false">INDEX(Productos!$F$2:$F$13,MATCH($H537,Productos!$A$2:$A$13,0))</f>
        <v>42</v>
      </c>
      <c r="N537" s="51" t="n">
        <v>0.037</v>
      </c>
      <c r="O537" s="52" t="n">
        <f aca="false">M537*(1-N537)</f>
        <v>40.446</v>
      </c>
      <c r="P537" s="21" t="n">
        <f aca="false">L537*O537</f>
        <v>970.704</v>
      </c>
      <c r="Q537" s="50" t="n">
        <f aca="false">INDEX(Productos!$E$2:$E$13,MATCH($H537,Productos!$A$2:$A$13,0))*INDEX(Parametros!$B$26:$B$43,MATCH($C537,Parametros!$A$26:$A$43,0))</f>
        <v>22.3886</v>
      </c>
      <c r="R537" s="21" t="n">
        <f aca="false">L537*Q537</f>
        <v>537.3264</v>
      </c>
      <c r="S537" s="18" t="n">
        <f aca="false">L537*INDEX(Parametros!$B$20:$B$22,MATCH($E537,Parametros!$A$20:$A$22,0))</f>
        <v>20.4</v>
      </c>
      <c r="T537" s="18" t="n">
        <f aca="false">P537*INDEX(Parametros!$B$13:$B$16,MATCH($F537,Parametros!$A$13:$A$16,0))</f>
        <v>33.97464</v>
      </c>
      <c r="U537" s="21" t="n">
        <f aca="false">P537-R537-S537-T537</f>
        <v>379.00296</v>
      </c>
      <c r="V537" s="19" t="n">
        <f aca="false">IFERROR(U537/P537,0)</f>
        <v>0.390441329179647</v>
      </c>
      <c r="W537" s="48" t="n">
        <f aca="false">B537+INDEX(Parametros!$C$13:$C$16,MATCH($F537,Parametros!$A$13:$A$16,0))</f>
        <v>45879</v>
      </c>
      <c r="X537" s="31" t="s">
        <v>67</v>
      </c>
      <c r="Y537" s="53" t="n">
        <f aca="false">IF(COUNTIF($A$2:$A537,A537)=1,1,0)</f>
        <v>1</v>
      </c>
    </row>
    <row r="538" customFormat="false" ht="15" hidden="false" customHeight="false" outlineLevel="0" collapsed="false">
      <c r="A538" s="31" t="s">
        <v>531</v>
      </c>
      <c r="B538" s="36" t="n">
        <v>45834</v>
      </c>
      <c r="C538" s="49" t="n">
        <f aca="false">DATE(YEAR(B538),MONTH(B538),1)</f>
        <v>45809</v>
      </c>
      <c r="D538" s="31" t="s">
        <v>196</v>
      </c>
      <c r="E538" s="31" t="s">
        <v>41</v>
      </c>
      <c r="F538" s="31" t="s">
        <v>47</v>
      </c>
      <c r="G538" s="31" t="s">
        <v>58</v>
      </c>
      <c r="H538" s="31" t="s">
        <v>175</v>
      </c>
      <c r="I538" s="32" t="str">
        <f aca="false">INDEX(Productos!$B$2:$B$13,MATCH($H538,Productos!$A$2:$A$13,0))</f>
        <v>Tirafondo madera 5x60 cabeza plana Torx</v>
      </c>
      <c r="J538" s="32" t="str">
        <f aca="false">INDEX(Productos!$C$2:$C$13,MATCH($H538,Productos!$A$2:$A$13,0))</f>
        <v>Madera</v>
      </c>
      <c r="K538" s="31" t="s">
        <v>246</v>
      </c>
      <c r="L538" s="46" t="n">
        <v>31</v>
      </c>
      <c r="M538" s="50" t="n">
        <f aca="false">INDEX(Productos!$F$2:$F$13,MATCH($H538,Productos!$A$2:$A$13,0))</f>
        <v>26</v>
      </c>
      <c r="N538" s="51" t="n">
        <v>0.097</v>
      </c>
      <c r="O538" s="52" t="n">
        <f aca="false">M538*(1-N538)</f>
        <v>23.478</v>
      </c>
      <c r="P538" s="21" t="n">
        <f aca="false">L538*O538</f>
        <v>727.818</v>
      </c>
      <c r="Q538" s="50" t="n">
        <f aca="false">INDEX(Productos!$E$2:$E$13,MATCH($H538,Productos!$A$2:$A$13,0))*INDEX(Parametros!$B$26:$B$43,MATCH($C538,Parametros!$A$26:$A$43,0))</f>
        <v>13.7618</v>
      </c>
      <c r="R538" s="21" t="n">
        <f aca="false">L538*Q538</f>
        <v>426.6158</v>
      </c>
      <c r="S538" s="18" t="n">
        <f aca="false">L538*INDEX(Parametros!$B$20:$B$22,MATCH($E538,Parametros!$A$20:$A$22,0))</f>
        <v>26.35</v>
      </c>
      <c r="T538" s="18" t="n">
        <f aca="false">P538*INDEX(Parametros!$B$13:$B$16,MATCH($F538,Parametros!$A$13:$A$16,0))</f>
        <v>25.47363</v>
      </c>
      <c r="U538" s="21" t="n">
        <f aca="false">P538-R538-S538-T538</f>
        <v>249.37857</v>
      </c>
      <c r="V538" s="19" t="n">
        <f aca="false">IFERROR(U538/P538,0)</f>
        <v>0.342638640429338</v>
      </c>
      <c r="W538" s="48" t="n">
        <f aca="false">B538+INDEX(Parametros!$C$13:$C$16,MATCH($F538,Parametros!$A$13:$A$16,0))</f>
        <v>45879</v>
      </c>
      <c r="X538" s="31" t="s">
        <v>67</v>
      </c>
      <c r="Y538" s="53" t="n">
        <f aca="false">IF(COUNTIF($A$2:$A538,A538)=1,1,0)</f>
        <v>0</v>
      </c>
    </row>
    <row r="539" customFormat="false" ht="15" hidden="false" customHeight="false" outlineLevel="0" collapsed="false">
      <c r="A539" s="31" t="s">
        <v>531</v>
      </c>
      <c r="B539" s="36" t="n">
        <v>45834</v>
      </c>
      <c r="C539" s="49" t="n">
        <f aca="false">DATE(YEAR(B539),MONTH(B539),1)</f>
        <v>45809</v>
      </c>
      <c r="D539" s="31" t="s">
        <v>196</v>
      </c>
      <c r="E539" s="31" t="s">
        <v>41</v>
      </c>
      <c r="F539" s="31" t="s">
        <v>47</v>
      </c>
      <c r="G539" s="31" t="s">
        <v>58</v>
      </c>
      <c r="H539" s="31" t="s">
        <v>183</v>
      </c>
      <c r="I539" s="32" t="str">
        <f aca="false">INDEX(Productos!$B$2:$B$13,MATCH($H539,Productos!$A$2:$A$13,0))</f>
        <v>Tornillo estructural M16x90 clase 10.9</v>
      </c>
      <c r="J539" s="32" t="str">
        <f aca="false">INDEX(Productos!$C$2:$C$13,MATCH($H539,Productos!$A$2:$A$13,0))</f>
        <v>Especial</v>
      </c>
      <c r="K539" s="31" t="s">
        <v>246</v>
      </c>
      <c r="L539" s="46" t="n">
        <v>30</v>
      </c>
      <c r="M539" s="50" t="n">
        <f aca="false">INDEX(Productos!$F$2:$F$13,MATCH($H539,Productos!$A$2:$A$13,0))</f>
        <v>112</v>
      </c>
      <c r="N539" s="51" t="n">
        <v>0.071</v>
      </c>
      <c r="O539" s="52" t="n">
        <f aca="false">M539*(1-N539)</f>
        <v>104.048</v>
      </c>
      <c r="P539" s="21" t="n">
        <f aca="false">L539*O539</f>
        <v>3121.44</v>
      </c>
      <c r="Q539" s="50" t="n">
        <f aca="false">INDEX(Productos!$E$2:$E$13,MATCH($H539,Productos!$A$2:$A$13,0))*INDEX(Parametros!$B$26:$B$43,MATCH($C539,Parametros!$A$26:$A$43,0))</f>
        <v>61.62</v>
      </c>
      <c r="R539" s="21" t="n">
        <f aca="false">L539*Q539</f>
        <v>1848.6</v>
      </c>
      <c r="S539" s="18" t="n">
        <f aca="false">L539*INDEX(Parametros!$B$20:$B$22,MATCH($E539,Parametros!$A$20:$A$22,0))</f>
        <v>25.5</v>
      </c>
      <c r="T539" s="18" t="n">
        <f aca="false">P539*INDEX(Parametros!$B$13:$B$16,MATCH($F539,Parametros!$A$13:$A$16,0))</f>
        <v>109.2504</v>
      </c>
      <c r="U539" s="21" t="n">
        <f aca="false">P539-R539-S539-T539</f>
        <v>1138.0896</v>
      </c>
      <c r="V539" s="19" t="n">
        <f aca="false">IFERROR(U539/P539,0)</f>
        <v>0.364604028909734</v>
      </c>
      <c r="W539" s="48" t="n">
        <f aca="false">B539+INDEX(Parametros!$C$13:$C$16,MATCH($F539,Parametros!$A$13:$A$16,0))</f>
        <v>45879</v>
      </c>
      <c r="X539" s="31" t="s">
        <v>67</v>
      </c>
      <c r="Y539" s="53" t="n">
        <f aca="false">IF(COUNTIF($A$2:$A539,A539)=1,1,0)</f>
        <v>0</v>
      </c>
    </row>
    <row r="540" customFormat="false" ht="15" hidden="false" customHeight="false" outlineLevel="0" collapsed="false">
      <c r="A540" s="31" t="s">
        <v>532</v>
      </c>
      <c r="B540" s="36" t="n">
        <v>45834</v>
      </c>
      <c r="C540" s="49" t="n">
        <f aca="false">DATE(YEAR(B540),MONTH(B540),1)</f>
        <v>45809</v>
      </c>
      <c r="D540" s="31" t="s">
        <v>207</v>
      </c>
      <c r="E540" s="31" t="s">
        <v>41</v>
      </c>
      <c r="F540" s="31" t="s">
        <v>47</v>
      </c>
      <c r="G540" s="31" t="s">
        <v>62</v>
      </c>
      <c r="H540" s="31" t="s">
        <v>173</v>
      </c>
      <c r="I540" s="32" t="str">
        <f aca="false">INDEX(Productos!$B$2:$B$13,MATCH($H540,Productos!$A$2:$A$13,0))</f>
        <v>Tornillo DIN 933 M12x70 clase 8.8</v>
      </c>
      <c r="J540" s="32" t="str">
        <f aca="false">INDEX(Productos!$C$2:$C$13,MATCH($H540,Productos!$A$2:$A$13,0))</f>
        <v>Métrica</v>
      </c>
      <c r="K540" s="31" t="s">
        <v>246</v>
      </c>
      <c r="L540" s="46" t="n">
        <v>57</v>
      </c>
      <c r="M540" s="50" t="n">
        <f aca="false">INDEX(Productos!$F$2:$F$13,MATCH($H540,Productos!$A$2:$A$13,0))</f>
        <v>64</v>
      </c>
      <c r="N540" s="51" t="n">
        <v>0.047</v>
      </c>
      <c r="O540" s="52" t="n">
        <f aca="false">M540*(1-N540)</f>
        <v>60.992</v>
      </c>
      <c r="P540" s="21" t="n">
        <f aca="false">L540*O540</f>
        <v>3476.544</v>
      </c>
      <c r="Q540" s="50" t="n">
        <f aca="false">INDEX(Productos!$E$2:$E$13,MATCH($H540,Productos!$A$2:$A$13,0))*INDEX(Parametros!$B$26:$B$43,MATCH($C540,Parametros!$A$26:$A$43,0))</f>
        <v>34.4045</v>
      </c>
      <c r="R540" s="21" t="n">
        <f aca="false">L540*Q540</f>
        <v>1961.0565</v>
      </c>
      <c r="S540" s="18" t="n">
        <f aca="false">L540*INDEX(Parametros!$B$20:$B$22,MATCH($E540,Parametros!$A$20:$A$22,0))</f>
        <v>48.45</v>
      </c>
      <c r="T540" s="18" t="n">
        <f aca="false">P540*INDEX(Parametros!$B$13:$B$16,MATCH($F540,Parametros!$A$13:$A$16,0))</f>
        <v>121.67904</v>
      </c>
      <c r="U540" s="21" t="n">
        <f aca="false">P540-R540-S540-T540</f>
        <v>1345.35846</v>
      </c>
      <c r="V540" s="19" t="n">
        <f aca="false">IFERROR(U540/P540,0)</f>
        <v>0.38698157135362</v>
      </c>
      <c r="W540" s="48" t="n">
        <f aca="false">B540+INDEX(Parametros!$C$13:$C$16,MATCH($F540,Parametros!$A$13:$A$16,0))</f>
        <v>45879</v>
      </c>
      <c r="X540" s="31" t="s">
        <v>67</v>
      </c>
      <c r="Y540" s="53" t="n">
        <f aca="false">IF(COUNTIF($A$2:$A540,A540)=1,1,0)</f>
        <v>1</v>
      </c>
    </row>
    <row r="541" customFormat="false" ht="15" hidden="false" customHeight="false" outlineLevel="0" collapsed="false">
      <c r="A541" s="31" t="s">
        <v>532</v>
      </c>
      <c r="B541" s="36" t="n">
        <v>45834</v>
      </c>
      <c r="C541" s="49" t="n">
        <f aca="false">DATE(YEAR(B541),MONTH(B541),1)</f>
        <v>45809</v>
      </c>
      <c r="D541" s="31" t="s">
        <v>207</v>
      </c>
      <c r="E541" s="31" t="s">
        <v>41</v>
      </c>
      <c r="F541" s="31" t="s">
        <v>47</v>
      </c>
      <c r="G541" s="31" t="s">
        <v>62</v>
      </c>
      <c r="H541" s="31" t="s">
        <v>167</v>
      </c>
      <c r="I541" s="32" t="str">
        <f aca="false">INDEX(Productos!$B$2:$B$13,MATCH($H541,Productos!$A$2:$A$13,0))</f>
        <v>Tornillo DIN 912 M6x25 Allen zincado</v>
      </c>
      <c r="J541" s="32" t="str">
        <f aca="false">INDEX(Productos!$C$2:$C$13,MATCH($H541,Productos!$A$2:$A$13,0))</f>
        <v>Métrica</v>
      </c>
      <c r="K541" s="31" t="s">
        <v>246</v>
      </c>
      <c r="L541" s="46" t="n">
        <v>16</v>
      </c>
      <c r="M541" s="50" t="n">
        <f aca="false">INDEX(Productos!$F$2:$F$13,MATCH($H541,Productos!$A$2:$A$13,0))</f>
        <v>42</v>
      </c>
      <c r="N541" s="51" t="n">
        <v>0.067</v>
      </c>
      <c r="O541" s="52" t="n">
        <f aca="false">M541*(1-N541)</f>
        <v>39.186</v>
      </c>
      <c r="P541" s="21" t="n">
        <f aca="false">L541*O541</f>
        <v>626.976</v>
      </c>
      <c r="Q541" s="50" t="n">
        <f aca="false">INDEX(Productos!$E$2:$E$13,MATCH($H541,Productos!$A$2:$A$13,0))*INDEX(Parametros!$B$26:$B$43,MATCH($C541,Parametros!$A$26:$A$43,0))</f>
        <v>22.3886</v>
      </c>
      <c r="R541" s="21" t="n">
        <f aca="false">L541*Q541</f>
        <v>358.2176</v>
      </c>
      <c r="S541" s="18" t="n">
        <f aca="false">L541*INDEX(Parametros!$B$20:$B$22,MATCH($E541,Parametros!$A$20:$A$22,0))</f>
        <v>13.6</v>
      </c>
      <c r="T541" s="18" t="n">
        <f aca="false">P541*INDEX(Parametros!$B$13:$B$16,MATCH($F541,Parametros!$A$13:$A$16,0))</f>
        <v>21.94416</v>
      </c>
      <c r="U541" s="21" t="n">
        <f aca="false">P541-R541-S541-T541</f>
        <v>233.21424</v>
      </c>
      <c r="V541" s="19" t="n">
        <f aca="false">IFERROR(U541/P541,0)</f>
        <v>0.371966773847803</v>
      </c>
      <c r="W541" s="48" t="n">
        <f aca="false">B541+INDEX(Parametros!$C$13:$C$16,MATCH($F541,Parametros!$A$13:$A$16,0))</f>
        <v>45879</v>
      </c>
      <c r="X541" s="31" t="s">
        <v>67</v>
      </c>
      <c r="Y541" s="53" t="n">
        <f aca="false">IF(COUNTIF($A$2:$A541,A541)=1,1,0)</f>
        <v>0</v>
      </c>
    </row>
    <row r="542" customFormat="false" ht="15" hidden="false" customHeight="false" outlineLevel="0" collapsed="false">
      <c r="A542" s="31" t="s">
        <v>532</v>
      </c>
      <c r="B542" s="36" t="n">
        <v>45834</v>
      </c>
      <c r="C542" s="49" t="n">
        <f aca="false">DATE(YEAR(B542),MONTH(B542),1)</f>
        <v>45809</v>
      </c>
      <c r="D542" s="31" t="s">
        <v>207</v>
      </c>
      <c r="E542" s="31" t="s">
        <v>41</v>
      </c>
      <c r="F542" s="31" t="s">
        <v>47</v>
      </c>
      <c r="G542" s="31" t="s">
        <v>62</v>
      </c>
      <c r="H542" s="31" t="s">
        <v>183</v>
      </c>
      <c r="I542" s="32" t="str">
        <f aca="false">INDEX(Productos!$B$2:$B$13,MATCH($H542,Productos!$A$2:$A$13,0))</f>
        <v>Tornillo estructural M16x90 clase 10.9</v>
      </c>
      <c r="J542" s="32" t="str">
        <f aca="false">INDEX(Productos!$C$2:$C$13,MATCH($H542,Productos!$A$2:$A$13,0))</f>
        <v>Especial</v>
      </c>
      <c r="K542" s="31" t="s">
        <v>246</v>
      </c>
      <c r="L542" s="46" t="n">
        <v>110</v>
      </c>
      <c r="M542" s="50" t="n">
        <f aca="false">INDEX(Productos!$F$2:$F$13,MATCH($H542,Productos!$A$2:$A$13,0))</f>
        <v>112</v>
      </c>
      <c r="N542" s="51" t="n">
        <v>0.049</v>
      </c>
      <c r="O542" s="52" t="n">
        <f aca="false">M542*(1-N542)</f>
        <v>106.512</v>
      </c>
      <c r="P542" s="21" t="n">
        <f aca="false">L542*O542</f>
        <v>11716.32</v>
      </c>
      <c r="Q542" s="50" t="n">
        <f aca="false">INDEX(Productos!$E$2:$E$13,MATCH($H542,Productos!$A$2:$A$13,0))*INDEX(Parametros!$B$26:$B$43,MATCH($C542,Parametros!$A$26:$A$43,0))</f>
        <v>61.62</v>
      </c>
      <c r="R542" s="21" t="n">
        <f aca="false">L542*Q542</f>
        <v>6778.2</v>
      </c>
      <c r="S542" s="18" t="n">
        <f aca="false">L542*INDEX(Parametros!$B$20:$B$22,MATCH($E542,Parametros!$A$20:$A$22,0))</f>
        <v>93.5</v>
      </c>
      <c r="T542" s="18" t="n">
        <f aca="false">P542*INDEX(Parametros!$B$13:$B$16,MATCH($F542,Parametros!$A$13:$A$16,0))</f>
        <v>410.0712</v>
      </c>
      <c r="U542" s="21" t="n">
        <f aca="false">P542-R542-S542-T542</f>
        <v>4434.5488</v>
      </c>
      <c r="V542" s="19" t="n">
        <f aca="false">IFERROR(U542/P542,0)</f>
        <v>0.378493315307195</v>
      </c>
      <c r="W542" s="48" t="n">
        <f aca="false">B542+INDEX(Parametros!$C$13:$C$16,MATCH($F542,Parametros!$A$13:$A$16,0))</f>
        <v>45879</v>
      </c>
      <c r="X542" s="31" t="s">
        <v>67</v>
      </c>
      <c r="Y542" s="53" t="n">
        <f aca="false">IF(COUNTIF($A$2:$A542,A542)=1,1,0)</f>
        <v>0</v>
      </c>
    </row>
    <row r="543" customFormat="false" ht="15" hidden="false" customHeight="false" outlineLevel="0" collapsed="false">
      <c r="A543" s="31" t="s">
        <v>532</v>
      </c>
      <c r="B543" s="36" t="n">
        <v>45834</v>
      </c>
      <c r="C543" s="49" t="n">
        <f aca="false">DATE(YEAR(B543),MONTH(B543),1)</f>
        <v>45809</v>
      </c>
      <c r="D543" s="31" t="s">
        <v>207</v>
      </c>
      <c r="E543" s="31" t="s">
        <v>41</v>
      </c>
      <c r="F543" s="31" t="s">
        <v>47</v>
      </c>
      <c r="G543" s="31" t="s">
        <v>62</v>
      </c>
      <c r="H543" s="31" t="s">
        <v>165</v>
      </c>
      <c r="I543" s="32" t="str">
        <f aca="false">INDEX(Productos!$B$2:$B$13,MATCH($H543,Productos!$A$2:$A$13,0))</f>
        <v>Tornillo DIN 933 M8x40 rosca completa zincado</v>
      </c>
      <c r="J543" s="32" t="str">
        <f aca="false">INDEX(Productos!$C$2:$C$13,MATCH($H543,Productos!$A$2:$A$13,0))</f>
        <v>Métrica</v>
      </c>
      <c r="K543" s="31" t="s">
        <v>246</v>
      </c>
      <c r="L543" s="46" t="n">
        <v>32</v>
      </c>
      <c r="M543" s="50" t="n">
        <f aca="false">INDEX(Productos!$F$2:$F$13,MATCH($H543,Productos!$A$2:$A$13,0))</f>
        <v>37.5</v>
      </c>
      <c r="N543" s="51" t="n">
        <v>0.082</v>
      </c>
      <c r="O543" s="52" t="n">
        <f aca="false">M543*(1-N543)</f>
        <v>34.425</v>
      </c>
      <c r="P543" s="21" t="n">
        <f aca="false">L543*O543</f>
        <v>1101.6</v>
      </c>
      <c r="Q543" s="50" t="n">
        <f aca="false">INDEX(Productos!$E$2:$E$13,MATCH($H543,Productos!$A$2:$A$13,0))*INDEX(Parametros!$B$26:$B$43,MATCH($C543,Parametros!$A$26:$A$43,0))</f>
        <v>19.9238</v>
      </c>
      <c r="R543" s="21" t="n">
        <f aca="false">L543*Q543</f>
        <v>637.5616</v>
      </c>
      <c r="S543" s="18" t="n">
        <f aca="false">L543*INDEX(Parametros!$B$20:$B$22,MATCH($E543,Parametros!$A$20:$A$22,0))</f>
        <v>27.2</v>
      </c>
      <c r="T543" s="18" t="n">
        <f aca="false">P543*INDEX(Parametros!$B$13:$B$16,MATCH($F543,Parametros!$A$13:$A$16,0))</f>
        <v>38.556</v>
      </c>
      <c r="U543" s="21" t="n">
        <f aca="false">P543-R543-S543-T543</f>
        <v>398.2824</v>
      </c>
      <c r="V543" s="19" t="n">
        <f aca="false">IFERROR(U543/P543,0)</f>
        <v>0.361549019607843</v>
      </c>
      <c r="W543" s="48" t="n">
        <f aca="false">B543+INDEX(Parametros!$C$13:$C$16,MATCH($F543,Parametros!$A$13:$A$16,0))</f>
        <v>45879</v>
      </c>
      <c r="X543" s="31" t="s">
        <v>67</v>
      </c>
      <c r="Y543" s="53" t="n">
        <f aca="false">IF(COUNTIF($A$2:$A543,A543)=1,1,0)</f>
        <v>0</v>
      </c>
    </row>
    <row r="544" customFormat="false" ht="15" hidden="false" customHeight="false" outlineLevel="0" collapsed="false">
      <c r="A544" s="31" t="s">
        <v>533</v>
      </c>
      <c r="B544" s="36" t="n">
        <v>45835</v>
      </c>
      <c r="C544" s="49" t="n">
        <f aca="false">DATE(YEAR(B544),MONTH(B544),1)</f>
        <v>45809</v>
      </c>
      <c r="D544" s="31" t="s">
        <v>199</v>
      </c>
      <c r="E544" s="31" t="s">
        <v>41</v>
      </c>
      <c r="F544" s="31" t="s">
        <v>45</v>
      </c>
      <c r="G544" s="31" t="s">
        <v>58</v>
      </c>
      <c r="H544" s="31" t="s">
        <v>177</v>
      </c>
      <c r="I544" s="32" t="str">
        <f aca="false">INDEX(Productos!$B$2:$B$13,MATCH($H544,Productos!$A$2:$A$13,0))</f>
        <v>Tirafondo madera 6x100 cabeza plana Torx</v>
      </c>
      <c r="J544" s="32" t="str">
        <f aca="false">INDEX(Productos!$C$2:$C$13,MATCH($H544,Productos!$A$2:$A$13,0))</f>
        <v>Madera</v>
      </c>
      <c r="K544" s="31" t="s">
        <v>246</v>
      </c>
      <c r="L544" s="46" t="n">
        <v>112</v>
      </c>
      <c r="M544" s="50" t="n">
        <f aca="false">INDEX(Productos!$F$2:$F$13,MATCH($H544,Productos!$A$2:$A$13,0))</f>
        <v>34</v>
      </c>
      <c r="N544" s="51" t="n">
        <v>0.19</v>
      </c>
      <c r="O544" s="52" t="n">
        <f aca="false">M544*(1-N544)</f>
        <v>27.54</v>
      </c>
      <c r="P544" s="21" t="n">
        <f aca="false">L544*O544</f>
        <v>3084.48</v>
      </c>
      <c r="Q544" s="50" t="n">
        <f aca="false">INDEX(Productos!$E$2:$E$13,MATCH($H544,Productos!$A$2:$A$13,0))*INDEX(Parametros!$B$26:$B$43,MATCH($C544,Parametros!$A$26:$A$43,0))</f>
        <v>18.2806</v>
      </c>
      <c r="R544" s="21" t="n">
        <f aca="false">L544*Q544</f>
        <v>2047.4272</v>
      </c>
      <c r="S544" s="18" t="n">
        <f aca="false">L544*INDEX(Parametros!$B$20:$B$22,MATCH($E544,Parametros!$A$20:$A$22,0))</f>
        <v>95.2</v>
      </c>
      <c r="T544" s="18" t="n">
        <f aca="false">P544*INDEX(Parametros!$B$13:$B$16,MATCH($F544,Parametros!$A$13:$A$16,0))</f>
        <v>92.5344</v>
      </c>
      <c r="U544" s="21" t="n">
        <f aca="false">P544-R544-S544-T544</f>
        <v>849.3184</v>
      </c>
      <c r="V544" s="19" t="n">
        <f aca="false">IFERROR(U544/P544,0)</f>
        <v>0.275352214960058</v>
      </c>
      <c r="W544" s="48" t="n">
        <f aca="false">B544+INDEX(Parametros!$C$13:$C$16,MATCH($F544,Parametros!$A$13:$A$16,0))</f>
        <v>45895</v>
      </c>
      <c r="X544" s="31" t="s">
        <v>67</v>
      </c>
      <c r="Y544" s="53" t="n">
        <f aca="false">IF(COUNTIF($A$2:$A544,A544)=1,1,0)</f>
        <v>1</v>
      </c>
    </row>
    <row r="545" customFormat="false" ht="15" hidden="false" customHeight="false" outlineLevel="0" collapsed="false">
      <c r="A545" s="31" t="s">
        <v>533</v>
      </c>
      <c r="B545" s="36" t="n">
        <v>45835</v>
      </c>
      <c r="C545" s="49" t="n">
        <f aca="false">DATE(YEAR(B545),MONTH(B545),1)</f>
        <v>45809</v>
      </c>
      <c r="D545" s="31" t="s">
        <v>199</v>
      </c>
      <c r="E545" s="31" t="s">
        <v>41</v>
      </c>
      <c r="F545" s="31" t="s">
        <v>45</v>
      </c>
      <c r="G545" s="31" t="s">
        <v>58</v>
      </c>
      <c r="H545" s="31" t="s">
        <v>167</v>
      </c>
      <c r="I545" s="32" t="str">
        <f aca="false">INDEX(Productos!$B$2:$B$13,MATCH($H545,Productos!$A$2:$A$13,0))</f>
        <v>Tornillo DIN 912 M6x25 Allen zincado</v>
      </c>
      <c r="J545" s="32" t="str">
        <f aca="false">INDEX(Productos!$C$2:$C$13,MATCH($H545,Productos!$A$2:$A$13,0))</f>
        <v>Métrica</v>
      </c>
      <c r="K545" s="31" t="s">
        <v>246</v>
      </c>
      <c r="L545" s="46" t="n">
        <v>28</v>
      </c>
      <c r="M545" s="50" t="n">
        <f aca="false">INDEX(Productos!$F$2:$F$13,MATCH($H545,Productos!$A$2:$A$13,0))</f>
        <v>42</v>
      </c>
      <c r="N545" s="51" t="n">
        <v>0.189</v>
      </c>
      <c r="O545" s="52" t="n">
        <f aca="false">M545*(1-N545)</f>
        <v>34.062</v>
      </c>
      <c r="P545" s="21" t="n">
        <f aca="false">L545*O545</f>
        <v>953.736</v>
      </c>
      <c r="Q545" s="50" t="n">
        <f aca="false">INDEX(Productos!$E$2:$E$13,MATCH($H545,Productos!$A$2:$A$13,0))*INDEX(Parametros!$B$26:$B$43,MATCH($C545,Parametros!$A$26:$A$43,0))</f>
        <v>22.3886</v>
      </c>
      <c r="R545" s="21" t="n">
        <f aca="false">L545*Q545</f>
        <v>626.8808</v>
      </c>
      <c r="S545" s="18" t="n">
        <f aca="false">L545*INDEX(Parametros!$B$20:$B$22,MATCH($E545,Parametros!$A$20:$A$22,0))</f>
        <v>23.8</v>
      </c>
      <c r="T545" s="18" t="n">
        <f aca="false">P545*INDEX(Parametros!$B$13:$B$16,MATCH($F545,Parametros!$A$13:$A$16,0))</f>
        <v>28.61208</v>
      </c>
      <c r="U545" s="21" t="n">
        <f aca="false">P545-R545-S545-T545</f>
        <v>274.44312</v>
      </c>
      <c r="V545" s="19" t="n">
        <f aca="false">IFERROR(U545/P545,0)</f>
        <v>0.287755856966708</v>
      </c>
      <c r="W545" s="48" t="n">
        <f aca="false">B545+INDEX(Parametros!$C$13:$C$16,MATCH($F545,Parametros!$A$13:$A$16,0))</f>
        <v>45895</v>
      </c>
      <c r="X545" s="31" t="s">
        <v>67</v>
      </c>
      <c r="Y545" s="53" t="n">
        <f aca="false">IF(COUNTIF($A$2:$A545,A545)=1,1,0)</f>
        <v>0</v>
      </c>
    </row>
    <row r="546" customFormat="false" ht="15" hidden="false" customHeight="false" outlineLevel="0" collapsed="false">
      <c r="A546" s="31" t="s">
        <v>534</v>
      </c>
      <c r="B546" s="36" t="n">
        <v>45835</v>
      </c>
      <c r="C546" s="49" t="n">
        <f aca="false">DATE(YEAR(B546),MONTH(B546),1)</f>
        <v>45809</v>
      </c>
      <c r="D546" s="31" t="s">
        <v>195</v>
      </c>
      <c r="E546" s="31" t="s">
        <v>41</v>
      </c>
      <c r="F546" s="31" t="s">
        <v>45</v>
      </c>
      <c r="G546" s="31" t="s">
        <v>58</v>
      </c>
      <c r="H546" s="31" t="s">
        <v>185</v>
      </c>
      <c r="I546" s="32" t="str">
        <f aca="false">INDEX(Productos!$B$2:$B$13,MATCH($H546,Productos!$A$2:$A$13,0))</f>
        <v>Varilla roscada M10 x 1 m zincada</v>
      </c>
      <c r="J546" s="32" t="str">
        <f aca="false">INDEX(Productos!$C$2:$C$13,MATCH($H546,Productos!$A$2:$A$13,0))</f>
        <v>Especial</v>
      </c>
      <c r="K546" s="31" t="s">
        <v>246</v>
      </c>
      <c r="L546" s="46" t="n">
        <v>53</v>
      </c>
      <c r="M546" s="50" t="n">
        <f aca="false">INDEX(Productos!$F$2:$F$13,MATCH($H546,Productos!$A$2:$A$13,0))</f>
        <v>54</v>
      </c>
      <c r="N546" s="51" t="n">
        <v>0.181</v>
      </c>
      <c r="O546" s="52" t="n">
        <f aca="false">M546*(1-N546)</f>
        <v>44.226</v>
      </c>
      <c r="P546" s="21" t="n">
        <f aca="false">L546*O546</f>
        <v>2343.978</v>
      </c>
      <c r="Q546" s="50" t="n">
        <f aca="false">INDEX(Productos!$E$2:$E$13,MATCH($H546,Productos!$A$2:$A$13,0))*INDEX(Parametros!$B$26:$B$43,MATCH($C546,Parametros!$A$26:$A$43,0))</f>
        <v>29.2695</v>
      </c>
      <c r="R546" s="21" t="n">
        <f aca="false">L546*Q546</f>
        <v>1551.2835</v>
      </c>
      <c r="S546" s="18" t="n">
        <f aca="false">L546*INDEX(Parametros!$B$20:$B$22,MATCH($E546,Parametros!$A$20:$A$22,0))</f>
        <v>45.05</v>
      </c>
      <c r="T546" s="18" t="n">
        <f aca="false">P546*INDEX(Parametros!$B$13:$B$16,MATCH($F546,Parametros!$A$13:$A$16,0))</f>
        <v>70.31934</v>
      </c>
      <c r="U546" s="21" t="n">
        <f aca="false">P546-R546-S546-T546</f>
        <v>677.32516</v>
      </c>
      <c r="V546" s="19" t="n">
        <f aca="false">IFERROR(U546/P546,0)</f>
        <v>0.288963957852847</v>
      </c>
      <c r="W546" s="48" t="n">
        <f aca="false">B546+INDEX(Parametros!$C$13:$C$16,MATCH($F546,Parametros!$A$13:$A$16,0))</f>
        <v>45895</v>
      </c>
      <c r="X546" s="31" t="s">
        <v>69</v>
      </c>
      <c r="Y546" s="53" t="n">
        <f aca="false">IF(COUNTIF($A$2:$A546,A546)=1,1,0)</f>
        <v>1</v>
      </c>
    </row>
    <row r="547" customFormat="false" ht="15" hidden="false" customHeight="false" outlineLevel="0" collapsed="false">
      <c r="A547" s="31" t="s">
        <v>535</v>
      </c>
      <c r="B547" s="36" t="n">
        <v>45835</v>
      </c>
      <c r="C547" s="49" t="n">
        <f aca="false">DATE(YEAR(B547),MONTH(B547),1)</f>
        <v>45809</v>
      </c>
      <c r="D547" s="31" t="s">
        <v>205</v>
      </c>
      <c r="E547" s="31" t="s">
        <v>41</v>
      </c>
      <c r="F547" s="31" t="s">
        <v>45</v>
      </c>
      <c r="G547" s="31" t="s">
        <v>62</v>
      </c>
      <c r="H547" s="31" t="s">
        <v>173</v>
      </c>
      <c r="I547" s="32" t="str">
        <f aca="false">INDEX(Productos!$B$2:$B$13,MATCH($H547,Productos!$A$2:$A$13,0))</f>
        <v>Tornillo DIN 933 M12x70 clase 8.8</v>
      </c>
      <c r="J547" s="32" t="str">
        <f aca="false">INDEX(Productos!$C$2:$C$13,MATCH($H547,Productos!$A$2:$A$13,0))</f>
        <v>Métrica</v>
      </c>
      <c r="K547" s="31" t="s">
        <v>246</v>
      </c>
      <c r="L547" s="46" t="n">
        <v>21</v>
      </c>
      <c r="M547" s="50" t="n">
        <f aca="false">INDEX(Productos!$F$2:$F$13,MATCH($H547,Productos!$A$2:$A$13,0))</f>
        <v>64</v>
      </c>
      <c r="N547" s="51" t="n">
        <v>0.169</v>
      </c>
      <c r="O547" s="52" t="n">
        <f aca="false">M547*(1-N547)</f>
        <v>53.184</v>
      </c>
      <c r="P547" s="21" t="n">
        <f aca="false">L547*O547</f>
        <v>1116.864</v>
      </c>
      <c r="Q547" s="50" t="n">
        <f aca="false">INDEX(Productos!$E$2:$E$13,MATCH($H547,Productos!$A$2:$A$13,0))*INDEX(Parametros!$B$26:$B$43,MATCH($C547,Parametros!$A$26:$A$43,0))</f>
        <v>34.4045</v>
      </c>
      <c r="R547" s="21" t="n">
        <f aca="false">L547*Q547</f>
        <v>722.4945</v>
      </c>
      <c r="S547" s="18" t="n">
        <f aca="false">L547*INDEX(Parametros!$B$20:$B$22,MATCH($E547,Parametros!$A$20:$A$22,0))</f>
        <v>17.85</v>
      </c>
      <c r="T547" s="18" t="n">
        <f aca="false">P547*INDEX(Parametros!$B$13:$B$16,MATCH($F547,Parametros!$A$13:$A$16,0))</f>
        <v>33.50592</v>
      </c>
      <c r="U547" s="21" t="n">
        <f aca="false">P547-R547-S547-T547</f>
        <v>343.01358</v>
      </c>
      <c r="V547" s="19" t="n">
        <f aca="false">IFERROR(U547/P547,0)</f>
        <v>0.307122066787004</v>
      </c>
      <c r="W547" s="48" t="n">
        <f aca="false">B547+INDEX(Parametros!$C$13:$C$16,MATCH($F547,Parametros!$A$13:$A$16,0))</f>
        <v>45895</v>
      </c>
      <c r="X547" s="31" t="s">
        <v>67</v>
      </c>
      <c r="Y547" s="53" t="n">
        <f aca="false">IF(COUNTIF($A$2:$A547,A547)=1,1,0)</f>
        <v>1</v>
      </c>
    </row>
    <row r="548" customFormat="false" ht="15" hidden="false" customHeight="false" outlineLevel="0" collapsed="false">
      <c r="A548" s="31" t="s">
        <v>535</v>
      </c>
      <c r="B548" s="36" t="n">
        <v>45835</v>
      </c>
      <c r="C548" s="49" t="n">
        <f aca="false">DATE(YEAR(B548),MONTH(B548),1)</f>
        <v>45809</v>
      </c>
      <c r="D548" s="31" t="s">
        <v>205</v>
      </c>
      <c r="E548" s="31" t="s">
        <v>41</v>
      </c>
      <c r="F548" s="31" t="s">
        <v>45</v>
      </c>
      <c r="G548" s="31" t="s">
        <v>62</v>
      </c>
      <c r="H548" s="31" t="s">
        <v>183</v>
      </c>
      <c r="I548" s="32" t="str">
        <f aca="false">INDEX(Productos!$B$2:$B$13,MATCH($H548,Productos!$A$2:$A$13,0))</f>
        <v>Tornillo estructural M16x90 clase 10.9</v>
      </c>
      <c r="J548" s="32" t="str">
        <f aca="false">INDEX(Productos!$C$2:$C$13,MATCH($H548,Productos!$A$2:$A$13,0))</f>
        <v>Especial</v>
      </c>
      <c r="K548" s="31" t="s">
        <v>246</v>
      </c>
      <c r="L548" s="46" t="n">
        <v>117</v>
      </c>
      <c r="M548" s="50" t="n">
        <f aca="false">INDEX(Productos!$F$2:$F$13,MATCH($H548,Productos!$A$2:$A$13,0))</f>
        <v>112</v>
      </c>
      <c r="N548" s="51" t="n">
        <v>0.146</v>
      </c>
      <c r="O548" s="52" t="n">
        <f aca="false">M548*(1-N548)</f>
        <v>95.648</v>
      </c>
      <c r="P548" s="21" t="n">
        <f aca="false">L548*O548</f>
        <v>11190.816</v>
      </c>
      <c r="Q548" s="50" t="n">
        <f aca="false">INDEX(Productos!$E$2:$E$13,MATCH($H548,Productos!$A$2:$A$13,0))*INDEX(Parametros!$B$26:$B$43,MATCH($C548,Parametros!$A$26:$A$43,0))</f>
        <v>61.62</v>
      </c>
      <c r="R548" s="21" t="n">
        <f aca="false">L548*Q548</f>
        <v>7209.54</v>
      </c>
      <c r="S548" s="18" t="n">
        <f aca="false">L548*INDEX(Parametros!$B$20:$B$22,MATCH($E548,Parametros!$A$20:$A$22,0))</f>
        <v>99.45</v>
      </c>
      <c r="T548" s="18" t="n">
        <f aca="false">P548*INDEX(Parametros!$B$13:$B$16,MATCH($F548,Parametros!$A$13:$A$16,0))</f>
        <v>335.72448</v>
      </c>
      <c r="U548" s="21" t="n">
        <f aca="false">P548-R548-S548-T548</f>
        <v>3546.10152</v>
      </c>
      <c r="V548" s="19" t="n">
        <f aca="false">IFERROR(U548/P548,0)</f>
        <v>0.316876045500167</v>
      </c>
      <c r="W548" s="48" t="n">
        <f aca="false">B548+INDEX(Parametros!$C$13:$C$16,MATCH($F548,Parametros!$A$13:$A$16,0))</f>
        <v>45895</v>
      </c>
      <c r="X548" s="31" t="s">
        <v>67</v>
      </c>
      <c r="Y548" s="53" t="n">
        <f aca="false">IF(COUNTIF($A$2:$A548,A548)=1,1,0)</f>
        <v>0</v>
      </c>
    </row>
    <row r="549" customFormat="false" ht="15" hidden="false" customHeight="false" outlineLevel="0" collapsed="false">
      <c r="A549" s="31" t="s">
        <v>535</v>
      </c>
      <c r="B549" s="36" t="n">
        <v>45835</v>
      </c>
      <c r="C549" s="49" t="n">
        <f aca="false">DATE(YEAR(B549),MONTH(B549),1)</f>
        <v>45809</v>
      </c>
      <c r="D549" s="31" t="s">
        <v>205</v>
      </c>
      <c r="E549" s="31" t="s">
        <v>41</v>
      </c>
      <c r="F549" s="31" t="s">
        <v>45</v>
      </c>
      <c r="G549" s="31" t="s">
        <v>62</v>
      </c>
      <c r="H549" s="31" t="s">
        <v>177</v>
      </c>
      <c r="I549" s="32" t="str">
        <f aca="false">INDEX(Productos!$B$2:$B$13,MATCH($H549,Productos!$A$2:$A$13,0))</f>
        <v>Tirafondo madera 6x100 cabeza plana Torx</v>
      </c>
      <c r="J549" s="32" t="str">
        <f aca="false">INDEX(Productos!$C$2:$C$13,MATCH($H549,Productos!$A$2:$A$13,0))</f>
        <v>Madera</v>
      </c>
      <c r="K549" s="31" t="s">
        <v>246</v>
      </c>
      <c r="L549" s="46" t="n">
        <v>103</v>
      </c>
      <c r="M549" s="50" t="n">
        <f aca="false">INDEX(Productos!$F$2:$F$13,MATCH($H549,Productos!$A$2:$A$13,0))</f>
        <v>34</v>
      </c>
      <c r="N549" s="51" t="n">
        <v>0.141</v>
      </c>
      <c r="O549" s="52" t="n">
        <f aca="false">M549*(1-N549)</f>
        <v>29.206</v>
      </c>
      <c r="P549" s="21" t="n">
        <f aca="false">L549*O549</f>
        <v>3008.218</v>
      </c>
      <c r="Q549" s="50" t="n">
        <f aca="false">INDEX(Productos!$E$2:$E$13,MATCH($H549,Productos!$A$2:$A$13,0))*INDEX(Parametros!$B$26:$B$43,MATCH($C549,Parametros!$A$26:$A$43,0))</f>
        <v>18.2806</v>
      </c>
      <c r="R549" s="21" t="n">
        <f aca="false">L549*Q549</f>
        <v>1882.9018</v>
      </c>
      <c r="S549" s="18" t="n">
        <f aca="false">L549*INDEX(Parametros!$B$20:$B$22,MATCH($E549,Parametros!$A$20:$A$22,0))</f>
        <v>87.55</v>
      </c>
      <c r="T549" s="18" t="n">
        <f aca="false">P549*INDEX(Parametros!$B$13:$B$16,MATCH($F549,Parametros!$A$13:$A$16,0))</f>
        <v>90.24654</v>
      </c>
      <c r="U549" s="21" t="n">
        <f aca="false">P549-R549-S549-T549</f>
        <v>947.51966</v>
      </c>
      <c r="V549" s="19" t="n">
        <f aca="false">IFERROR(U549/P549,0)</f>
        <v>0.31497705950832</v>
      </c>
      <c r="W549" s="48" t="n">
        <f aca="false">B549+INDEX(Parametros!$C$13:$C$16,MATCH($F549,Parametros!$A$13:$A$16,0))</f>
        <v>45895</v>
      </c>
      <c r="X549" s="31" t="s">
        <v>67</v>
      </c>
      <c r="Y549" s="53" t="n">
        <f aca="false">IF(COUNTIF($A$2:$A549,A549)=1,1,0)</f>
        <v>0</v>
      </c>
    </row>
    <row r="550" customFormat="false" ht="15" hidden="false" customHeight="false" outlineLevel="0" collapsed="false">
      <c r="A550" s="31" t="s">
        <v>535</v>
      </c>
      <c r="B550" s="36" t="n">
        <v>45835</v>
      </c>
      <c r="C550" s="49" t="n">
        <f aca="false">DATE(YEAR(B550),MONTH(B550),1)</f>
        <v>45809</v>
      </c>
      <c r="D550" s="31" t="s">
        <v>205</v>
      </c>
      <c r="E550" s="31" t="s">
        <v>41</v>
      </c>
      <c r="F550" s="31" t="s">
        <v>45</v>
      </c>
      <c r="G550" s="31" t="s">
        <v>62</v>
      </c>
      <c r="H550" s="31" t="s">
        <v>163</v>
      </c>
      <c r="I550" s="32" t="str">
        <f aca="false">INDEX(Productos!$B$2:$B$13,MATCH($H550,Productos!$A$2:$A$13,0))</f>
        <v>Tornillo DIN 933 M6x30 rosca completa zincado</v>
      </c>
      <c r="J550" s="32" t="str">
        <f aca="false">INDEX(Productos!$C$2:$C$13,MATCH($H550,Productos!$A$2:$A$13,0))</f>
        <v>Métrica</v>
      </c>
      <c r="K550" s="31" t="s">
        <v>246</v>
      </c>
      <c r="L550" s="46" t="n">
        <v>123</v>
      </c>
      <c r="M550" s="50" t="n">
        <f aca="false">INDEX(Productos!$F$2:$F$13,MATCH($H550,Productos!$A$2:$A$13,0))</f>
        <v>32</v>
      </c>
      <c r="N550" s="51" t="n">
        <v>0.145</v>
      </c>
      <c r="O550" s="52" t="n">
        <f aca="false">M550*(1-N550)</f>
        <v>27.36</v>
      </c>
      <c r="P550" s="21" t="n">
        <f aca="false">L550*O550</f>
        <v>3365.28</v>
      </c>
      <c r="Q550" s="50" t="n">
        <f aca="false">INDEX(Productos!$E$2:$E$13,MATCH($H550,Productos!$A$2:$A$13,0))*INDEX(Parametros!$B$26:$B$43,MATCH($C550,Parametros!$A$26:$A$43,0))</f>
        <v>17.0482</v>
      </c>
      <c r="R550" s="21" t="n">
        <f aca="false">L550*Q550</f>
        <v>2096.9286</v>
      </c>
      <c r="S550" s="18" t="n">
        <f aca="false">L550*INDEX(Parametros!$B$20:$B$22,MATCH($E550,Parametros!$A$20:$A$22,0))</f>
        <v>104.55</v>
      </c>
      <c r="T550" s="18" t="n">
        <f aca="false">P550*INDEX(Parametros!$B$13:$B$16,MATCH($F550,Parametros!$A$13:$A$16,0))</f>
        <v>100.9584</v>
      </c>
      <c r="U550" s="21" t="n">
        <f aca="false">P550-R550-S550-T550</f>
        <v>1062.843</v>
      </c>
      <c r="V550" s="19" t="n">
        <f aca="false">IFERROR(U550/P550,0)</f>
        <v>0.315826023391813</v>
      </c>
      <c r="W550" s="48" t="n">
        <f aca="false">B550+INDEX(Parametros!$C$13:$C$16,MATCH($F550,Parametros!$A$13:$A$16,0))</f>
        <v>45895</v>
      </c>
      <c r="X550" s="31" t="s">
        <v>67</v>
      </c>
      <c r="Y550" s="53" t="n">
        <f aca="false">IF(COUNTIF($A$2:$A550,A550)=1,1,0)</f>
        <v>0</v>
      </c>
    </row>
    <row r="551" customFormat="false" ht="15" hidden="false" customHeight="false" outlineLevel="0" collapsed="false">
      <c r="A551" s="31" t="s">
        <v>536</v>
      </c>
      <c r="B551" s="36" t="n">
        <v>45838</v>
      </c>
      <c r="C551" s="49" t="n">
        <f aca="false">DATE(YEAR(B551),MONTH(B551),1)</f>
        <v>45809</v>
      </c>
      <c r="D551" s="31" t="s">
        <v>220</v>
      </c>
      <c r="E551" s="31" t="s">
        <v>42</v>
      </c>
      <c r="F551" s="31" t="s">
        <v>46</v>
      </c>
      <c r="G551" s="31" t="s">
        <v>61</v>
      </c>
      <c r="H551" s="31" t="s">
        <v>177</v>
      </c>
      <c r="I551" s="32" t="str">
        <f aca="false">INDEX(Productos!$B$2:$B$13,MATCH($H551,Productos!$A$2:$A$13,0))</f>
        <v>Tirafondo madera 6x100 cabeza plana Torx</v>
      </c>
      <c r="J551" s="32" t="str">
        <f aca="false">INDEX(Productos!$C$2:$C$13,MATCH($H551,Productos!$A$2:$A$13,0))</f>
        <v>Madera</v>
      </c>
      <c r="K551" s="31" t="s">
        <v>246</v>
      </c>
      <c r="L551" s="46" t="n">
        <v>243</v>
      </c>
      <c r="M551" s="50" t="n">
        <f aca="false">INDEX(Productos!$F$2:$F$13,MATCH($H551,Productos!$A$2:$A$13,0))</f>
        <v>34</v>
      </c>
      <c r="N551" s="51" t="n">
        <v>0.157</v>
      </c>
      <c r="O551" s="52" t="n">
        <f aca="false">M551*(1-N551)</f>
        <v>28.662</v>
      </c>
      <c r="P551" s="21" t="n">
        <f aca="false">L551*O551</f>
        <v>6964.866</v>
      </c>
      <c r="Q551" s="50" t="n">
        <f aca="false">INDEX(Productos!$E$2:$E$13,MATCH($H551,Productos!$A$2:$A$13,0))*INDEX(Parametros!$B$26:$B$43,MATCH($C551,Parametros!$A$26:$A$43,0))</f>
        <v>18.2806</v>
      </c>
      <c r="R551" s="21" t="n">
        <f aca="false">L551*Q551</f>
        <v>4442.1858</v>
      </c>
      <c r="S551" s="18" t="n">
        <f aca="false">L551*INDEX(Parametros!$B$20:$B$22,MATCH($E551,Parametros!$A$20:$A$22,0))</f>
        <v>583.2</v>
      </c>
      <c r="T551" s="18" t="n">
        <f aca="false">P551*INDEX(Parametros!$B$13:$B$16,MATCH($F551,Parametros!$A$13:$A$16,0))</f>
        <v>278.59464</v>
      </c>
      <c r="U551" s="21" t="n">
        <f aca="false">P551-R551-S551-T551</f>
        <v>1660.88556</v>
      </c>
      <c r="V551" s="19" t="n">
        <f aca="false">IFERROR(U551/P551,0)</f>
        <v>0.23846626194962</v>
      </c>
      <c r="W551" s="48" t="n">
        <f aca="false">B551+INDEX(Parametros!$C$13:$C$16,MATCH($F551,Parametros!$A$13:$A$16,0))</f>
        <v>45913</v>
      </c>
      <c r="X551" s="31" t="s">
        <v>67</v>
      </c>
      <c r="Y551" s="53" t="n">
        <f aca="false">IF(COUNTIF($A$2:$A551,A551)=1,1,0)</f>
        <v>1</v>
      </c>
    </row>
    <row r="552" customFormat="false" ht="15" hidden="false" customHeight="false" outlineLevel="0" collapsed="false">
      <c r="A552" s="31" t="s">
        <v>537</v>
      </c>
      <c r="B552" s="36" t="n">
        <v>45838</v>
      </c>
      <c r="C552" s="49" t="n">
        <f aca="false">DATE(YEAR(B552),MONTH(B552),1)</f>
        <v>45809</v>
      </c>
      <c r="D552" s="31" t="s">
        <v>192</v>
      </c>
      <c r="E552" s="31" t="s">
        <v>41</v>
      </c>
      <c r="F552" s="31" t="s">
        <v>45</v>
      </c>
      <c r="G552" s="31" t="s">
        <v>58</v>
      </c>
      <c r="H552" s="31" t="s">
        <v>173</v>
      </c>
      <c r="I552" s="32" t="str">
        <f aca="false">INDEX(Productos!$B$2:$B$13,MATCH($H552,Productos!$A$2:$A$13,0))</f>
        <v>Tornillo DIN 933 M12x70 clase 8.8</v>
      </c>
      <c r="J552" s="32" t="str">
        <f aca="false">INDEX(Productos!$C$2:$C$13,MATCH($H552,Productos!$A$2:$A$13,0))</f>
        <v>Métrica</v>
      </c>
      <c r="K552" s="31" t="s">
        <v>246</v>
      </c>
      <c r="L552" s="46" t="n">
        <v>274</v>
      </c>
      <c r="M552" s="50" t="n">
        <f aca="false">INDEX(Productos!$F$2:$F$13,MATCH($H552,Productos!$A$2:$A$13,0))</f>
        <v>64</v>
      </c>
      <c r="N552" s="51" t="n">
        <v>0.155</v>
      </c>
      <c r="O552" s="52" t="n">
        <f aca="false">M552*(1-N552)</f>
        <v>54.08</v>
      </c>
      <c r="P552" s="21" t="n">
        <f aca="false">L552*O552</f>
        <v>14817.92</v>
      </c>
      <c r="Q552" s="50" t="n">
        <f aca="false">INDEX(Productos!$E$2:$E$13,MATCH($H552,Productos!$A$2:$A$13,0))*INDEX(Parametros!$B$26:$B$43,MATCH($C552,Parametros!$A$26:$A$43,0))</f>
        <v>34.4045</v>
      </c>
      <c r="R552" s="21" t="n">
        <f aca="false">L552*Q552</f>
        <v>9426.833</v>
      </c>
      <c r="S552" s="18" t="n">
        <f aca="false">L552*INDEX(Parametros!$B$20:$B$22,MATCH($E552,Parametros!$A$20:$A$22,0))</f>
        <v>232.9</v>
      </c>
      <c r="T552" s="18" t="n">
        <f aca="false">P552*INDEX(Parametros!$B$13:$B$16,MATCH($F552,Parametros!$A$13:$A$16,0))</f>
        <v>444.5376</v>
      </c>
      <c r="U552" s="21" t="n">
        <f aca="false">P552-R552-S552-T552</f>
        <v>4713.6494</v>
      </c>
      <c r="V552" s="19" t="n">
        <f aca="false">IFERROR(U552/P552,0)</f>
        <v>0.318104659763314</v>
      </c>
      <c r="W552" s="48" t="n">
        <f aca="false">B552+INDEX(Parametros!$C$13:$C$16,MATCH($F552,Parametros!$A$13:$A$16,0))</f>
        <v>45898</v>
      </c>
      <c r="X552" s="31" t="s">
        <v>67</v>
      </c>
      <c r="Y552" s="53" t="n">
        <f aca="false">IF(COUNTIF($A$2:$A552,A552)=1,1,0)</f>
        <v>1</v>
      </c>
    </row>
    <row r="553" customFormat="false" ht="15" hidden="false" customHeight="false" outlineLevel="0" collapsed="false">
      <c r="A553" s="31" t="s">
        <v>537</v>
      </c>
      <c r="B553" s="36" t="n">
        <v>45838</v>
      </c>
      <c r="C553" s="49" t="n">
        <f aca="false">DATE(YEAR(B553),MONTH(B553),1)</f>
        <v>45809</v>
      </c>
      <c r="D553" s="31" t="s">
        <v>192</v>
      </c>
      <c r="E553" s="31" t="s">
        <v>41</v>
      </c>
      <c r="F553" s="31" t="s">
        <v>45</v>
      </c>
      <c r="G553" s="31" t="s">
        <v>58</v>
      </c>
      <c r="H553" s="31" t="s">
        <v>177</v>
      </c>
      <c r="I553" s="32" t="str">
        <f aca="false">INDEX(Productos!$B$2:$B$13,MATCH($H553,Productos!$A$2:$A$13,0))</f>
        <v>Tirafondo madera 6x100 cabeza plana Torx</v>
      </c>
      <c r="J553" s="32" t="str">
        <f aca="false">INDEX(Productos!$C$2:$C$13,MATCH($H553,Productos!$A$2:$A$13,0))</f>
        <v>Madera</v>
      </c>
      <c r="K553" s="31" t="s">
        <v>246</v>
      </c>
      <c r="L553" s="46" t="n">
        <v>82</v>
      </c>
      <c r="M553" s="50" t="n">
        <f aca="false">INDEX(Productos!$F$2:$F$13,MATCH($H553,Productos!$A$2:$A$13,0))</f>
        <v>34</v>
      </c>
      <c r="N553" s="51" t="n">
        <v>0.212</v>
      </c>
      <c r="O553" s="52" t="n">
        <f aca="false">M553*(1-N553)</f>
        <v>26.792</v>
      </c>
      <c r="P553" s="21" t="n">
        <f aca="false">L553*O553</f>
        <v>2196.944</v>
      </c>
      <c r="Q553" s="50" t="n">
        <f aca="false">INDEX(Productos!$E$2:$E$13,MATCH($H553,Productos!$A$2:$A$13,0))*INDEX(Parametros!$B$26:$B$43,MATCH($C553,Parametros!$A$26:$A$43,0))</f>
        <v>18.2806</v>
      </c>
      <c r="R553" s="21" t="n">
        <f aca="false">L553*Q553</f>
        <v>1499.0092</v>
      </c>
      <c r="S553" s="18" t="n">
        <f aca="false">L553*INDEX(Parametros!$B$20:$B$22,MATCH($E553,Parametros!$A$20:$A$22,0))</f>
        <v>69.7</v>
      </c>
      <c r="T553" s="18" t="n">
        <f aca="false">P553*INDEX(Parametros!$B$13:$B$16,MATCH($F553,Parametros!$A$13:$A$16,0))</f>
        <v>65.90832</v>
      </c>
      <c r="U553" s="21" t="n">
        <f aca="false">P553-R553-S553-T553</f>
        <v>562.32648</v>
      </c>
      <c r="V553" s="19" t="n">
        <f aca="false">IFERROR(U553/P553,0)</f>
        <v>0.255958495073156</v>
      </c>
      <c r="W553" s="48" t="n">
        <f aca="false">B553+INDEX(Parametros!$C$13:$C$16,MATCH($F553,Parametros!$A$13:$A$16,0))</f>
        <v>45898</v>
      </c>
      <c r="X553" s="31" t="s">
        <v>67</v>
      </c>
      <c r="Y553" s="53" t="n">
        <f aca="false">IF(COUNTIF($A$2:$A553,A553)=1,1,0)</f>
        <v>0</v>
      </c>
    </row>
    <row r="554" customFormat="false" ht="15" hidden="false" customHeight="false" outlineLevel="0" collapsed="false">
      <c r="A554" s="31" t="s">
        <v>538</v>
      </c>
      <c r="B554" s="36" t="n">
        <v>45839</v>
      </c>
      <c r="C554" s="49" t="n">
        <f aca="false">DATE(YEAR(B554),MONTH(B554),1)</f>
        <v>45839</v>
      </c>
      <c r="D554" s="31" t="s">
        <v>212</v>
      </c>
      <c r="E554" s="31" t="s">
        <v>42</v>
      </c>
      <c r="F554" s="31" t="s">
        <v>45</v>
      </c>
      <c r="G554" s="31" t="s">
        <v>61</v>
      </c>
      <c r="H554" s="31" t="s">
        <v>169</v>
      </c>
      <c r="I554" s="32" t="str">
        <f aca="false">INDEX(Productos!$B$2:$B$13,MATCH($H554,Productos!$A$2:$A$13,0))</f>
        <v>Tornillo DIN 912 M10x60 Allen inox A2</v>
      </c>
      <c r="J554" s="32" t="str">
        <f aca="false">INDEX(Productos!$C$2:$C$13,MATCH($H554,Productos!$A$2:$A$13,0))</f>
        <v>Inoxidable</v>
      </c>
      <c r="K554" s="31" t="s">
        <v>246</v>
      </c>
      <c r="L554" s="46" t="n">
        <v>94</v>
      </c>
      <c r="M554" s="50" t="n">
        <f aca="false">INDEX(Productos!$F$2:$F$13,MATCH($H554,Productos!$A$2:$A$13,0))</f>
        <v>79</v>
      </c>
      <c r="N554" s="51" t="n">
        <v>0.203</v>
      </c>
      <c r="O554" s="52" t="n">
        <f aca="false">M554*(1-N554)</f>
        <v>62.963</v>
      </c>
      <c r="P554" s="21" t="n">
        <f aca="false">L554*O554</f>
        <v>5918.522</v>
      </c>
      <c r="Q554" s="50" t="n">
        <f aca="false">INDEX(Productos!$E$2:$E$13,MATCH($H554,Productos!$A$2:$A$13,0))*INDEX(Parametros!$B$26:$B$43,MATCH($C554,Parametros!$A$26:$A$43,0))</f>
        <v>43.428</v>
      </c>
      <c r="R554" s="21" t="n">
        <f aca="false">L554*Q554</f>
        <v>4082.232</v>
      </c>
      <c r="S554" s="18" t="n">
        <f aca="false">L554*INDEX(Parametros!$B$20:$B$22,MATCH($E554,Parametros!$A$20:$A$22,0))</f>
        <v>225.6</v>
      </c>
      <c r="T554" s="18" t="n">
        <f aca="false">P554*INDEX(Parametros!$B$13:$B$16,MATCH($F554,Parametros!$A$13:$A$16,0))</f>
        <v>177.55566</v>
      </c>
      <c r="U554" s="21" t="n">
        <f aca="false">P554-R554-S554-T554</f>
        <v>1433.13434</v>
      </c>
      <c r="V554" s="19" t="n">
        <f aca="false">IFERROR(U554/P554,0)</f>
        <v>0.242143957562378</v>
      </c>
      <c r="W554" s="48" t="n">
        <f aca="false">B554+INDEX(Parametros!$C$13:$C$16,MATCH($F554,Parametros!$A$13:$A$16,0))</f>
        <v>45899</v>
      </c>
      <c r="X554" s="31" t="s">
        <v>67</v>
      </c>
      <c r="Y554" s="53" t="n">
        <f aca="false">IF(COUNTIF($A$2:$A554,A554)=1,1,0)</f>
        <v>1</v>
      </c>
    </row>
    <row r="555" customFormat="false" ht="15" hidden="false" customHeight="false" outlineLevel="0" collapsed="false">
      <c r="A555" s="31" t="s">
        <v>538</v>
      </c>
      <c r="B555" s="36" t="n">
        <v>45839</v>
      </c>
      <c r="C555" s="49" t="n">
        <f aca="false">DATE(YEAR(B555),MONTH(B555),1)</f>
        <v>45839</v>
      </c>
      <c r="D555" s="31" t="s">
        <v>212</v>
      </c>
      <c r="E555" s="31" t="s">
        <v>42</v>
      </c>
      <c r="F555" s="31" t="s">
        <v>45</v>
      </c>
      <c r="G555" s="31" t="s">
        <v>61</v>
      </c>
      <c r="H555" s="31" t="s">
        <v>181</v>
      </c>
      <c r="I555" s="32" t="str">
        <f aca="false">INDEX(Productos!$B$2:$B$13,MATCH($H555,Productos!$A$2:$A$13,0))</f>
        <v>Autotaladrante 5,5x55 punta broca</v>
      </c>
      <c r="J555" s="32" t="str">
        <f aca="false">INDEX(Productos!$C$2:$C$13,MATCH($H555,Productos!$A$2:$A$13,0))</f>
        <v>Autotaladrante</v>
      </c>
      <c r="K555" s="31" t="s">
        <v>246</v>
      </c>
      <c r="L555" s="46" t="n">
        <v>109</v>
      </c>
      <c r="M555" s="50" t="n">
        <f aca="false">INDEX(Productos!$F$2:$F$13,MATCH($H555,Productos!$A$2:$A$13,0))</f>
        <v>39</v>
      </c>
      <c r="N555" s="51" t="n">
        <v>0.201</v>
      </c>
      <c r="O555" s="52" t="n">
        <f aca="false">M555*(1-N555)</f>
        <v>31.161</v>
      </c>
      <c r="P555" s="21" t="n">
        <f aca="false">L555*O555</f>
        <v>3396.549</v>
      </c>
      <c r="Q555" s="50" t="n">
        <f aca="false">INDEX(Productos!$E$2:$E$13,MATCH($H555,Productos!$A$2:$A$13,0))*INDEX(Parametros!$B$26:$B$43,MATCH($C555,Parametros!$A$26:$A$43,0))</f>
        <v>20.9902</v>
      </c>
      <c r="R555" s="21" t="n">
        <f aca="false">L555*Q555</f>
        <v>2287.9318</v>
      </c>
      <c r="S555" s="18" t="n">
        <f aca="false">L555*INDEX(Parametros!$B$20:$B$22,MATCH($E555,Parametros!$A$20:$A$22,0))</f>
        <v>261.6</v>
      </c>
      <c r="T555" s="18" t="n">
        <f aca="false">P555*INDEX(Parametros!$B$13:$B$16,MATCH($F555,Parametros!$A$13:$A$16,0))</f>
        <v>101.89647</v>
      </c>
      <c r="U555" s="21" t="n">
        <f aca="false">P555-R555-S555-T555</f>
        <v>745.12073</v>
      </c>
      <c r="V555" s="19" t="n">
        <f aca="false">IFERROR(U555/P555,0)</f>
        <v>0.21937582234203</v>
      </c>
      <c r="W555" s="48" t="n">
        <f aca="false">B555+INDEX(Parametros!$C$13:$C$16,MATCH($F555,Parametros!$A$13:$A$16,0))</f>
        <v>45899</v>
      </c>
      <c r="X555" s="31" t="s">
        <v>67</v>
      </c>
      <c r="Y555" s="53" t="n">
        <f aca="false">IF(COUNTIF($A$2:$A555,A555)=1,1,0)</f>
        <v>0</v>
      </c>
    </row>
    <row r="556" customFormat="false" ht="15" hidden="false" customHeight="false" outlineLevel="0" collapsed="false">
      <c r="A556" s="31" t="s">
        <v>539</v>
      </c>
      <c r="B556" s="36" t="n">
        <v>45840</v>
      </c>
      <c r="C556" s="49" t="n">
        <f aca="false">DATE(YEAR(B556),MONTH(B556),1)</f>
        <v>45839</v>
      </c>
      <c r="D556" s="31" t="s">
        <v>207</v>
      </c>
      <c r="E556" s="31" t="s">
        <v>41</v>
      </c>
      <c r="F556" s="31" t="s">
        <v>47</v>
      </c>
      <c r="G556" s="31" t="s">
        <v>62</v>
      </c>
      <c r="H556" s="31" t="s">
        <v>165</v>
      </c>
      <c r="I556" s="32" t="str">
        <f aca="false">INDEX(Productos!$B$2:$B$13,MATCH($H556,Productos!$A$2:$A$13,0))</f>
        <v>Tornillo DIN 933 M8x40 rosca completa zincado</v>
      </c>
      <c r="J556" s="32" t="str">
        <f aca="false">INDEX(Productos!$C$2:$C$13,MATCH($H556,Productos!$A$2:$A$13,0))</f>
        <v>Métrica</v>
      </c>
      <c r="K556" s="31" t="s">
        <v>246</v>
      </c>
      <c r="L556" s="46" t="n">
        <v>23</v>
      </c>
      <c r="M556" s="50" t="n">
        <f aca="false">INDEX(Productos!$F$2:$F$13,MATCH($H556,Productos!$A$2:$A$13,0))</f>
        <v>37.5</v>
      </c>
      <c r="N556" s="51" t="n">
        <v>0.06</v>
      </c>
      <c r="O556" s="52" t="n">
        <f aca="false">M556*(1-N556)</f>
        <v>35.25</v>
      </c>
      <c r="P556" s="21" t="n">
        <f aca="false">L556*O556</f>
        <v>810.75</v>
      </c>
      <c r="Q556" s="50" t="n">
        <f aca="false">INDEX(Productos!$E$2:$E$13,MATCH($H556,Productos!$A$2:$A$13,0))*INDEX(Parametros!$B$26:$B$43,MATCH($C556,Parametros!$A$26:$A$43,0))</f>
        <v>20.0596</v>
      </c>
      <c r="R556" s="21" t="n">
        <f aca="false">L556*Q556</f>
        <v>461.3708</v>
      </c>
      <c r="S556" s="18" t="n">
        <f aca="false">L556*INDEX(Parametros!$B$20:$B$22,MATCH($E556,Parametros!$A$20:$A$22,0))</f>
        <v>19.55</v>
      </c>
      <c r="T556" s="18" t="n">
        <f aca="false">P556*INDEX(Parametros!$B$13:$B$16,MATCH($F556,Parametros!$A$13:$A$16,0))</f>
        <v>28.37625</v>
      </c>
      <c r="U556" s="21" t="n">
        <f aca="false">P556-R556-S556-T556</f>
        <v>301.45295</v>
      </c>
      <c r="V556" s="19" t="n">
        <f aca="false">IFERROR(U556/P556,0)</f>
        <v>0.371819858156028</v>
      </c>
      <c r="W556" s="48" t="n">
        <f aca="false">B556+INDEX(Parametros!$C$13:$C$16,MATCH($F556,Parametros!$A$13:$A$16,0))</f>
        <v>45885</v>
      </c>
      <c r="X556" s="31" t="s">
        <v>67</v>
      </c>
      <c r="Y556" s="53" t="n">
        <f aca="false">IF(COUNTIF($A$2:$A556,A556)=1,1,0)</f>
        <v>1</v>
      </c>
    </row>
    <row r="557" customFormat="false" ht="15" hidden="false" customHeight="false" outlineLevel="0" collapsed="false">
      <c r="A557" s="31" t="s">
        <v>539</v>
      </c>
      <c r="B557" s="36" t="n">
        <v>45840</v>
      </c>
      <c r="C557" s="49" t="n">
        <f aca="false">DATE(YEAR(B557),MONTH(B557),1)</f>
        <v>45839</v>
      </c>
      <c r="D557" s="31" t="s">
        <v>207</v>
      </c>
      <c r="E557" s="31" t="s">
        <v>41</v>
      </c>
      <c r="F557" s="31" t="s">
        <v>47</v>
      </c>
      <c r="G557" s="31" t="s">
        <v>62</v>
      </c>
      <c r="H557" s="31" t="s">
        <v>177</v>
      </c>
      <c r="I557" s="32" t="str">
        <f aca="false">INDEX(Productos!$B$2:$B$13,MATCH($H557,Productos!$A$2:$A$13,0))</f>
        <v>Tirafondo madera 6x100 cabeza plana Torx</v>
      </c>
      <c r="J557" s="32" t="str">
        <f aca="false">INDEX(Productos!$C$2:$C$13,MATCH($H557,Productos!$A$2:$A$13,0))</f>
        <v>Madera</v>
      </c>
      <c r="K557" s="31" t="s">
        <v>246</v>
      </c>
      <c r="L557" s="46" t="n">
        <v>21</v>
      </c>
      <c r="M557" s="50" t="n">
        <f aca="false">INDEX(Productos!$F$2:$F$13,MATCH($H557,Productos!$A$2:$A$13,0))</f>
        <v>34</v>
      </c>
      <c r="N557" s="51" t="n">
        <v>0.096</v>
      </c>
      <c r="O557" s="52" t="n">
        <f aca="false">M557*(1-N557)</f>
        <v>30.736</v>
      </c>
      <c r="P557" s="21" t="n">
        <f aca="false">L557*O557</f>
        <v>645.456</v>
      </c>
      <c r="Q557" s="50" t="n">
        <f aca="false">INDEX(Productos!$E$2:$E$13,MATCH($H557,Productos!$A$2:$A$13,0))*INDEX(Parametros!$B$26:$B$43,MATCH($C557,Parametros!$A$26:$A$43,0))</f>
        <v>18.4052</v>
      </c>
      <c r="R557" s="21" t="n">
        <f aca="false">L557*Q557</f>
        <v>386.5092</v>
      </c>
      <c r="S557" s="18" t="n">
        <f aca="false">L557*INDEX(Parametros!$B$20:$B$22,MATCH($E557,Parametros!$A$20:$A$22,0))</f>
        <v>17.85</v>
      </c>
      <c r="T557" s="18" t="n">
        <f aca="false">P557*INDEX(Parametros!$B$13:$B$16,MATCH($F557,Parametros!$A$13:$A$16,0))</f>
        <v>22.59096</v>
      </c>
      <c r="U557" s="21" t="n">
        <f aca="false">P557-R557-S557-T557</f>
        <v>218.50584</v>
      </c>
      <c r="V557" s="19" t="n">
        <f aca="false">IFERROR(U557/P557,0)</f>
        <v>0.338529411764706</v>
      </c>
      <c r="W557" s="48" t="n">
        <f aca="false">B557+INDEX(Parametros!$C$13:$C$16,MATCH($F557,Parametros!$A$13:$A$16,0))</f>
        <v>45885</v>
      </c>
      <c r="X557" s="31" t="s">
        <v>67</v>
      </c>
      <c r="Y557" s="53" t="n">
        <f aca="false">IF(COUNTIF($A$2:$A557,A557)=1,1,0)</f>
        <v>0</v>
      </c>
    </row>
    <row r="558" customFormat="false" ht="15" hidden="false" customHeight="false" outlineLevel="0" collapsed="false">
      <c r="A558" s="31" t="s">
        <v>540</v>
      </c>
      <c r="B558" s="36" t="n">
        <v>45841</v>
      </c>
      <c r="C558" s="49" t="n">
        <f aca="false">DATE(YEAR(B558),MONTH(B558),1)</f>
        <v>45839</v>
      </c>
      <c r="D558" s="31" t="s">
        <v>193</v>
      </c>
      <c r="E558" s="31" t="s">
        <v>41</v>
      </c>
      <c r="F558" s="31" t="s">
        <v>45</v>
      </c>
      <c r="G558" s="31" t="s">
        <v>62</v>
      </c>
      <c r="H558" s="31" t="s">
        <v>185</v>
      </c>
      <c r="I558" s="32" t="str">
        <f aca="false">INDEX(Productos!$B$2:$B$13,MATCH($H558,Productos!$A$2:$A$13,0))</f>
        <v>Varilla roscada M10 x 1 m zincada</v>
      </c>
      <c r="J558" s="32" t="str">
        <f aca="false">INDEX(Productos!$C$2:$C$13,MATCH($H558,Productos!$A$2:$A$13,0))</f>
        <v>Especial</v>
      </c>
      <c r="K558" s="31" t="s">
        <v>246</v>
      </c>
      <c r="L558" s="46" t="n">
        <v>30</v>
      </c>
      <c r="M558" s="50" t="n">
        <f aca="false">INDEX(Productos!$F$2:$F$13,MATCH($H558,Productos!$A$2:$A$13,0))</f>
        <v>54</v>
      </c>
      <c r="N558" s="51" t="n">
        <v>0.189</v>
      </c>
      <c r="O558" s="52" t="n">
        <f aca="false">M558*(1-N558)</f>
        <v>43.794</v>
      </c>
      <c r="P558" s="21" t="n">
        <f aca="false">L558*O558</f>
        <v>1313.82</v>
      </c>
      <c r="Q558" s="50" t="n">
        <f aca="false">INDEX(Productos!$E$2:$E$13,MATCH($H558,Productos!$A$2:$A$13,0))*INDEX(Parametros!$B$26:$B$43,MATCH($C558,Parametros!$A$26:$A$43,0))</f>
        <v>29.469</v>
      </c>
      <c r="R558" s="21" t="n">
        <f aca="false">L558*Q558</f>
        <v>884.07</v>
      </c>
      <c r="S558" s="18" t="n">
        <f aca="false">L558*INDEX(Parametros!$B$20:$B$22,MATCH($E558,Parametros!$A$20:$A$22,0))</f>
        <v>25.5</v>
      </c>
      <c r="T558" s="18" t="n">
        <f aca="false">P558*INDEX(Parametros!$B$13:$B$16,MATCH($F558,Parametros!$A$13:$A$16,0))</f>
        <v>39.4146</v>
      </c>
      <c r="U558" s="21" t="n">
        <f aca="false">P558-R558-S558-T558</f>
        <v>364.8354</v>
      </c>
      <c r="V558" s="19" t="n">
        <f aca="false">IFERROR(U558/P558,0)</f>
        <v>0.277690551217062</v>
      </c>
      <c r="W558" s="48" t="n">
        <f aca="false">B558+INDEX(Parametros!$C$13:$C$16,MATCH($F558,Parametros!$A$13:$A$16,0))</f>
        <v>45901</v>
      </c>
      <c r="X558" s="31" t="s">
        <v>67</v>
      </c>
      <c r="Y558" s="53" t="n">
        <f aca="false">IF(COUNTIF($A$2:$A558,A558)=1,1,0)</f>
        <v>1</v>
      </c>
    </row>
    <row r="559" customFormat="false" ht="15" hidden="false" customHeight="false" outlineLevel="0" collapsed="false">
      <c r="A559" s="31" t="s">
        <v>540</v>
      </c>
      <c r="B559" s="36" t="n">
        <v>45841</v>
      </c>
      <c r="C559" s="49" t="n">
        <f aca="false">DATE(YEAR(B559),MONTH(B559),1)</f>
        <v>45839</v>
      </c>
      <c r="D559" s="31" t="s">
        <v>193</v>
      </c>
      <c r="E559" s="31" t="s">
        <v>41</v>
      </c>
      <c r="F559" s="31" t="s">
        <v>45</v>
      </c>
      <c r="G559" s="31" t="s">
        <v>62</v>
      </c>
      <c r="H559" s="31" t="s">
        <v>173</v>
      </c>
      <c r="I559" s="32" t="str">
        <f aca="false">INDEX(Productos!$B$2:$B$13,MATCH($H559,Productos!$A$2:$A$13,0))</f>
        <v>Tornillo DIN 933 M12x70 clase 8.8</v>
      </c>
      <c r="J559" s="32" t="str">
        <f aca="false">INDEX(Productos!$C$2:$C$13,MATCH($H559,Productos!$A$2:$A$13,0))</f>
        <v>Métrica</v>
      </c>
      <c r="K559" s="31" t="s">
        <v>246</v>
      </c>
      <c r="L559" s="46" t="n">
        <v>114</v>
      </c>
      <c r="M559" s="50" t="n">
        <f aca="false">INDEX(Productos!$F$2:$F$13,MATCH($H559,Productos!$A$2:$A$13,0))</f>
        <v>64</v>
      </c>
      <c r="N559" s="51" t="n">
        <v>0.171</v>
      </c>
      <c r="O559" s="52" t="n">
        <f aca="false">M559*(1-N559)</f>
        <v>53.056</v>
      </c>
      <c r="P559" s="21" t="n">
        <f aca="false">L559*O559</f>
        <v>6048.384</v>
      </c>
      <c r="Q559" s="50" t="n">
        <f aca="false">INDEX(Productos!$E$2:$E$13,MATCH($H559,Productos!$A$2:$A$13,0))*INDEX(Parametros!$B$26:$B$43,MATCH($C559,Parametros!$A$26:$A$43,0))</f>
        <v>34.639</v>
      </c>
      <c r="R559" s="21" t="n">
        <f aca="false">L559*Q559</f>
        <v>3948.846</v>
      </c>
      <c r="S559" s="18" t="n">
        <f aca="false">L559*INDEX(Parametros!$B$20:$B$22,MATCH($E559,Parametros!$A$20:$A$22,0))</f>
        <v>96.9</v>
      </c>
      <c r="T559" s="18" t="n">
        <f aca="false">P559*INDEX(Parametros!$B$13:$B$16,MATCH($F559,Parametros!$A$13:$A$16,0))</f>
        <v>181.45152</v>
      </c>
      <c r="U559" s="21" t="n">
        <f aca="false">P559-R559-S559-T559</f>
        <v>1821.18648</v>
      </c>
      <c r="V559" s="19" t="n">
        <f aca="false">IFERROR(U559/P559,0)</f>
        <v>0.301102985524729</v>
      </c>
      <c r="W559" s="48" t="n">
        <f aca="false">B559+INDEX(Parametros!$C$13:$C$16,MATCH($F559,Parametros!$A$13:$A$16,0))</f>
        <v>45901</v>
      </c>
      <c r="X559" s="31" t="s">
        <v>67</v>
      </c>
      <c r="Y559" s="53" t="n">
        <f aca="false">IF(COUNTIF($A$2:$A559,A559)=1,1,0)</f>
        <v>0</v>
      </c>
    </row>
    <row r="560" customFormat="false" ht="15" hidden="false" customHeight="false" outlineLevel="0" collapsed="false">
      <c r="A560" s="31" t="s">
        <v>541</v>
      </c>
      <c r="B560" s="36" t="n">
        <v>45841</v>
      </c>
      <c r="C560" s="49" t="n">
        <f aca="false">DATE(YEAR(B560),MONTH(B560),1)</f>
        <v>45839</v>
      </c>
      <c r="D560" s="31" t="s">
        <v>214</v>
      </c>
      <c r="E560" s="31" t="s">
        <v>42</v>
      </c>
      <c r="F560" s="31" t="s">
        <v>46</v>
      </c>
      <c r="G560" s="31" t="s">
        <v>61</v>
      </c>
      <c r="H560" s="31" t="s">
        <v>183</v>
      </c>
      <c r="I560" s="32" t="str">
        <f aca="false">INDEX(Productos!$B$2:$B$13,MATCH($H560,Productos!$A$2:$A$13,0))</f>
        <v>Tornillo estructural M16x90 clase 10.9</v>
      </c>
      <c r="J560" s="32" t="str">
        <f aca="false">INDEX(Productos!$C$2:$C$13,MATCH($H560,Productos!$A$2:$A$13,0))</f>
        <v>Especial</v>
      </c>
      <c r="K560" s="31" t="s">
        <v>246</v>
      </c>
      <c r="L560" s="46" t="n">
        <v>60</v>
      </c>
      <c r="M560" s="50" t="n">
        <f aca="false">INDEX(Productos!$F$2:$F$13,MATCH($H560,Productos!$A$2:$A$13,0))</f>
        <v>112</v>
      </c>
      <c r="N560" s="51" t="n">
        <v>0.164</v>
      </c>
      <c r="O560" s="52" t="n">
        <f aca="false">M560*(1-N560)</f>
        <v>93.632</v>
      </c>
      <c r="P560" s="21" t="n">
        <f aca="false">L560*O560</f>
        <v>5617.92</v>
      </c>
      <c r="Q560" s="50" t="n">
        <f aca="false">INDEX(Productos!$E$2:$E$13,MATCH($H560,Productos!$A$2:$A$13,0))*INDEX(Parametros!$B$26:$B$43,MATCH($C560,Parametros!$A$26:$A$43,0))</f>
        <v>62.04</v>
      </c>
      <c r="R560" s="21" t="n">
        <f aca="false">L560*Q560</f>
        <v>3722.4</v>
      </c>
      <c r="S560" s="18" t="n">
        <f aca="false">L560*INDEX(Parametros!$B$20:$B$22,MATCH($E560,Parametros!$A$20:$A$22,0))</f>
        <v>144</v>
      </c>
      <c r="T560" s="18" t="n">
        <f aca="false">P560*INDEX(Parametros!$B$13:$B$16,MATCH($F560,Parametros!$A$13:$A$16,0))</f>
        <v>224.7168</v>
      </c>
      <c r="U560" s="21" t="n">
        <f aca="false">P560-R560-S560-T560</f>
        <v>1526.8032</v>
      </c>
      <c r="V560" s="19" t="n">
        <f aca="false">IFERROR(U560/P560,0)</f>
        <v>0.271773752563226</v>
      </c>
      <c r="W560" s="48" t="n">
        <f aca="false">B560+INDEX(Parametros!$C$13:$C$16,MATCH($F560,Parametros!$A$13:$A$16,0))</f>
        <v>45916</v>
      </c>
      <c r="X560" s="31" t="s">
        <v>67</v>
      </c>
      <c r="Y560" s="53" t="n">
        <f aca="false">IF(COUNTIF($A$2:$A560,A560)=1,1,0)</f>
        <v>1</v>
      </c>
    </row>
    <row r="561" customFormat="false" ht="15" hidden="false" customHeight="false" outlineLevel="0" collapsed="false">
      <c r="A561" s="31" t="s">
        <v>541</v>
      </c>
      <c r="B561" s="36" t="n">
        <v>45841</v>
      </c>
      <c r="C561" s="49" t="n">
        <f aca="false">DATE(YEAR(B561),MONTH(B561),1)</f>
        <v>45839</v>
      </c>
      <c r="D561" s="31" t="s">
        <v>214</v>
      </c>
      <c r="E561" s="31" t="s">
        <v>42</v>
      </c>
      <c r="F561" s="31" t="s">
        <v>46</v>
      </c>
      <c r="G561" s="31" t="s">
        <v>61</v>
      </c>
      <c r="H561" s="31" t="s">
        <v>169</v>
      </c>
      <c r="I561" s="32" t="str">
        <f aca="false">INDEX(Productos!$B$2:$B$13,MATCH($H561,Productos!$A$2:$A$13,0))</f>
        <v>Tornillo DIN 912 M10x60 Allen inox A2</v>
      </c>
      <c r="J561" s="32" t="str">
        <f aca="false">INDEX(Productos!$C$2:$C$13,MATCH($H561,Productos!$A$2:$A$13,0))</f>
        <v>Inoxidable</v>
      </c>
      <c r="K561" s="31" t="s">
        <v>246</v>
      </c>
      <c r="L561" s="46" t="n">
        <v>149</v>
      </c>
      <c r="M561" s="50" t="n">
        <f aca="false">INDEX(Productos!$F$2:$F$13,MATCH($H561,Productos!$A$2:$A$13,0))</f>
        <v>79</v>
      </c>
      <c r="N561" s="51" t="n">
        <v>0.168</v>
      </c>
      <c r="O561" s="52" t="n">
        <f aca="false">M561*(1-N561)</f>
        <v>65.728</v>
      </c>
      <c r="P561" s="21" t="n">
        <f aca="false">L561*O561</f>
        <v>9793.472</v>
      </c>
      <c r="Q561" s="50" t="n">
        <f aca="false">INDEX(Productos!$E$2:$E$13,MATCH($H561,Productos!$A$2:$A$13,0))*INDEX(Parametros!$B$26:$B$43,MATCH($C561,Parametros!$A$26:$A$43,0))</f>
        <v>43.428</v>
      </c>
      <c r="R561" s="21" t="n">
        <f aca="false">L561*Q561</f>
        <v>6470.772</v>
      </c>
      <c r="S561" s="18" t="n">
        <f aca="false">L561*INDEX(Parametros!$B$20:$B$22,MATCH($E561,Parametros!$A$20:$A$22,0))</f>
        <v>357.6</v>
      </c>
      <c r="T561" s="18" t="n">
        <f aca="false">P561*INDEX(Parametros!$B$13:$B$16,MATCH($F561,Parametros!$A$13:$A$16,0))</f>
        <v>391.73888</v>
      </c>
      <c r="U561" s="21" t="n">
        <f aca="false">P561-R561-S561-T561</f>
        <v>2573.36112</v>
      </c>
      <c r="V561" s="19" t="n">
        <f aca="false">IFERROR(U561/P561,0)</f>
        <v>0.262762901655307</v>
      </c>
      <c r="W561" s="48" t="n">
        <f aca="false">B561+INDEX(Parametros!$C$13:$C$16,MATCH($F561,Parametros!$A$13:$A$16,0))</f>
        <v>45916</v>
      </c>
      <c r="X561" s="31" t="s">
        <v>67</v>
      </c>
      <c r="Y561" s="53" t="n">
        <f aca="false">IF(COUNTIF($A$2:$A561,A561)=1,1,0)</f>
        <v>0</v>
      </c>
    </row>
    <row r="562" customFormat="false" ht="15" hidden="false" customHeight="false" outlineLevel="0" collapsed="false">
      <c r="A562" s="31" t="s">
        <v>541</v>
      </c>
      <c r="B562" s="36" t="n">
        <v>45841</v>
      </c>
      <c r="C562" s="49" t="n">
        <f aca="false">DATE(YEAR(B562),MONTH(B562),1)</f>
        <v>45839</v>
      </c>
      <c r="D562" s="31" t="s">
        <v>214</v>
      </c>
      <c r="E562" s="31" t="s">
        <v>42</v>
      </c>
      <c r="F562" s="31" t="s">
        <v>46</v>
      </c>
      <c r="G562" s="31" t="s">
        <v>61</v>
      </c>
      <c r="H562" s="31" t="s">
        <v>185</v>
      </c>
      <c r="I562" s="32" t="str">
        <f aca="false">INDEX(Productos!$B$2:$B$13,MATCH($H562,Productos!$A$2:$A$13,0))</f>
        <v>Varilla roscada M10 x 1 m zincada</v>
      </c>
      <c r="J562" s="32" t="str">
        <f aca="false">INDEX(Productos!$C$2:$C$13,MATCH($H562,Productos!$A$2:$A$13,0))</f>
        <v>Especial</v>
      </c>
      <c r="K562" s="31" t="s">
        <v>246</v>
      </c>
      <c r="L562" s="46" t="n">
        <v>53</v>
      </c>
      <c r="M562" s="50" t="n">
        <f aca="false">INDEX(Productos!$F$2:$F$13,MATCH($H562,Productos!$A$2:$A$13,0))</f>
        <v>54</v>
      </c>
      <c r="N562" s="51" t="n">
        <v>0.115</v>
      </c>
      <c r="O562" s="52" t="n">
        <f aca="false">M562*(1-N562)</f>
        <v>47.79</v>
      </c>
      <c r="P562" s="21" t="n">
        <f aca="false">L562*O562</f>
        <v>2532.87</v>
      </c>
      <c r="Q562" s="50" t="n">
        <f aca="false">INDEX(Productos!$E$2:$E$13,MATCH($H562,Productos!$A$2:$A$13,0))*INDEX(Parametros!$B$26:$B$43,MATCH($C562,Parametros!$A$26:$A$43,0))</f>
        <v>29.469</v>
      </c>
      <c r="R562" s="21" t="n">
        <f aca="false">L562*Q562</f>
        <v>1561.857</v>
      </c>
      <c r="S562" s="18" t="n">
        <f aca="false">L562*INDEX(Parametros!$B$20:$B$22,MATCH($E562,Parametros!$A$20:$A$22,0))</f>
        <v>127.2</v>
      </c>
      <c r="T562" s="18" t="n">
        <f aca="false">P562*INDEX(Parametros!$B$13:$B$16,MATCH($F562,Parametros!$A$13:$A$16,0))</f>
        <v>101.3148</v>
      </c>
      <c r="U562" s="21" t="n">
        <f aca="false">P562-R562-S562-T562</f>
        <v>742.4982</v>
      </c>
      <c r="V562" s="19" t="n">
        <f aca="false">IFERROR(U562/P562,0)</f>
        <v>0.293145009416196</v>
      </c>
      <c r="W562" s="48" t="n">
        <f aca="false">B562+INDEX(Parametros!$C$13:$C$16,MATCH($F562,Parametros!$A$13:$A$16,0))</f>
        <v>45916</v>
      </c>
      <c r="X562" s="31" t="s">
        <v>67</v>
      </c>
      <c r="Y562" s="53" t="n">
        <f aca="false">IF(COUNTIF($A$2:$A562,A562)=1,1,0)</f>
        <v>0</v>
      </c>
    </row>
    <row r="563" customFormat="false" ht="15" hidden="false" customHeight="false" outlineLevel="0" collapsed="false">
      <c r="A563" s="31" t="s">
        <v>542</v>
      </c>
      <c r="B563" s="36" t="n">
        <v>45842</v>
      </c>
      <c r="C563" s="49" t="n">
        <f aca="false">DATE(YEAR(B563),MONTH(B563),1)</f>
        <v>45839</v>
      </c>
      <c r="D563" s="31" t="s">
        <v>192</v>
      </c>
      <c r="E563" s="31" t="s">
        <v>41</v>
      </c>
      <c r="F563" s="31" t="s">
        <v>45</v>
      </c>
      <c r="G563" s="31" t="s">
        <v>58</v>
      </c>
      <c r="H563" s="31" t="s">
        <v>175</v>
      </c>
      <c r="I563" s="32" t="str">
        <f aca="false">INDEX(Productos!$B$2:$B$13,MATCH($H563,Productos!$A$2:$A$13,0))</f>
        <v>Tirafondo madera 5x60 cabeza plana Torx</v>
      </c>
      <c r="J563" s="32" t="str">
        <f aca="false">INDEX(Productos!$C$2:$C$13,MATCH($H563,Productos!$A$2:$A$13,0))</f>
        <v>Madera</v>
      </c>
      <c r="K563" s="31" t="s">
        <v>246</v>
      </c>
      <c r="L563" s="46" t="n">
        <v>120</v>
      </c>
      <c r="M563" s="50" t="n">
        <f aca="false">INDEX(Productos!$F$2:$F$13,MATCH($H563,Productos!$A$2:$A$13,0))</f>
        <v>26</v>
      </c>
      <c r="N563" s="51" t="n">
        <v>0.143</v>
      </c>
      <c r="O563" s="52" t="n">
        <f aca="false">M563*(1-N563)</f>
        <v>22.282</v>
      </c>
      <c r="P563" s="21" t="n">
        <f aca="false">L563*O563</f>
        <v>2673.84</v>
      </c>
      <c r="Q563" s="50" t="n">
        <f aca="false">INDEX(Productos!$E$2:$E$13,MATCH($H563,Productos!$A$2:$A$13,0))*INDEX(Parametros!$B$26:$B$43,MATCH($C563,Parametros!$A$26:$A$43,0))</f>
        <v>13.8556</v>
      </c>
      <c r="R563" s="21" t="n">
        <f aca="false">L563*Q563</f>
        <v>1662.672</v>
      </c>
      <c r="S563" s="18" t="n">
        <f aca="false">L563*INDEX(Parametros!$B$20:$B$22,MATCH($E563,Parametros!$A$20:$A$22,0))</f>
        <v>102</v>
      </c>
      <c r="T563" s="18" t="n">
        <f aca="false">P563*INDEX(Parametros!$B$13:$B$16,MATCH($F563,Parametros!$A$13:$A$16,0))</f>
        <v>80.2152</v>
      </c>
      <c r="U563" s="21" t="n">
        <f aca="false">P563-R563-S563-T563</f>
        <v>828.9528</v>
      </c>
      <c r="V563" s="19" t="n">
        <f aca="false">IFERROR(U563/P563,0)</f>
        <v>0.310023337222871</v>
      </c>
      <c r="W563" s="48" t="n">
        <f aca="false">B563+INDEX(Parametros!$C$13:$C$16,MATCH($F563,Parametros!$A$13:$A$16,0))</f>
        <v>45902</v>
      </c>
      <c r="X563" s="31" t="s">
        <v>67</v>
      </c>
      <c r="Y563" s="53" t="n">
        <f aca="false">IF(COUNTIF($A$2:$A563,A563)=1,1,0)</f>
        <v>1</v>
      </c>
    </row>
    <row r="564" customFormat="false" ht="15" hidden="false" customHeight="false" outlineLevel="0" collapsed="false">
      <c r="A564" s="31" t="s">
        <v>542</v>
      </c>
      <c r="B564" s="36" t="n">
        <v>45842</v>
      </c>
      <c r="C564" s="49" t="n">
        <f aca="false">DATE(YEAR(B564),MONTH(B564),1)</f>
        <v>45839</v>
      </c>
      <c r="D564" s="31" t="s">
        <v>192</v>
      </c>
      <c r="E564" s="31" t="s">
        <v>41</v>
      </c>
      <c r="F564" s="31" t="s">
        <v>45</v>
      </c>
      <c r="G564" s="31" t="s">
        <v>58</v>
      </c>
      <c r="H564" s="31" t="s">
        <v>171</v>
      </c>
      <c r="I564" s="32" t="str">
        <f aca="false">INDEX(Productos!$B$2:$B$13,MATCH($H564,Productos!$A$2:$A$13,0))</f>
        <v>Tornillo DIN 7991 M8x30 avellanado inox A2</v>
      </c>
      <c r="J564" s="32" t="str">
        <f aca="false">INDEX(Productos!$C$2:$C$13,MATCH($H564,Productos!$A$2:$A$13,0))</f>
        <v>Inoxidable</v>
      </c>
      <c r="K564" s="31" t="s">
        <v>246</v>
      </c>
      <c r="L564" s="46" t="n">
        <v>24</v>
      </c>
      <c r="M564" s="50" t="n">
        <f aca="false">INDEX(Productos!$F$2:$F$13,MATCH($H564,Productos!$A$2:$A$13,0))</f>
        <v>88</v>
      </c>
      <c r="N564" s="51" t="n">
        <v>0.14</v>
      </c>
      <c r="O564" s="52" t="n">
        <f aca="false">M564*(1-N564)</f>
        <v>75.68</v>
      </c>
      <c r="P564" s="21" t="n">
        <f aca="false">L564*O564</f>
        <v>1816.32</v>
      </c>
      <c r="Q564" s="50" t="n">
        <f aca="false">INDEX(Productos!$E$2:$E$13,MATCH($H564,Productos!$A$2:$A$13,0))*INDEX(Parametros!$B$26:$B$43,MATCH($C564,Parametros!$A$26:$A$43,0))</f>
        <v>48.081</v>
      </c>
      <c r="R564" s="21" t="n">
        <f aca="false">L564*Q564</f>
        <v>1153.944</v>
      </c>
      <c r="S564" s="18" t="n">
        <f aca="false">L564*INDEX(Parametros!$B$20:$B$22,MATCH($E564,Parametros!$A$20:$A$22,0))</f>
        <v>20.4</v>
      </c>
      <c r="T564" s="18" t="n">
        <f aca="false">P564*INDEX(Parametros!$B$13:$B$16,MATCH($F564,Parametros!$A$13:$A$16,0))</f>
        <v>54.4896</v>
      </c>
      <c r="U564" s="21" t="n">
        <f aca="false">P564-R564-S564-T564</f>
        <v>587.4864</v>
      </c>
      <c r="V564" s="19" t="n">
        <f aca="false">IFERROR(U564/P564,0)</f>
        <v>0.323448731501057</v>
      </c>
      <c r="W564" s="48" t="n">
        <f aca="false">B564+INDEX(Parametros!$C$13:$C$16,MATCH($F564,Parametros!$A$13:$A$16,0))</f>
        <v>45902</v>
      </c>
      <c r="X564" s="31" t="s">
        <v>67</v>
      </c>
      <c r="Y564" s="53" t="n">
        <f aca="false">IF(COUNTIF($A$2:$A564,A564)=1,1,0)</f>
        <v>0</v>
      </c>
    </row>
    <row r="565" customFormat="false" ht="15" hidden="false" customHeight="false" outlineLevel="0" collapsed="false">
      <c r="A565" s="31" t="s">
        <v>542</v>
      </c>
      <c r="B565" s="36" t="n">
        <v>45842</v>
      </c>
      <c r="C565" s="49" t="n">
        <f aca="false">DATE(YEAR(B565),MONTH(B565),1)</f>
        <v>45839</v>
      </c>
      <c r="D565" s="31" t="s">
        <v>192</v>
      </c>
      <c r="E565" s="31" t="s">
        <v>41</v>
      </c>
      <c r="F565" s="31" t="s">
        <v>45</v>
      </c>
      <c r="G565" s="31" t="s">
        <v>58</v>
      </c>
      <c r="H565" s="31" t="s">
        <v>181</v>
      </c>
      <c r="I565" s="32" t="str">
        <f aca="false">INDEX(Productos!$B$2:$B$13,MATCH($H565,Productos!$A$2:$A$13,0))</f>
        <v>Autotaladrante 5,5x55 punta broca</v>
      </c>
      <c r="J565" s="32" t="str">
        <f aca="false">INDEX(Productos!$C$2:$C$13,MATCH($H565,Productos!$A$2:$A$13,0))</f>
        <v>Autotaladrante</v>
      </c>
      <c r="K565" s="31" t="s">
        <v>246</v>
      </c>
      <c r="L565" s="46" t="n">
        <v>150</v>
      </c>
      <c r="M565" s="50" t="n">
        <f aca="false">INDEX(Productos!$F$2:$F$13,MATCH($H565,Productos!$A$2:$A$13,0))</f>
        <v>39</v>
      </c>
      <c r="N565" s="51" t="n">
        <v>0.215</v>
      </c>
      <c r="O565" s="52" t="n">
        <f aca="false">M565*(1-N565)</f>
        <v>30.615</v>
      </c>
      <c r="P565" s="21" t="n">
        <f aca="false">L565*O565</f>
        <v>4592.25</v>
      </c>
      <c r="Q565" s="50" t="n">
        <f aca="false">INDEX(Productos!$E$2:$E$13,MATCH($H565,Productos!$A$2:$A$13,0))*INDEX(Parametros!$B$26:$B$43,MATCH($C565,Parametros!$A$26:$A$43,0))</f>
        <v>20.9902</v>
      </c>
      <c r="R565" s="21" t="n">
        <f aca="false">L565*Q565</f>
        <v>3148.53</v>
      </c>
      <c r="S565" s="18" t="n">
        <f aca="false">L565*INDEX(Parametros!$B$20:$B$22,MATCH($E565,Parametros!$A$20:$A$22,0))</f>
        <v>127.5</v>
      </c>
      <c r="T565" s="18" t="n">
        <f aca="false">P565*INDEX(Parametros!$B$13:$B$16,MATCH($F565,Parametros!$A$13:$A$16,0))</f>
        <v>137.7675</v>
      </c>
      <c r="U565" s="21" t="n">
        <f aca="false">P565-R565-S565-T565</f>
        <v>1178.4525</v>
      </c>
      <c r="V565" s="19" t="n">
        <f aca="false">IFERROR(U565/P565,0)</f>
        <v>0.25661767107627</v>
      </c>
      <c r="W565" s="48" t="n">
        <f aca="false">B565+INDEX(Parametros!$C$13:$C$16,MATCH($F565,Parametros!$A$13:$A$16,0))</f>
        <v>45902</v>
      </c>
      <c r="X565" s="31" t="s">
        <v>67</v>
      </c>
      <c r="Y565" s="53" t="n">
        <f aca="false">IF(COUNTIF($A$2:$A565,A565)=1,1,0)</f>
        <v>0</v>
      </c>
    </row>
    <row r="566" customFormat="false" ht="15" hidden="false" customHeight="false" outlineLevel="0" collapsed="false">
      <c r="A566" s="31" t="s">
        <v>543</v>
      </c>
      <c r="B566" s="36" t="n">
        <v>45845</v>
      </c>
      <c r="C566" s="49" t="n">
        <f aca="false">DATE(YEAR(B566),MONTH(B566),1)</f>
        <v>45839</v>
      </c>
      <c r="D566" s="31" t="s">
        <v>199</v>
      </c>
      <c r="E566" s="31" t="s">
        <v>41</v>
      </c>
      <c r="F566" s="31" t="s">
        <v>45</v>
      </c>
      <c r="G566" s="31" t="s">
        <v>58</v>
      </c>
      <c r="H566" s="31" t="s">
        <v>185</v>
      </c>
      <c r="I566" s="32" t="str">
        <f aca="false">INDEX(Productos!$B$2:$B$13,MATCH($H566,Productos!$A$2:$A$13,0))</f>
        <v>Varilla roscada M10 x 1 m zincada</v>
      </c>
      <c r="J566" s="32" t="str">
        <f aca="false">INDEX(Productos!$C$2:$C$13,MATCH($H566,Productos!$A$2:$A$13,0))</f>
        <v>Especial</v>
      </c>
      <c r="K566" s="31" t="s">
        <v>246</v>
      </c>
      <c r="L566" s="46" t="n">
        <v>116</v>
      </c>
      <c r="M566" s="50" t="n">
        <f aca="false">INDEX(Productos!$F$2:$F$13,MATCH($H566,Productos!$A$2:$A$13,0))</f>
        <v>54</v>
      </c>
      <c r="N566" s="51" t="n">
        <v>0.215</v>
      </c>
      <c r="O566" s="52" t="n">
        <f aca="false">M566*(1-N566)</f>
        <v>42.39</v>
      </c>
      <c r="P566" s="21" t="n">
        <f aca="false">L566*O566</f>
        <v>4917.24</v>
      </c>
      <c r="Q566" s="50" t="n">
        <f aca="false">INDEX(Productos!$E$2:$E$13,MATCH($H566,Productos!$A$2:$A$13,0))*INDEX(Parametros!$B$26:$B$43,MATCH($C566,Parametros!$A$26:$A$43,0))</f>
        <v>29.469</v>
      </c>
      <c r="R566" s="21" t="n">
        <f aca="false">L566*Q566</f>
        <v>3418.404</v>
      </c>
      <c r="S566" s="18" t="n">
        <f aca="false">L566*INDEX(Parametros!$B$20:$B$22,MATCH($E566,Parametros!$A$20:$A$22,0))</f>
        <v>98.6</v>
      </c>
      <c r="T566" s="18" t="n">
        <f aca="false">P566*INDEX(Parametros!$B$13:$B$16,MATCH($F566,Parametros!$A$13:$A$16,0))</f>
        <v>147.5172</v>
      </c>
      <c r="U566" s="21" t="n">
        <f aca="false">P566-R566-S566-T566</f>
        <v>1252.7188</v>
      </c>
      <c r="V566" s="19" t="n">
        <f aca="false">IFERROR(U566/P566,0)</f>
        <v>0.254760556735079</v>
      </c>
      <c r="W566" s="48" t="n">
        <f aca="false">B566+INDEX(Parametros!$C$13:$C$16,MATCH($F566,Parametros!$A$13:$A$16,0))</f>
        <v>45905</v>
      </c>
      <c r="X566" s="31" t="s">
        <v>67</v>
      </c>
      <c r="Y566" s="53" t="n">
        <f aca="false">IF(COUNTIF($A$2:$A566,A566)=1,1,0)</f>
        <v>1</v>
      </c>
    </row>
    <row r="567" customFormat="false" ht="15" hidden="false" customHeight="false" outlineLevel="0" collapsed="false">
      <c r="A567" s="31" t="s">
        <v>543</v>
      </c>
      <c r="B567" s="36" t="n">
        <v>45845</v>
      </c>
      <c r="C567" s="49" t="n">
        <f aca="false">DATE(YEAR(B567),MONTH(B567),1)</f>
        <v>45839</v>
      </c>
      <c r="D567" s="31" t="s">
        <v>199</v>
      </c>
      <c r="E567" s="31" t="s">
        <v>41</v>
      </c>
      <c r="F567" s="31" t="s">
        <v>45</v>
      </c>
      <c r="G567" s="31" t="s">
        <v>58</v>
      </c>
      <c r="H567" s="31" t="s">
        <v>179</v>
      </c>
      <c r="I567" s="32" t="str">
        <f aca="false">INDEX(Productos!$B$2:$B$13,MATCH($H567,Productos!$A$2:$A$13,0))</f>
        <v>Autotaladrante DIN 7504 4,8x38 zincado</v>
      </c>
      <c r="J567" s="32" t="str">
        <f aca="false">INDEX(Productos!$C$2:$C$13,MATCH($H567,Productos!$A$2:$A$13,0))</f>
        <v>Autotaladrante</v>
      </c>
      <c r="K567" s="31" t="s">
        <v>246</v>
      </c>
      <c r="L567" s="46" t="n">
        <v>111</v>
      </c>
      <c r="M567" s="50" t="n">
        <f aca="false">INDEX(Productos!$F$2:$F$13,MATCH($H567,Productos!$A$2:$A$13,0))</f>
        <v>29.5</v>
      </c>
      <c r="N567" s="51" t="n">
        <v>0.18</v>
      </c>
      <c r="O567" s="52" t="n">
        <f aca="false">M567*(1-N567)</f>
        <v>24.19</v>
      </c>
      <c r="P567" s="21" t="n">
        <f aca="false">L567*O567</f>
        <v>2685.09</v>
      </c>
      <c r="Q567" s="50" t="n">
        <f aca="false">INDEX(Productos!$E$2:$E$13,MATCH($H567,Productos!$A$2:$A$13,0))*INDEX(Parametros!$B$26:$B$43,MATCH($C567,Parametros!$A$26:$A$43,0))</f>
        <v>15.7168</v>
      </c>
      <c r="R567" s="21" t="n">
        <f aca="false">L567*Q567</f>
        <v>1744.5648</v>
      </c>
      <c r="S567" s="18" t="n">
        <f aca="false">L567*INDEX(Parametros!$B$20:$B$22,MATCH($E567,Parametros!$A$20:$A$22,0))</f>
        <v>94.35</v>
      </c>
      <c r="T567" s="18" t="n">
        <f aca="false">P567*INDEX(Parametros!$B$13:$B$16,MATCH($F567,Parametros!$A$13:$A$16,0))</f>
        <v>80.5527</v>
      </c>
      <c r="U567" s="21" t="n">
        <f aca="false">P567-R567-S567-T567</f>
        <v>765.6225</v>
      </c>
      <c r="V567" s="19" t="n">
        <f aca="false">IFERROR(U567/P567,0)</f>
        <v>0.28513848697809</v>
      </c>
      <c r="W567" s="48" t="n">
        <f aca="false">B567+INDEX(Parametros!$C$13:$C$16,MATCH($F567,Parametros!$A$13:$A$16,0))</f>
        <v>45905</v>
      </c>
      <c r="X567" s="31" t="s">
        <v>67</v>
      </c>
      <c r="Y567" s="53" t="n">
        <f aca="false">IF(COUNTIF($A$2:$A567,A567)=1,1,0)</f>
        <v>0</v>
      </c>
    </row>
    <row r="568" customFormat="false" ht="15" hidden="false" customHeight="false" outlineLevel="0" collapsed="false">
      <c r="A568" s="31" t="s">
        <v>544</v>
      </c>
      <c r="B568" s="36" t="n">
        <v>45845</v>
      </c>
      <c r="C568" s="49" t="n">
        <f aca="false">DATE(YEAR(B568),MONTH(B568),1)</f>
        <v>45839</v>
      </c>
      <c r="D568" s="31" t="s">
        <v>225</v>
      </c>
      <c r="E568" s="31" t="s">
        <v>43</v>
      </c>
      <c r="F568" s="31" t="s">
        <v>47</v>
      </c>
      <c r="G568" s="31" t="s">
        <v>59</v>
      </c>
      <c r="H568" s="31" t="s">
        <v>173</v>
      </c>
      <c r="I568" s="32" t="str">
        <f aca="false">INDEX(Productos!$B$2:$B$13,MATCH($H568,Productos!$A$2:$A$13,0))</f>
        <v>Tornillo DIN 933 M12x70 clase 8.8</v>
      </c>
      <c r="J568" s="32" t="str">
        <f aca="false">INDEX(Productos!$C$2:$C$13,MATCH($H568,Productos!$A$2:$A$13,0))</f>
        <v>Métrica</v>
      </c>
      <c r="K568" s="31" t="s">
        <v>246</v>
      </c>
      <c r="L568" s="46" t="n">
        <v>174</v>
      </c>
      <c r="M568" s="50" t="n">
        <f aca="false">INDEX(Productos!$F$2:$F$13,MATCH($H568,Productos!$A$2:$A$13,0))</f>
        <v>64</v>
      </c>
      <c r="N568" s="51" t="n">
        <v>0.036</v>
      </c>
      <c r="O568" s="52" t="n">
        <f aca="false">M568*(1-N568)</f>
        <v>61.696</v>
      </c>
      <c r="P568" s="21" t="n">
        <f aca="false">L568*O568</f>
        <v>10735.104</v>
      </c>
      <c r="Q568" s="50" t="n">
        <f aca="false">INDEX(Productos!$E$2:$E$13,MATCH($H568,Productos!$A$2:$A$13,0))*INDEX(Parametros!$B$26:$B$43,MATCH($C568,Parametros!$A$26:$A$43,0))</f>
        <v>34.639</v>
      </c>
      <c r="R568" s="21" t="n">
        <f aca="false">L568*Q568</f>
        <v>6027.186</v>
      </c>
      <c r="S568" s="18" t="n">
        <f aca="false">L568*INDEX(Parametros!$B$20:$B$22,MATCH($E568,Parametros!$A$20:$A$22,0))</f>
        <v>330.6</v>
      </c>
      <c r="T568" s="18" t="n">
        <f aca="false">P568*INDEX(Parametros!$B$13:$B$16,MATCH($F568,Parametros!$A$13:$A$16,0))</f>
        <v>375.72864</v>
      </c>
      <c r="U568" s="21" t="n">
        <f aca="false">P568-R568-S568-T568</f>
        <v>4001.58936</v>
      </c>
      <c r="V568" s="19" t="n">
        <f aca="false">IFERROR(U568/P568,0)</f>
        <v>0.372757391078838</v>
      </c>
      <c r="W568" s="48" t="n">
        <f aca="false">B568+INDEX(Parametros!$C$13:$C$16,MATCH($F568,Parametros!$A$13:$A$16,0))</f>
        <v>45890</v>
      </c>
      <c r="X568" s="31" t="s">
        <v>67</v>
      </c>
      <c r="Y568" s="53" t="n">
        <f aca="false">IF(COUNTIF($A$2:$A568,A568)=1,1,0)</f>
        <v>1</v>
      </c>
    </row>
    <row r="569" customFormat="false" ht="15" hidden="false" customHeight="false" outlineLevel="0" collapsed="false">
      <c r="A569" s="31" t="s">
        <v>544</v>
      </c>
      <c r="B569" s="36" t="n">
        <v>45845</v>
      </c>
      <c r="C569" s="49" t="n">
        <f aca="false">DATE(YEAR(B569),MONTH(B569),1)</f>
        <v>45839</v>
      </c>
      <c r="D569" s="31" t="s">
        <v>225</v>
      </c>
      <c r="E569" s="31" t="s">
        <v>43</v>
      </c>
      <c r="F569" s="31" t="s">
        <v>47</v>
      </c>
      <c r="G569" s="31" t="s">
        <v>59</v>
      </c>
      <c r="H569" s="31" t="s">
        <v>183</v>
      </c>
      <c r="I569" s="32" t="str">
        <f aca="false">INDEX(Productos!$B$2:$B$13,MATCH($H569,Productos!$A$2:$A$13,0))</f>
        <v>Tornillo estructural M16x90 clase 10.9</v>
      </c>
      <c r="J569" s="32" t="str">
        <f aca="false">INDEX(Productos!$C$2:$C$13,MATCH($H569,Productos!$A$2:$A$13,0))</f>
        <v>Especial</v>
      </c>
      <c r="K569" s="31" t="s">
        <v>246</v>
      </c>
      <c r="L569" s="46" t="n">
        <v>75</v>
      </c>
      <c r="M569" s="50" t="n">
        <f aca="false">INDEX(Productos!$F$2:$F$13,MATCH($H569,Productos!$A$2:$A$13,0))</f>
        <v>112</v>
      </c>
      <c r="N569" s="51" t="n">
        <v>0.065</v>
      </c>
      <c r="O569" s="52" t="n">
        <f aca="false">M569*(1-N569)</f>
        <v>104.72</v>
      </c>
      <c r="P569" s="21" t="n">
        <f aca="false">L569*O569</f>
        <v>7854</v>
      </c>
      <c r="Q569" s="50" t="n">
        <f aca="false">INDEX(Productos!$E$2:$E$13,MATCH($H569,Productos!$A$2:$A$13,0))*INDEX(Parametros!$B$26:$B$43,MATCH($C569,Parametros!$A$26:$A$43,0))</f>
        <v>62.04</v>
      </c>
      <c r="R569" s="21" t="n">
        <f aca="false">L569*Q569</f>
        <v>4653</v>
      </c>
      <c r="S569" s="18" t="n">
        <f aca="false">L569*INDEX(Parametros!$B$20:$B$22,MATCH($E569,Parametros!$A$20:$A$22,0))</f>
        <v>142.5</v>
      </c>
      <c r="T569" s="18" t="n">
        <f aca="false">P569*INDEX(Parametros!$B$13:$B$16,MATCH($F569,Parametros!$A$13:$A$16,0))</f>
        <v>274.89</v>
      </c>
      <c r="U569" s="21" t="n">
        <f aca="false">P569-R569-S569-T569</f>
        <v>2783.61</v>
      </c>
      <c r="V569" s="19" t="n">
        <f aca="false">IFERROR(U569/P569,0)</f>
        <v>0.354419404125287</v>
      </c>
      <c r="W569" s="48" t="n">
        <f aca="false">B569+INDEX(Parametros!$C$13:$C$16,MATCH($F569,Parametros!$A$13:$A$16,0))</f>
        <v>45890</v>
      </c>
      <c r="X569" s="31" t="s">
        <v>69</v>
      </c>
      <c r="Y569" s="53" t="n">
        <f aca="false">IF(COUNTIF($A$2:$A569,A569)=1,1,0)</f>
        <v>0</v>
      </c>
    </row>
    <row r="570" customFormat="false" ht="15" hidden="false" customHeight="false" outlineLevel="0" collapsed="false">
      <c r="A570" s="31" t="s">
        <v>545</v>
      </c>
      <c r="B570" s="36" t="n">
        <v>45845</v>
      </c>
      <c r="C570" s="49" t="n">
        <f aca="false">DATE(YEAR(B570),MONTH(B570),1)</f>
        <v>45839</v>
      </c>
      <c r="D570" s="31" t="s">
        <v>219</v>
      </c>
      <c r="E570" s="31" t="s">
        <v>42</v>
      </c>
      <c r="F570" s="31" t="s">
        <v>45</v>
      </c>
      <c r="G570" s="31" t="s">
        <v>61</v>
      </c>
      <c r="H570" s="31" t="s">
        <v>167</v>
      </c>
      <c r="I570" s="32" t="str">
        <f aca="false">INDEX(Productos!$B$2:$B$13,MATCH($H570,Productos!$A$2:$A$13,0))</f>
        <v>Tornillo DIN 912 M6x25 Allen zincado</v>
      </c>
      <c r="J570" s="32" t="str">
        <f aca="false">INDEX(Productos!$C$2:$C$13,MATCH($H570,Productos!$A$2:$A$13,0))</f>
        <v>Métrica</v>
      </c>
      <c r="K570" s="31" t="s">
        <v>246</v>
      </c>
      <c r="L570" s="46" t="n">
        <v>32</v>
      </c>
      <c r="M570" s="50" t="n">
        <f aca="false">INDEX(Productos!$F$2:$F$13,MATCH($H570,Productos!$A$2:$A$13,0))</f>
        <v>42</v>
      </c>
      <c r="N570" s="51" t="n">
        <v>0.209</v>
      </c>
      <c r="O570" s="52" t="n">
        <f aca="false">M570*(1-N570)</f>
        <v>33.222</v>
      </c>
      <c r="P570" s="21" t="n">
        <f aca="false">L570*O570</f>
        <v>1063.104</v>
      </c>
      <c r="Q570" s="50" t="n">
        <f aca="false">INDEX(Productos!$E$2:$E$13,MATCH($H570,Productos!$A$2:$A$13,0))*INDEX(Parametros!$B$26:$B$43,MATCH($C570,Parametros!$A$26:$A$43,0))</f>
        <v>22.5412</v>
      </c>
      <c r="R570" s="21" t="n">
        <f aca="false">L570*Q570</f>
        <v>721.3184</v>
      </c>
      <c r="S570" s="18" t="n">
        <f aca="false">L570*INDEX(Parametros!$B$20:$B$22,MATCH($E570,Parametros!$A$20:$A$22,0))</f>
        <v>76.8</v>
      </c>
      <c r="T570" s="18" t="n">
        <f aca="false">P570*INDEX(Parametros!$B$13:$B$16,MATCH($F570,Parametros!$A$13:$A$16,0))</f>
        <v>31.89312</v>
      </c>
      <c r="U570" s="21" t="n">
        <f aca="false">P570-R570-S570-T570</f>
        <v>233.09248</v>
      </c>
      <c r="V570" s="19" t="n">
        <f aca="false">IFERROR(U570/P570,0)</f>
        <v>0.219256516765998</v>
      </c>
      <c r="W570" s="48" t="n">
        <f aca="false">B570+INDEX(Parametros!$C$13:$C$16,MATCH($F570,Parametros!$A$13:$A$16,0))</f>
        <v>45905</v>
      </c>
      <c r="X570" s="31" t="s">
        <v>67</v>
      </c>
      <c r="Y570" s="53" t="n">
        <f aca="false">IF(COUNTIF($A$2:$A570,A570)=1,1,0)</f>
        <v>1</v>
      </c>
    </row>
    <row r="571" customFormat="false" ht="15" hidden="false" customHeight="false" outlineLevel="0" collapsed="false">
      <c r="A571" s="31" t="s">
        <v>545</v>
      </c>
      <c r="B571" s="36" t="n">
        <v>45845</v>
      </c>
      <c r="C571" s="49" t="n">
        <f aca="false">DATE(YEAR(B571),MONTH(B571),1)</f>
        <v>45839</v>
      </c>
      <c r="D571" s="31" t="s">
        <v>219</v>
      </c>
      <c r="E571" s="31" t="s">
        <v>42</v>
      </c>
      <c r="F571" s="31" t="s">
        <v>45</v>
      </c>
      <c r="G571" s="31" t="s">
        <v>61</v>
      </c>
      <c r="H571" s="31" t="s">
        <v>179</v>
      </c>
      <c r="I571" s="32" t="str">
        <f aca="false">INDEX(Productos!$B$2:$B$13,MATCH($H571,Productos!$A$2:$A$13,0))</f>
        <v>Autotaladrante DIN 7504 4,8x38 zincado</v>
      </c>
      <c r="J571" s="32" t="str">
        <f aca="false">INDEX(Productos!$C$2:$C$13,MATCH($H571,Productos!$A$2:$A$13,0))</f>
        <v>Autotaladrante</v>
      </c>
      <c r="K571" s="31" t="s">
        <v>246</v>
      </c>
      <c r="L571" s="46" t="n">
        <v>49</v>
      </c>
      <c r="M571" s="50" t="n">
        <f aca="false">INDEX(Productos!$F$2:$F$13,MATCH($H571,Productos!$A$2:$A$13,0))</f>
        <v>29.5</v>
      </c>
      <c r="N571" s="51" t="n">
        <v>0.182</v>
      </c>
      <c r="O571" s="52" t="n">
        <f aca="false">M571*(1-N571)</f>
        <v>24.131</v>
      </c>
      <c r="P571" s="21" t="n">
        <f aca="false">L571*O571</f>
        <v>1182.419</v>
      </c>
      <c r="Q571" s="50" t="n">
        <f aca="false">INDEX(Productos!$E$2:$E$13,MATCH($H571,Productos!$A$2:$A$13,0))*INDEX(Parametros!$B$26:$B$43,MATCH($C571,Parametros!$A$26:$A$43,0))</f>
        <v>15.7168</v>
      </c>
      <c r="R571" s="21" t="n">
        <f aca="false">L571*Q571</f>
        <v>770.1232</v>
      </c>
      <c r="S571" s="18" t="n">
        <f aca="false">L571*INDEX(Parametros!$B$20:$B$22,MATCH($E571,Parametros!$A$20:$A$22,0))</f>
        <v>117.6</v>
      </c>
      <c r="T571" s="18" t="n">
        <f aca="false">P571*INDEX(Parametros!$B$13:$B$16,MATCH($F571,Parametros!$A$13:$A$16,0))</f>
        <v>35.47257</v>
      </c>
      <c r="U571" s="21" t="n">
        <f aca="false">P571-R571-S571-T571</f>
        <v>259.22323</v>
      </c>
      <c r="V571" s="19" t="n">
        <f aca="false">IFERROR(U571/P571,0)</f>
        <v>0.219231279267333</v>
      </c>
      <c r="W571" s="48" t="n">
        <f aca="false">B571+INDEX(Parametros!$C$13:$C$16,MATCH($F571,Parametros!$A$13:$A$16,0))</f>
        <v>45905</v>
      </c>
      <c r="X571" s="31" t="s">
        <v>67</v>
      </c>
      <c r="Y571" s="53" t="n">
        <f aca="false">IF(COUNTIF($A$2:$A571,A571)=1,1,0)</f>
        <v>0</v>
      </c>
    </row>
    <row r="572" customFormat="false" ht="15" hidden="false" customHeight="false" outlineLevel="0" collapsed="false">
      <c r="A572" s="31" t="s">
        <v>545</v>
      </c>
      <c r="B572" s="36" t="n">
        <v>45845</v>
      </c>
      <c r="C572" s="49" t="n">
        <f aca="false">DATE(YEAR(B572),MONTH(B572),1)</f>
        <v>45839</v>
      </c>
      <c r="D572" s="31" t="s">
        <v>219</v>
      </c>
      <c r="E572" s="31" t="s">
        <v>42</v>
      </c>
      <c r="F572" s="31" t="s">
        <v>45</v>
      </c>
      <c r="G572" s="31" t="s">
        <v>61</v>
      </c>
      <c r="H572" s="31" t="s">
        <v>183</v>
      </c>
      <c r="I572" s="32" t="str">
        <f aca="false">INDEX(Productos!$B$2:$B$13,MATCH($H572,Productos!$A$2:$A$13,0))</f>
        <v>Tornillo estructural M16x90 clase 10.9</v>
      </c>
      <c r="J572" s="32" t="str">
        <f aca="false">INDEX(Productos!$C$2:$C$13,MATCH($H572,Productos!$A$2:$A$13,0))</f>
        <v>Especial</v>
      </c>
      <c r="K572" s="31" t="s">
        <v>246</v>
      </c>
      <c r="L572" s="46" t="n">
        <v>34</v>
      </c>
      <c r="M572" s="50" t="n">
        <f aca="false">INDEX(Productos!$F$2:$F$13,MATCH($H572,Productos!$A$2:$A$13,0))</f>
        <v>112</v>
      </c>
      <c r="N572" s="51" t="n">
        <v>0.157</v>
      </c>
      <c r="O572" s="52" t="n">
        <f aca="false">M572*(1-N572)</f>
        <v>94.416</v>
      </c>
      <c r="P572" s="21" t="n">
        <f aca="false">L572*O572</f>
        <v>3210.144</v>
      </c>
      <c r="Q572" s="50" t="n">
        <f aca="false">INDEX(Productos!$E$2:$E$13,MATCH($H572,Productos!$A$2:$A$13,0))*INDEX(Parametros!$B$26:$B$43,MATCH($C572,Parametros!$A$26:$A$43,0))</f>
        <v>62.04</v>
      </c>
      <c r="R572" s="21" t="n">
        <f aca="false">L572*Q572</f>
        <v>2109.36</v>
      </c>
      <c r="S572" s="18" t="n">
        <f aca="false">L572*INDEX(Parametros!$B$20:$B$22,MATCH($E572,Parametros!$A$20:$A$22,0))</f>
        <v>81.6</v>
      </c>
      <c r="T572" s="18" t="n">
        <f aca="false">P572*INDEX(Parametros!$B$13:$B$16,MATCH($F572,Parametros!$A$13:$A$16,0))</f>
        <v>96.30432</v>
      </c>
      <c r="U572" s="21" t="n">
        <f aca="false">P572-R572-S572-T572</f>
        <v>922.87968</v>
      </c>
      <c r="V572" s="19" t="n">
        <f aca="false">IFERROR(U572/P572,0)</f>
        <v>0.287488561260803</v>
      </c>
      <c r="W572" s="48" t="n">
        <f aca="false">B572+INDEX(Parametros!$C$13:$C$16,MATCH($F572,Parametros!$A$13:$A$16,0))</f>
        <v>45905</v>
      </c>
      <c r="X572" s="31" t="s">
        <v>67</v>
      </c>
      <c r="Y572" s="53" t="n">
        <f aca="false">IF(COUNTIF($A$2:$A572,A572)=1,1,0)</f>
        <v>0</v>
      </c>
    </row>
    <row r="573" customFormat="false" ht="15" hidden="false" customHeight="false" outlineLevel="0" collapsed="false">
      <c r="A573" s="31" t="s">
        <v>546</v>
      </c>
      <c r="B573" s="36" t="n">
        <v>45845</v>
      </c>
      <c r="C573" s="49" t="n">
        <f aca="false">DATE(YEAR(B573),MONTH(B573),1)</f>
        <v>45839</v>
      </c>
      <c r="D573" s="31" t="s">
        <v>205</v>
      </c>
      <c r="E573" s="31" t="s">
        <v>41</v>
      </c>
      <c r="F573" s="31" t="s">
        <v>45</v>
      </c>
      <c r="G573" s="31" t="s">
        <v>62</v>
      </c>
      <c r="H573" s="31" t="s">
        <v>165</v>
      </c>
      <c r="I573" s="32" t="str">
        <f aca="false">INDEX(Productos!$B$2:$B$13,MATCH($H573,Productos!$A$2:$A$13,0))</f>
        <v>Tornillo DIN 933 M8x40 rosca completa zincado</v>
      </c>
      <c r="J573" s="32" t="str">
        <f aca="false">INDEX(Productos!$C$2:$C$13,MATCH($H573,Productos!$A$2:$A$13,0))</f>
        <v>Métrica</v>
      </c>
      <c r="K573" s="31" t="s">
        <v>246</v>
      </c>
      <c r="L573" s="46" t="n">
        <v>196</v>
      </c>
      <c r="M573" s="50" t="n">
        <f aca="false">INDEX(Productos!$F$2:$F$13,MATCH($H573,Productos!$A$2:$A$13,0))</f>
        <v>37.5</v>
      </c>
      <c r="N573" s="51" t="n">
        <v>0.208</v>
      </c>
      <c r="O573" s="52" t="n">
        <f aca="false">M573*(1-N573)</f>
        <v>29.7</v>
      </c>
      <c r="P573" s="21" t="n">
        <f aca="false">L573*O573</f>
        <v>5821.2</v>
      </c>
      <c r="Q573" s="50" t="n">
        <f aca="false">INDEX(Productos!$E$2:$E$13,MATCH($H573,Productos!$A$2:$A$13,0))*INDEX(Parametros!$B$26:$B$43,MATCH($C573,Parametros!$A$26:$A$43,0))</f>
        <v>20.0596</v>
      </c>
      <c r="R573" s="21" t="n">
        <f aca="false">L573*Q573</f>
        <v>3931.6816</v>
      </c>
      <c r="S573" s="18" t="n">
        <f aca="false">L573*INDEX(Parametros!$B$20:$B$22,MATCH($E573,Parametros!$A$20:$A$22,0))</f>
        <v>166.6</v>
      </c>
      <c r="T573" s="18" t="n">
        <f aca="false">P573*INDEX(Parametros!$B$13:$B$16,MATCH($F573,Parametros!$A$13:$A$16,0))</f>
        <v>174.636</v>
      </c>
      <c r="U573" s="21" t="n">
        <f aca="false">P573-R573-S573-T573</f>
        <v>1548.2824</v>
      </c>
      <c r="V573" s="19" t="n">
        <f aca="false">IFERROR(U573/P573,0)</f>
        <v>0.265973063973064</v>
      </c>
      <c r="W573" s="48" t="n">
        <f aca="false">B573+INDEX(Parametros!$C$13:$C$16,MATCH($F573,Parametros!$A$13:$A$16,0))</f>
        <v>45905</v>
      </c>
      <c r="X573" s="31" t="s">
        <v>69</v>
      </c>
      <c r="Y573" s="53" t="n">
        <f aca="false">IF(COUNTIF($A$2:$A573,A573)=1,1,0)</f>
        <v>1</v>
      </c>
    </row>
    <row r="574" customFormat="false" ht="15" hidden="false" customHeight="false" outlineLevel="0" collapsed="false">
      <c r="A574" s="31" t="s">
        <v>546</v>
      </c>
      <c r="B574" s="36" t="n">
        <v>45845</v>
      </c>
      <c r="C574" s="49" t="n">
        <f aca="false">DATE(YEAR(B574),MONTH(B574),1)</f>
        <v>45839</v>
      </c>
      <c r="D574" s="31" t="s">
        <v>205</v>
      </c>
      <c r="E574" s="31" t="s">
        <v>41</v>
      </c>
      <c r="F574" s="31" t="s">
        <v>45</v>
      </c>
      <c r="G574" s="31" t="s">
        <v>62</v>
      </c>
      <c r="H574" s="31" t="s">
        <v>181</v>
      </c>
      <c r="I574" s="32" t="str">
        <f aca="false">INDEX(Productos!$B$2:$B$13,MATCH($H574,Productos!$A$2:$A$13,0))</f>
        <v>Autotaladrante 5,5x55 punta broca</v>
      </c>
      <c r="J574" s="32" t="str">
        <f aca="false">INDEX(Productos!$C$2:$C$13,MATCH($H574,Productos!$A$2:$A$13,0))</f>
        <v>Autotaladrante</v>
      </c>
      <c r="K574" s="31" t="s">
        <v>246</v>
      </c>
      <c r="L574" s="46" t="n">
        <v>39</v>
      </c>
      <c r="M574" s="50" t="n">
        <f aca="false">INDEX(Productos!$F$2:$F$13,MATCH($H574,Productos!$A$2:$A$13,0))</f>
        <v>39</v>
      </c>
      <c r="N574" s="51" t="n">
        <v>0.166</v>
      </c>
      <c r="O574" s="52" t="n">
        <f aca="false">M574*(1-N574)</f>
        <v>32.526</v>
      </c>
      <c r="P574" s="21" t="n">
        <f aca="false">L574*O574</f>
        <v>1268.514</v>
      </c>
      <c r="Q574" s="50" t="n">
        <f aca="false">INDEX(Productos!$E$2:$E$13,MATCH($H574,Productos!$A$2:$A$13,0))*INDEX(Parametros!$B$26:$B$43,MATCH($C574,Parametros!$A$26:$A$43,0))</f>
        <v>20.9902</v>
      </c>
      <c r="R574" s="21" t="n">
        <f aca="false">L574*Q574</f>
        <v>818.6178</v>
      </c>
      <c r="S574" s="18" t="n">
        <f aca="false">L574*INDEX(Parametros!$B$20:$B$22,MATCH($E574,Parametros!$A$20:$A$22,0))</f>
        <v>33.15</v>
      </c>
      <c r="T574" s="18" t="n">
        <f aca="false">P574*INDEX(Parametros!$B$13:$B$16,MATCH($F574,Parametros!$A$13:$A$16,0))</f>
        <v>38.05542</v>
      </c>
      <c r="U574" s="21" t="n">
        <f aca="false">P574-R574-S574-T574</f>
        <v>378.69078</v>
      </c>
      <c r="V574" s="19" t="n">
        <f aca="false">IFERROR(U574/P574,0)</f>
        <v>0.298531021336777</v>
      </c>
      <c r="W574" s="48" t="n">
        <f aca="false">B574+INDEX(Parametros!$C$13:$C$16,MATCH($F574,Parametros!$A$13:$A$16,0))</f>
        <v>45905</v>
      </c>
      <c r="X574" s="31" t="s">
        <v>67</v>
      </c>
      <c r="Y574" s="53" t="n">
        <f aca="false">IF(COUNTIF($A$2:$A574,A574)=1,1,0)</f>
        <v>0</v>
      </c>
    </row>
    <row r="575" customFormat="false" ht="15" hidden="false" customHeight="false" outlineLevel="0" collapsed="false">
      <c r="A575" s="31" t="s">
        <v>546</v>
      </c>
      <c r="B575" s="36" t="n">
        <v>45845</v>
      </c>
      <c r="C575" s="49" t="n">
        <f aca="false">DATE(YEAR(B575),MONTH(B575),1)</f>
        <v>45839</v>
      </c>
      <c r="D575" s="31" t="s">
        <v>205</v>
      </c>
      <c r="E575" s="31" t="s">
        <v>41</v>
      </c>
      <c r="F575" s="31" t="s">
        <v>45</v>
      </c>
      <c r="G575" s="31" t="s">
        <v>62</v>
      </c>
      <c r="H575" s="31" t="s">
        <v>173</v>
      </c>
      <c r="I575" s="32" t="str">
        <f aca="false">INDEX(Productos!$B$2:$B$13,MATCH($H575,Productos!$A$2:$A$13,0))</f>
        <v>Tornillo DIN 933 M12x70 clase 8.8</v>
      </c>
      <c r="J575" s="32" t="str">
        <f aca="false">INDEX(Productos!$C$2:$C$13,MATCH($H575,Productos!$A$2:$A$13,0))</f>
        <v>Métrica</v>
      </c>
      <c r="K575" s="31" t="s">
        <v>246</v>
      </c>
      <c r="L575" s="46" t="n">
        <v>146</v>
      </c>
      <c r="M575" s="50" t="n">
        <f aca="false">INDEX(Productos!$F$2:$F$13,MATCH($H575,Productos!$A$2:$A$13,0))</f>
        <v>64</v>
      </c>
      <c r="N575" s="51" t="n">
        <v>0.217</v>
      </c>
      <c r="O575" s="52" t="n">
        <f aca="false">M575*(1-N575)</f>
        <v>50.112</v>
      </c>
      <c r="P575" s="21" t="n">
        <f aca="false">L575*O575</f>
        <v>7316.352</v>
      </c>
      <c r="Q575" s="50" t="n">
        <f aca="false">INDEX(Productos!$E$2:$E$13,MATCH($H575,Productos!$A$2:$A$13,0))*INDEX(Parametros!$B$26:$B$43,MATCH($C575,Parametros!$A$26:$A$43,0))</f>
        <v>34.639</v>
      </c>
      <c r="R575" s="21" t="n">
        <f aca="false">L575*Q575</f>
        <v>5057.294</v>
      </c>
      <c r="S575" s="18" t="n">
        <f aca="false">L575*INDEX(Parametros!$B$20:$B$22,MATCH($E575,Parametros!$A$20:$A$22,0))</f>
        <v>124.1</v>
      </c>
      <c r="T575" s="18" t="n">
        <f aca="false">P575*INDEX(Parametros!$B$13:$B$16,MATCH($F575,Parametros!$A$13:$A$16,0))</f>
        <v>219.49056</v>
      </c>
      <c r="U575" s="21" t="n">
        <f aca="false">P575-R575-S575-T575</f>
        <v>1915.46744</v>
      </c>
      <c r="V575" s="19" t="n">
        <f aca="false">IFERROR(U575/P575,0)</f>
        <v>0.261806353767561</v>
      </c>
      <c r="W575" s="48" t="n">
        <f aca="false">B575+INDEX(Parametros!$C$13:$C$16,MATCH($F575,Parametros!$A$13:$A$16,0))</f>
        <v>45905</v>
      </c>
      <c r="X575" s="31" t="s">
        <v>67</v>
      </c>
      <c r="Y575" s="53" t="n">
        <f aca="false">IF(COUNTIF($A$2:$A575,A575)=1,1,0)</f>
        <v>0</v>
      </c>
    </row>
    <row r="576" customFormat="false" ht="15" hidden="false" customHeight="false" outlineLevel="0" collapsed="false">
      <c r="A576" s="31" t="s">
        <v>547</v>
      </c>
      <c r="B576" s="36" t="n">
        <v>45845</v>
      </c>
      <c r="C576" s="49" t="n">
        <f aca="false">DATE(YEAR(B576),MONTH(B576),1)</f>
        <v>45839</v>
      </c>
      <c r="D576" s="31" t="s">
        <v>201</v>
      </c>
      <c r="E576" s="31" t="s">
        <v>41</v>
      </c>
      <c r="F576" s="31" t="s">
        <v>46</v>
      </c>
      <c r="G576" s="31" t="s">
        <v>62</v>
      </c>
      <c r="H576" s="31" t="s">
        <v>177</v>
      </c>
      <c r="I576" s="32" t="str">
        <f aca="false">INDEX(Productos!$B$2:$B$13,MATCH($H576,Productos!$A$2:$A$13,0))</f>
        <v>Tirafondo madera 6x100 cabeza plana Torx</v>
      </c>
      <c r="J576" s="32" t="str">
        <f aca="false">INDEX(Productos!$C$2:$C$13,MATCH($H576,Productos!$A$2:$A$13,0))</f>
        <v>Madera</v>
      </c>
      <c r="K576" s="31" t="s">
        <v>275</v>
      </c>
      <c r="L576" s="46" t="n">
        <v>-9</v>
      </c>
      <c r="M576" s="50" t="n">
        <f aca="false">INDEX(Productos!$F$2:$F$13,MATCH($H576,Productos!$A$2:$A$13,0))</f>
        <v>34</v>
      </c>
      <c r="N576" s="51" t="n">
        <v>0.132</v>
      </c>
      <c r="O576" s="52" t="n">
        <f aca="false">M576*(1-N576)</f>
        <v>29.512</v>
      </c>
      <c r="P576" s="21" t="n">
        <f aca="false">L576*O576</f>
        <v>-265.608</v>
      </c>
      <c r="Q576" s="50" t="n">
        <f aca="false">INDEX(Productos!$E$2:$E$13,MATCH($H576,Productos!$A$2:$A$13,0))*INDEX(Parametros!$B$26:$B$43,MATCH($C576,Parametros!$A$26:$A$43,0))</f>
        <v>18.4052</v>
      </c>
      <c r="R576" s="21" t="n">
        <f aca="false">L576*Q576</f>
        <v>-165.6468</v>
      </c>
      <c r="S576" s="18" t="n">
        <f aca="false">L576*INDEX(Parametros!$B$20:$B$22,MATCH($E576,Parametros!$A$20:$A$22,0))</f>
        <v>-7.65</v>
      </c>
      <c r="T576" s="18" t="n">
        <f aca="false">P576*INDEX(Parametros!$B$13:$B$16,MATCH($F576,Parametros!$A$13:$A$16,0))</f>
        <v>-10.62432</v>
      </c>
      <c r="U576" s="21" t="n">
        <f aca="false">P576-R576-S576-T576</f>
        <v>-81.68688</v>
      </c>
      <c r="V576" s="19" t="n">
        <f aca="false">IFERROR(U576/P576,0)</f>
        <v>0.30754676063974</v>
      </c>
      <c r="W576" s="48" t="n">
        <f aca="false">B576+INDEX(Parametros!$C$13:$C$16,MATCH($F576,Parametros!$A$13:$A$16,0))</f>
        <v>45920</v>
      </c>
      <c r="X576" s="31" t="s">
        <v>67</v>
      </c>
      <c r="Y576" s="53" t="n">
        <f aca="false">IF(COUNTIF($A$2:$A576,A576)=1,1,0)</f>
        <v>1</v>
      </c>
    </row>
    <row r="577" customFormat="false" ht="15" hidden="false" customHeight="false" outlineLevel="0" collapsed="false">
      <c r="A577" s="31" t="s">
        <v>547</v>
      </c>
      <c r="B577" s="36" t="n">
        <v>45845</v>
      </c>
      <c r="C577" s="49" t="n">
        <f aca="false">DATE(YEAR(B577),MONTH(B577),1)</f>
        <v>45839</v>
      </c>
      <c r="D577" s="31" t="s">
        <v>201</v>
      </c>
      <c r="E577" s="31" t="s">
        <v>41</v>
      </c>
      <c r="F577" s="31" t="s">
        <v>46</v>
      </c>
      <c r="G577" s="31" t="s">
        <v>62</v>
      </c>
      <c r="H577" s="31" t="s">
        <v>175</v>
      </c>
      <c r="I577" s="32" t="str">
        <f aca="false">INDEX(Productos!$B$2:$B$13,MATCH($H577,Productos!$A$2:$A$13,0))</f>
        <v>Tirafondo madera 5x60 cabeza plana Torx</v>
      </c>
      <c r="J577" s="32" t="str">
        <f aca="false">INDEX(Productos!$C$2:$C$13,MATCH($H577,Productos!$A$2:$A$13,0))</f>
        <v>Madera</v>
      </c>
      <c r="K577" s="31" t="s">
        <v>275</v>
      </c>
      <c r="L577" s="46" t="n">
        <v>-24</v>
      </c>
      <c r="M577" s="50" t="n">
        <f aca="false">INDEX(Productos!$F$2:$F$13,MATCH($H577,Productos!$A$2:$A$13,0))</f>
        <v>26</v>
      </c>
      <c r="N577" s="51" t="n">
        <v>0.081</v>
      </c>
      <c r="O577" s="52" t="n">
        <f aca="false">M577*(1-N577)</f>
        <v>23.894</v>
      </c>
      <c r="P577" s="21" t="n">
        <f aca="false">L577*O577</f>
        <v>-573.456</v>
      </c>
      <c r="Q577" s="50" t="n">
        <f aca="false">INDEX(Productos!$E$2:$E$13,MATCH($H577,Productos!$A$2:$A$13,0))*INDEX(Parametros!$B$26:$B$43,MATCH($C577,Parametros!$A$26:$A$43,0))</f>
        <v>13.8556</v>
      </c>
      <c r="R577" s="21" t="n">
        <f aca="false">L577*Q577</f>
        <v>-332.5344</v>
      </c>
      <c r="S577" s="18" t="n">
        <f aca="false">L577*INDEX(Parametros!$B$20:$B$22,MATCH($E577,Parametros!$A$20:$A$22,0))</f>
        <v>-20.4</v>
      </c>
      <c r="T577" s="18" t="n">
        <f aca="false">P577*INDEX(Parametros!$B$13:$B$16,MATCH($F577,Parametros!$A$13:$A$16,0))</f>
        <v>-22.93824</v>
      </c>
      <c r="U577" s="21" t="n">
        <f aca="false">P577-R577-S577-T577</f>
        <v>-197.58336</v>
      </c>
      <c r="V577" s="19" t="n">
        <f aca="false">IFERROR(U577/P577,0)</f>
        <v>0.344548422198041</v>
      </c>
      <c r="W577" s="48" t="n">
        <f aca="false">B577+INDEX(Parametros!$C$13:$C$16,MATCH($F577,Parametros!$A$13:$A$16,0))</f>
        <v>45920</v>
      </c>
      <c r="X577" s="31" t="s">
        <v>67</v>
      </c>
      <c r="Y577" s="53" t="n">
        <f aca="false">IF(COUNTIF($A$2:$A577,A577)=1,1,0)</f>
        <v>0</v>
      </c>
    </row>
    <row r="578" customFormat="false" ht="15" hidden="false" customHeight="false" outlineLevel="0" collapsed="false">
      <c r="A578" s="31" t="s">
        <v>547</v>
      </c>
      <c r="B578" s="36" t="n">
        <v>45845</v>
      </c>
      <c r="C578" s="49" t="n">
        <f aca="false">DATE(YEAR(B578),MONTH(B578),1)</f>
        <v>45839</v>
      </c>
      <c r="D578" s="31" t="s">
        <v>201</v>
      </c>
      <c r="E578" s="31" t="s">
        <v>41</v>
      </c>
      <c r="F578" s="31" t="s">
        <v>46</v>
      </c>
      <c r="G578" s="31" t="s">
        <v>62</v>
      </c>
      <c r="H578" s="31" t="s">
        <v>179</v>
      </c>
      <c r="I578" s="32" t="str">
        <f aca="false">INDEX(Productos!$B$2:$B$13,MATCH($H578,Productos!$A$2:$A$13,0))</f>
        <v>Autotaladrante DIN 7504 4,8x38 zincado</v>
      </c>
      <c r="J578" s="32" t="str">
        <f aca="false">INDEX(Productos!$C$2:$C$13,MATCH($H578,Productos!$A$2:$A$13,0))</f>
        <v>Autotaladrante</v>
      </c>
      <c r="K578" s="31" t="s">
        <v>275</v>
      </c>
      <c r="L578" s="46" t="n">
        <v>-7</v>
      </c>
      <c r="M578" s="50" t="n">
        <f aca="false">INDEX(Productos!$F$2:$F$13,MATCH($H578,Productos!$A$2:$A$13,0))</f>
        <v>29.5</v>
      </c>
      <c r="N578" s="51" t="n">
        <v>0.092</v>
      </c>
      <c r="O578" s="52" t="n">
        <f aca="false">M578*(1-N578)</f>
        <v>26.786</v>
      </c>
      <c r="P578" s="21" t="n">
        <f aca="false">L578*O578</f>
        <v>-187.502</v>
      </c>
      <c r="Q578" s="50" t="n">
        <f aca="false">INDEX(Productos!$E$2:$E$13,MATCH($H578,Productos!$A$2:$A$13,0))*INDEX(Parametros!$B$26:$B$43,MATCH($C578,Parametros!$A$26:$A$43,0))</f>
        <v>15.7168</v>
      </c>
      <c r="R578" s="21" t="n">
        <f aca="false">L578*Q578</f>
        <v>-110.0176</v>
      </c>
      <c r="S578" s="18" t="n">
        <f aca="false">L578*INDEX(Parametros!$B$20:$B$22,MATCH($E578,Parametros!$A$20:$A$22,0))</f>
        <v>-5.95</v>
      </c>
      <c r="T578" s="18" t="n">
        <f aca="false">P578*INDEX(Parametros!$B$13:$B$16,MATCH($F578,Parametros!$A$13:$A$16,0))</f>
        <v>-7.50008</v>
      </c>
      <c r="U578" s="21" t="n">
        <f aca="false">P578-R578-S578-T578</f>
        <v>-64.03432</v>
      </c>
      <c r="V578" s="19" t="n">
        <f aca="false">IFERROR(U578/P578,0)</f>
        <v>0.341512730530874</v>
      </c>
      <c r="W578" s="48" t="n">
        <f aca="false">B578+INDEX(Parametros!$C$13:$C$16,MATCH($F578,Parametros!$A$13:$A$16,0))</f>
        <v>45920</v>
      </c>
      <c r="X578" s="31" t="s">
        <v>67</v>
      </c>
      <c r="Y578" s="53" t="n">
        <f aca="false">IF(COUNTIF($A$2:$A578,A578)=1,1,0)</f>
        <v>0</v>
      </c>
    </row>
    <row r="579" customFormat="false" ht="15" hidden="false" customHeight="false" outlineLevel="0" collapsed="false">
      <c r="A579" s="31" t="s">
        <v>548</v>
      </c>
      <c r="B579" s="36" t="n">
        <v>45845</v>
      </c>
      <c r="C579" s="49" t="n">
        <f aca="false">DATE(YEAR(B579),MONTH(B579),1)</f>
        <v>45839</v>
      </c>
      <c r="D579" s="31" t="s">
        <v>220</v>
      </c>
      <c r="E579" s="31" t="s">
        <v>42</v>
      </c>
      <c r="F579" s="31" t="s">
        <v>46</v>
      </c>
      <c r="G579" s="31" t="s">
        <v>61</v>
      </c>
      <c r="H579" s="31" t="s">
        <v>185</v>
      </c>
      <c r="I579" s="32" t="str">
        <f aca="false">INDEX(Productos!$B$2:$B$13,MATCH($H579,Productos!$A$2:$A$13,0))</f>
        <v>Varilla roscada M10 x 1 m zincada</v>
      </c>
      <c r="J579" s="32" t="str">
        <f aca="false">INDEX(Productos!$C$2:$C$13,MATCH($H579,Productos!$A$2:$A$13,0))</f>
        <v>Especial</v>
      </c>
      <c r="K579" s="31" t="s">
        <v>246</v>
      </c>
      <c r="L579" s="46" t="n">
        <v>31</v>
      </c>
      <c r="M579" s="50" t="n">
        <f aca="false">INDEX(Productos!$F$2:$F$13,MATCH($H579,Productos!$A$2:$A$13,0))</f>
        <v>54</v>
      </c>
      <c r="N579" s="51" t="n">
        <v>0.158</v>
      </c>
      <c r="O579" s="52" t="n">
        <f aca="false">M579*(1-N579)</f>
        <v>45.468</v>
      </c>
      <c r="P579" s="21" t="n">
        <f aca="false">L579*O579</f>
        <v>1409.508</v>
      </c>
      <c r="Q579" s="50" t="n">
        <f aca="false">INDEX(Productos!$E$2:$E$13,MATCH($H579,Productos!$A$2:$A$13,0))*INDEX(Parametros!$B$26:$B$43,MATCH($C579,Parametros!$A$26:$A$43,0))</f>
        <v>29.469</v>
      </c>
      <c r="R579" s="21" t="n">
        <f aca="false">L579*Q579</f>
        <v>913.539</v>
      </c>
      <c r="S579" s="18" t="n">
        <f aca="false">L579*INDEX(Parametros!$B$20:$B$22,MATCH($E579,Parametros!$A$20:$A$22,0))</f>
        <v>74.4</v>
      </c>
      <c r="T579" s="18" t="n">
        <f aca="false">P579*INDEX(Parametros!$B$13:$B$16,MATCH($F579,Parametros!$A$13:$A$16,0))</f>
        <v>56.38032</v>
      </c>
      <c r="U579" s="21" t="n">
        <f aca="false">P579-R579-S579-T579</f>
        <v>365.18868</v>
      </c>
      <c r="V579" s="19" t="n">
        <f aca="false">IFERROR(U579/P579,0)</f>
        <v>0.259089469517023</v>
      </c>
      <c r="W579" s="48" t="n">
        <f aca="false">B579+INDEX(Parametros!$C$13:$C$16,MATCH($F579,Parametros!$A$13:$A$16,0))</f>
        <v>45920</v>
      </c>
      <c r="X579" s="31" t="s">
        <v>67</v>
      </c>
      <c r="Y579" s="53" t="n">
        <f aca="false">IF(COUNTIF($A$2:$A579,A579)=1,1,0)</f>
        <v>1</v>
      </c>
    </row>
    <row r="580" customFormat="false" ht="15" hidden="false" customHeight="false" outlineLevel="0" collapsed="false">
      <c r="A580" s="31" t="s">
        <v>549</v>
      </c>
      <c r="B580" s="36" t="n">
        <v>45845</v>
      </c>
      <c r="C580" s="49" t="n">
        <f aca="false">DATE(YEAR(B580),MONTH(B580),1)</f>
        <v>45839</v>
      </c>
      <c r="D580" s="31" t="s">
        <v>193</v>
      </c>
      <c r="E580" s="31" t="s">
        <v>41</v>
      </c>
      <c r="F580" s="31" t="s">
        <v>45</v>
      </c>
      <c r="G580" s="31" t="s">
        <v>62</v>
      </c>
      <c r="H580" s="31" t="s">
        <v>177</v>
      </c>
      <c r="I580" s="32" t="str">
        <f aca="false">INDEX(Productos!$B$2:$B$13,MATCH($H580,Productos!$A$2:$A$13,0))</f>
        <v>Tirafondo madera 6x100 cabeza plana Torx</v>
      </c>
      <c r="J580" s="32" t="str">
        <f aca="false">INDEX(Productos!$C$2:$C$13,MATCH($H580,Productos!$A$2:$A$13,0))</f>
        <v>Madera</v>
      </c>
      <c r="K580" s="31" t="s">
        <v>246</v>
      </c>
      <c r="L580" s="46" t="n">
        <v>106</v>
      </c>
      <c r="M580" s="50" t="n">
        <f aca="false">INDEX(Productos!$F$2:$F$13,MATCH($H580,Productos!$A$2:$A$13,0))</f>
        <v>34</v>
      </c>
      <c r="N580" s="51" t="n">
        <v>0.219</v>
      </c>
      <c r="O580" s="52" t="n">
        <f aca="false">M580*(1-N580)</f>
        <v>26.554</v>
      </c>
      <c r="P580" s="21" t="n">
        <f aca="false">L580*O580</f>
        <v>2814.724</v>
      </c>
      <c r="Q580" s="50" t="n">
        <f aca="false">INDEX(Productos!$E$2:$E$13,MATCH($H580,Productos!$A$2:$A$13,0))*INDEX(Parametros!$B$26:$B$43,MATCH($C580,Parametros!$A$26:$A$43,0))</f>
        <v>18.4052</v>
      </c>
      <c r="R580" s="21" t="n">
        <f aca="false">L580*Q580</f>
        <v>1950.9512</v>
      </c>
      <c r="S580" s="18" t="n">
        <f aca="false">L580*INDEX(Parametros!$B$20:$B$22,MATCH($E580,Parametros!$A$20:$A$22,0))</f>
        <v>90.1</v>
      </c>
      <c r="T580" s="18" t="n">
        <f aca="false">P580*INDEX(Parametros!$B$13:$B$16,MATCH($F580,Parametros!$A$13:$A$16,0))</f>
        <v>84.44172</v>
      </c>
      <c r="U580" s="21" t="n">
        <f aca="false">P580-R580-S580-T580</f>
        <v>689.23108</v>
      </c>
      <c r="V580" s="19" t="n">
        <f aca="false">IFERROR(U580/P580,0)</f>
        <v>0.244866310160428</v>
      </c>
      <c r="W580" s="48" t="n">
        <f aca="false">B580+INDEX(Parametros!$C$13:$C$16,MATCH($F580,Parametros!$A$13:$A$16,0))</f>
        <v>45905</v>
      </c>
      <c r="X580" s="31" t="s">
        <v>67</v>
      </c>
      <c r="Y580" s="53" t="n">
        <f aca="false">IF(COUNTIF($A$2:$A580,A580)=1,1,0)</f>
        <v>1</v>
      </c>
    </row>
    <row r="581" customFormat="false" ht="15" hidden="false" customHeight="false" outlineLevel="0" collapsed="false">
      <c r="A581" s="31" t="s">
        <v>550</v>
      </c>
      <c r="B581" s="36" t="n">
        <v>45845</v>
      </c>
      <c r="C581" s="49" t="n">
        <f aca="false">DATE(YEAR(B581),MONTH(B581),1)</f>
        <v>45839</v>
      </c>
      <c r="D581" s="31" t="s">
        <v>199</v>
      </c>
      <c r="E581" s="31" t="s">
        <v>41</v>
      </c>
      <c r="F581" s="31" t="s">
        <v>45</v>
      </c>
      <c r="G581" s="31" t="s">
        <v>58</v>
      </c>
      <c r="H581" s="31" t="s">
        <v>165</v>
      </c>
      <c r="I581" s="32" t="str">
        <f aca="false">INDEX(Productos!$B$2:$B$13,MATCH($H581,Productos!$A$2:$A$13,0))</f>
        <v>Tornillo DIN 933 M8x40 rosca completa zincado</v>
      </c>
      <c r="J581" s="32" t="str">
        <f aca="false">INDEX(Productos!$C$2:$C$13,MATCH($H581,Productos!$A$2:$A$13,0))</f>
        <v>Métrica</v>
      </c>
      <c r="K581" s="31" t="s">
        <v>246</v>
      </c>
      <c r="L581" s="46" t="n">
        <v>68</v>
      </c>
      <c r="M581" s="50" t="n">
        <f aca="false">INDEX(Productos!$F$2:$F$13,MATCH($H581,Productos!$A$2:$A$13,0))</f>
        <v>37.5</v>
      </c>
      <c r="N581" s="51" t="n">
        <v>0.179</v>
      </c>
      <c r="O581" s="52" t="n">
        <f aca="false">M581*(1-N581)</f>
        <v>30.7875</v>
      </c>
      <c r="P581" s="21" t="n">
        <f aca="false">L581*O581</f>
        <v>2093.55</v>
      </c>
      <c r="Q581" s="50" t="n">
        <f aca="false">INDEX(Productos!$E$2:$E$13,MATCH($H581,Productos!$A$2:$A$13,0))*INDEX(Parametros!$B$26:$B$43,MATCH($C581,Parametros!$A$26:$A$43,0))</f>
        <v>20.0596</v>
      </c>
      <c r="R581" s="21" t="n">
        <f aca="false">L581*Q581</f>
        <v>1364.0528</v>
      </c>
      <c r="S581" s="18" t="n">
        <f aca="false">L581*INDEX(Parametros!$B$20:$B$22,MATCH($E581,Parametros!$A$20:$A$22,0))</f>
        <v>57.8</v>
      </c>
      <c r="T581" s="18" t="n">
        <f aca="false">P581*INDEX(Parametros!$B$13:$B$16,MATCH($F581,Parametros!$A$13:$A$16,0))</f>
        <v>62.8065</v>
      </c>
      <c r="U581" s="21" t="n">
        <f aca="false">P581-R581-S581-T581</f>
        <v>608.8907</v>
      </c>
      <c r="V581" s="19" t="n">
        <f aca="false">IFERROR(U581/P581,0)</f>
        <v>0.290841250507511</v>
      </c>
      <c r="W581" s="48" t="n">
        <f aca="false">B581+INDEX(Parametros!$C$13:$C$16,MATCH($F581,Parametros!$A$13:$A$16,0))</f>
        <v>45905</v>
      </c>
      <c r="X581" s="31" t="s">
        <v>67</v>
      </c>
      <c r="Y581" s="53" t="n">
        <f aca="false">IF(COUNTIF($A$2:$A581,A581)=1,1,0)</f>
        <v>1</v>
      </c>
    </row>
    <row r="582" customFormat="false" ht="15" hidden="false" customHeight="false" outlineLevel="0" collapsed="false">
      <c r="A582" s="31" t="s">
        <v>550</v>
      </c>
      <c r="B582" s="36" t="n">
        <v>45845</v>
      </c>
      <c r="C582" s="49" t="n">
        <f aca="false">DATE(YEAR(B582),MONTH(B582),1)</f>
        <v>45839</v>
      </c>
      <c r="D582" s="31" t="s">
        <v>199</v>
      </c>
      <c r="E582" s="31" t="s">
        <v>41</v>
      </c>
      <c r="F582" s="31" t="s">
        <v>45</v>
      </c>
      <c r="G582" s="31" t="s">
        <v>58</v>
      </c>
      <c r="H582" s="31" t="s">
        <v>167</v>
      </c>
      <c r="I582" s="32" t="str">
        <f aca="false">INDEX(Productos!$B$2:$B$13,MATCH($H582,Productos!$A$2:$A$13,0))</f>
        <v>Tornillo DIN 912 M6x25 Allen zincado</v>
      </c>
      <c r="J582" s="32" t="str">
        <f aca="false">INDEX(Productos!$C$2:$C$13,MATCH($H582,Productos!$A$2:$A$13,0))</f>
        <v>Métrica</v>
      </c>
      <c r="K582" s="31" t="s">
        <v>246</v>
      </c>
      <c r="L582" s="46" t="n">
        <v>290</v>
      </c>
      <c r="M582" s="50" t="n">
        <f aca="false">INDEX(Productos!$F$2:$F$13,MATCH($H582,Productos!$A$2:$A$13,0))</f>
        <v>42</v>
      </c>
      <c r="N582" s="51" t="n">
        <v>0.201</v>
      </c>
      <c r="O582" s="52" t="n">
        <f aca="false">M582*(1-N582)</f>
        <v>33.558</v>
      </c>
      <c r="P582" s="21" t="n">
        <f aca="false">L582*O582</f>
        <v>9731.82</v>
      </c>
      <c r="Q582" s="50" t="n">
        <f aca="false">INDEX(Productos!$E$2:$E$13,MATCH($H582,Productos!$A$2:$A$13,0))*INDEX(Parametros!$B$26:$B$43,MATCH($C582,Parametros!$A$26:$A$43,0))</f>
        <v>22.5412</v>
      </c>
      <c r="R582" s="21" t="n">
        <f aca="false">L582*Q582</f>
        <v>6536.948</v>
      </c>
      <c r="S582" s="18" t="n">
        <f aca="false">L582*INDEX(Parametros!$B$20:$B$22,MATCH($E582,Parametros!$A$20:$A$22,0))</f>
        <v>246.5</v>
      </c>
      <c r="T582" s="18" t="n">
        <f aca="false">P582*INDEX(Parametros!$B$13:$B$16,MATCH($F582,Parametros!$A$13:$A$16,0))</f>
        <v>291.9546</v>
      </c>
      <c r="U582" s="21" t="n">
        <f aca="false">P582-R582-S582-T582</f>
        <v>2656.4174</v>
      </c>
      <c r="V582" s="19" t="n">
        <f aca="false">IFERROR(U582/P582,0)</f>
        <v>0.272962035878181</v>
      </c>
      <c r="W582" s="48" t="n">
        <f aca="false">B582+INDEX(Parametros!$C$13:$C$16,MATCH($F582,Parametros!$A$13:$A$16,0))</f>
        <v>45905</v>
      </c>
      <c r="X582" s="31" t="s">
        <v>67</v>
      </c>
      <c r="Y582" s="53" t="n">
        <f aca="false">IF(COUNTIF($A$2:$A582,A582)=1,1,0)</f>
        <v>0</v>
      </c>
    </row>
    <row r="583" customFormat="false" ht="15" hidden="false" customHeight="false" outlineLevel="0" collapsed="false">
      <c r="A583" s="31" t="s">
        <v>550</v>
      </c>
      <c r="B583" s="36" t="n">
        <v>45845</v>
      </c>
      <c r="C583" s="49" t="n">
        <f aca="false">DATE(YEAR(B583),MONTH(B583),1)</f>
        <v>45839</v>
      </c>
      <c r="D583" s="31" t="s">
        <v>199</v>
      </c>
      <c r="E583" s="31" t="s">
        <v>41</v>
      </c>
      <c r="F583" s="31" t="s">
        <v>45</v>
      </c>
      <c r="G583" s="31" t="s">
        <v>58</v>
      </c>
      <c r="H583" s="31" t="s">
        <v>181</v>
      </c>
      <c r="I583" s="32" t="str">
        <f aca="false">INDEX(Productos!$B$2:$B$13,MATCH($H583,Productos!$A$2:$A$13,0))</f>
        <v>Autotaladrante 5,5x55 punta broca</v>
      </c>
      <c r="J583" s="32" t="str">
        <f aca="false">INDEX(Productos!$C$2:$C$13,MATCH($H583,Productos!$A$2:$A$13,0))</f>
        <v>Autotaladrante</v>
      </c>
      <c r="K583" s="31" t="s">
        <v>246</v>
      </c>
      <c r="L583" s="46" t="n">
        <v>24</v>
      </c>
      <c r="M583" s="50" t="n">
        <f aca="false">INDEX(Productos!$F$2:$F$13,MATCH($H583,Productos!$A$2:$A$13,0))</f>
        <v>39</v>
      </c>
      <c r="N583" s="51" t="n">
        <v>0.204</v>
      </c>
      <c r="O583" s="52" t="n">
        <f aca="false">M583*(1-N583)</f>
        <v>31.044</v>
      </c>
      <c r="P583" s="21" t="n">
        <f aca="false">L583*O583</f>
        <v>745.056</v>
      </c>
      <c r="Q583" s="50" t="n">
        <f aca="false">INDEX(Productos!$E$2:$E$13,MATCH($H583,Productos!$A$2:$A$13,0))*INDEX(Parametros!$B$26:$B$43,MATCH($C583,Parametros!$A$26:$A$43,0))</f>
        <v>20.9902</v>
      </c>
      <c r="R583" s="21" t="n">
        <f aca="false">L583*Q583</f>
        <v>503.7648</v>
      </c>
      <c r="S583" s="18" t="n">
        <f aca="false">L583*INDEX(Parametros!$B$20:$B$22,MATCH($E583,Parametros!$A$20:$A$22,0))</f>
        <v>20.4</v>
      </c>
      <c r="T583" s="18" t="n">
        <f aca="false">P583*INDEX(Parametros!$B$13:$B$16,MATCH($F583,Parametros!$A$13:$A$16,0))</f>
        <v>22.35168</v>
      </c>
      <c r="U583" s="21" t="n">
        <f aca="false">P583-R583-S583-T583</f>
        <v>198.53952</v>
      </c>
      <c r="V583" s="19" t="n">
        <f aca="false">IFERROR(U583/P583,0)</f>
        <v>0.266475969591547</v>
      </c>
      <c r="W583" s="48" t="n">
        <f aca="false">B583+INDEX(Parametros!$C$13:$C$16,MATCH($F583,Parametros!$A$13:$A$16,0))</f>
        <v>45905</v>
      </c>
      <c r="X583" s="31" t="s">
        <v>67</v>
      </c>
      <c r="Y583" s="53" t="n">
        <f aca="false">IF(COUNTIF($A$2:$A583,A583)=1,1,0)</f>
        <v>0</v>
      </c>
    </row>
    <row r="584" customFormat="false" ht="15" hidden="false" customHeight="false" outlineLevel="0" collapsed="false">
      <c r="A584" s="31" t="s">
        <v>551</v>
      </c>
      <c r="B584" s="36" t="n">
        <v>45848</v>
      </c>
      <c r="C584" s="49" t="n">
        <f aca="false">DATE(YEAR(B584),MONTH(B584),1)</f>
        <v>45839</v>
      </c>
      <c r="D584" s="31" t="s">
        <v>205</v>
      </c>
      <c r="E584" s="31" t="s">
        <v>41</v>
      </c>
      <c r="F584" s="31" t="s">
        <v>45</v>
      </c>
      <c r="G584" s="31" t="s">
        <v>62</v>
      </c>
      <c r="H584" s="31" t="s">
        <v>167</v>
      </c>
      <c r="I584" s="32" t="str">
        <f aca="false">INDEX(Productos!$B$2:$B$13,MATCH($H584,Productos!$A$2:$A$13,0))</f>
        <v>Tornillo DIN 912 M6x25 Allen zincado</v>
      </c>
      <c r="J584" s="32" t="str">
        <f aca="false">INDEX(Productos!$C$2:$C$13,MATCH($H584,Productos!$A$2:$A$13,0))</f>
        <v>Métrica</v>
      </c>
      <c r="K584" s="31" t="s">
        <v>246</v>
      </c>
      <c r="L584" s="46" t="n">
        <v>137</v>
      </c>
      <c r="M584" s="50" t="n">
        <f aca="false">INDEX(Productos!$F$2:$F$13,MATCH($H584,Productos!$A$2:$A$13,0))</f>
        <v>42</v>
      </c>
      <c r="N584" s="51" t="n">
        <v>0.184</v>
      </c>
      <c r="O584" s="52" t="n">
        <f aca="false">M584*(1-N584)</f>
        <v>34.272</v>
      </c>
      <c r="P584" s="21" t="n">
        <f aca="false">L584*O584</f>
        <v>4695.264</v>
      </c>
      <c r="Q584" s="50" t="n">
        <f aca="false">INDEX(Productos!$E$2:$E$13,MATCH($H584,Productos!$A$2:$A$13,0))*INDEX(Parametros!$B$26:$B$43,MATCH($C584,Parametros!$A$26:$A$43,0))</f>
        <v>22.5412</v>
      </c>
      <c r="R584" s="21" t="n">
        <f aca="false">L584*Q584</f>
        <v>3088.1444</v>
      </c>
      <c r="S584" s="18" t="n">
        <f aca="false">L584*INDEX(Parametros!$B$20:$B$22,MATCH($E584,Parametros!$A$20:$A$22,0))</f>
        <v>116.45</v>
      </c>
      <c r="T584" s="18" t="n">
        <f aca="false">P584*INDEX(Parametros!$B$13:$B$16,MATCH($F584,Parametros!$A$13:$A$16,0))</f>
        <v>140.85792</v>
      </c>
      <c r="U584" s="21" t="n">
        <f aca="false">P584-R584-S584-T584</f>
        <v>1349.81168</v>
      </c>
      <c r="V584" s="19" t="n">
        <f aca="false">IFERROR(U584/P584,0)</f>
        <v>0.287483660130719</v>
      </c>
      <c r="W584" s="48" t="n">
        <f aca="false">B584+INDEX(Parametros!$C$13:$C$16,MATCH($F584,Parametros!$A$13:$A$16,0))</f>
        <v>45908</v>
      </c>
      <c r="X584" s="31" t="s">
        <v>67</v>
      </c>
      <c r="Y584" s="53" t="n">
        <f aca="false">IF(COUNTIF($A$2:$A584,A584)=1,1,0)</f>
        <v>1</v>
      </c>
    </row>
    <row r="585" customFormat="false" ht="15" hidden="false" customHeight="false" outlineLevel="0" collapsed="false">
      <c r="A585" s="31" t="s">
        <v>552</v>
      </c>
      <c r="B585" s="36" t="n">
        <v>45848</v>
      </c>
      <c r="C585" s="49" t="n">
        <f aca="false">DATE(YEAR(B585),MONTH(B585),1)</f>
        <v>45839</v>
      </c>
      <c r="D585" s="31" t="s">
        <v>200</v>
      </c>
      <c r="E585" s="31" t="s">
        <v>41</v>
      </c>
      <c r="F585" s="31" t="s">
        <v>45</v>
      </c>
      <c r="G585" s="31" t="s">
        <v>62</v>
      </c>
      <c r="H585" s="31" t="s">
        <v>173</v>
      </c>
      <c r="I585" s="32" t="str">
        <f aca="false">INDEX(Productos!$B$2:$B$13,MATCH($H585,Productos!$A$2:$A$13,0))</f>
        <v>Tornillo DIN 933 M12x70 clase 8.8</v>
      </c>
      <c r="J585" s="32" t="str">
        <f aca="false">INDEX(Productos!$C$2:$C$13,MATCH($H585,Productos!$A$2:$A$13,0))</f>
        <v>Métrica</v>
      </c>
      <c r="K585" s="31" t="s">
        <v>246</v>
      </c>
      <c r="L585" s="46" t="n">
        <v>147</v>
      </c>
      <c r="M585" s="50" t="n">
        <f aca="false">INDEX(Productos!$F$2:$F$13,MATCH($H585,Productos!$A$2:$A$13,0))</f>
        <v>64</v>
      </c>
      <c r="N585" s="51" t="n">
        <v>0.148</v>
      </c>
      <c r="O585" s="52" t="n">
        <f aca="false">M585*(1-N585)</f>
        <v>54.528</v>
      </c>
      <c r="P585" s="21" t="n">
        <f aca="false">L585*O585</f>
        <v>8015.616</v>
      </c>
      <c r="Q585" s="50" t="n">
        <f aca="false">INDEX(Productos!$E$2:$E$13,MATCH($H585,Productos!$A$2:$A$13,0))*INDEX(Parametros!$B$26:$B$43,MATCH($C585,Parametros!$A$26:$A$43,0))</f>
        <v>34.639</v>
      </c>
      <c r="R585" s="21" t="n">
        <f aca="false">L585*Q585</f>
        <v>5091.933</v>
      </c>
      <c r="S585" s="18" t="n">
        <f aca="false">L585*INDEX(Parametros!$B$20:$B$22,MATCH($E585,Parametros!$A$20:$A$22,0))</f>
        <v>124.95</v>
      </c>
      <c r="T585" s="18" t="n">
        <f aca="false">P585*INDEX(Parametros!$B$13:$B$16,MATCH($F585,Parametros!$A$13:$A$16,0))</f>
        <v>240.46848</v>
      </c>
      <c r="U585" s="21" t="n">
        <f aca="false">P585-R585-S585-T585</f>
        <v>2558.26452</v>
      </c>
      <c r="V585" s="19" t="n">
        <f aca="false">IFERROR(U585/P585,0)</f>
        <v>0.319160064553991</v>
      </c>
      <c r="W585" s="48" t="n">
        <f aca="false">B585+INDEX(Parametros!$C$13:$C$16,MATCH($F585,Parametros!$A$13:$A$16,0))</f>
        <v>45908</v>
      </c>
      <c r="X585" s="31" t="s">
        <v>67</v>
      </c>
      <c r="Y585" s="53" t="n">
        <f aca="false">IF(COUNTIF($A$2:$A585,A585)=1,1,0)</f>
        <v>1</v>
      </c>
    </row>
    <row r="586" customFormat="false" ht="15" hidden="false" customHeight="false" outlineLevel="0" collapsed="false">
      <c r="A586" s="31" t="s">
        <v>553</v>
      </c>
      <c r="B586" s="36" t="n">
        <v>45848</v>
      </c>
      <c r="C586" s="49" t="n">
        <f aca="false">DATE(YEAR(B586),MONTH(B586),1)</f>
        <v>45839</v>
      </c>
      <c r="D586" s="31" t="s">
        <v>197</v>
      </c>
      <c r="E586" s="31" t="s">
        <v>41</v>
      </c>
      <c r="F586" s="31" t="s">
        <v>46</v>
      </c>
      <c r="G586" s="31" t="s">
        <v>58</v>
      </c>
      <c r="H586" s="31" t="s">
        <v>169</v>
      </c>
      <c r="I586" s="32" t="str">
        <f aca="false">INDEX(Productos!$B$2:$B$13,MATCH($H586,Productos!$A$2:$A$13,0))</f>
        <v>Tornillo DIN 912 M10x60 Allen inox A2</v>
      </c>
      <c r="J586" s="32" t="str">
        <f aca="false">INDEX(Productos!$C$2:$C$13,MATCH($H586,Productos!$A$2:$A$13,0))</f>
        <v>Inoxidable</v>
      </c>
      <c r="K586" s="31" t="s">
        <v>246</v>
      </c>
      <c r="L586" s="46" t="n">
        <v>110</v>
      </c>
      <c r="M586" s="50" t="n">
        <f aca="false">INDEX(Productos!$F$2:$F$13,MATCH($H586,Productos!$A$2:$A$13,0))</f>
        <v>79</v>
      </c>
      <c r="N586" s="51" t="n">
        <v>0.151</v>
      </c>
      <c r="O586" s="52" t="n">
        <f aca="false">M586*(1-N586)</f>
        <v>67.071</v>
      </c>
      <c r="P586" s="21" t="n">
        <f aca="false">L586*O586</f>
        <v>7377.81</v>
      </c>
      <c r="Q586" s="50" t="n">
        <f aca="false">INDEX(Productos!$E$2:$E$13,MATCH($H586,Productos!$A$2:$A$13,0))*INDEX(Parametros!$B$26:$B$43,MATCH($C586,Parametros!$A$26:$A$43,0))</f>
        <v>43.428</v>
      </c>
      <c r="R586" s="21" t="n">
        <f aca="false">L586*Q586</f>
        <v>4777.08</v>
      </c>
      <c r="S586" s="18" t="n">
        <f aca="false">L586*INDEX(Parametros!$B$20:$B$22,MATCH($E586,Parametros!$A$20:$A$22,0))</f>
        <v>93.5</v>
      </c>
      <c r="T586" s="18" t="n">
        <f aca="false">P586*INDEX(Parametros!$B$13:$B$16,MATCH($F586,Parametros!$A$13:$A$16,0))</f>
        <v>295.1124</v>
      </c>
      <c r="U586" s="21" t="n">
        <f aca="false">P586-R586-S586-T586</f>
        <v>2212.1176</v>
      </c>
      <c r="V586" s="19" t="n">
        <f aca="false">IFERROR(U586/P586,0)</f>
        <v>0.299833907351911</v>
      </c>
      <c r="W586" s="48" t="n">
        <f aca="false">B586+INDEX(Parametros!$C$13:$C$16,MATCH($F586,Parametros!$A$13:$A$16,0))</f>
        <v>45923</v>
      </c>
      <c r="X586" s="31" t="s">
        <v>67</v>
      </c>
      <c r="Y586" s="53" t="n">
        <f aca="false">IF(COUNTIF($A$2:$A586,A586)=1,1,0)</f>
        <v>1</v>
      </c>
    </row>
    <row r="587" customFormat="false" ht="15" hidden="false" customHeight="false" outlineLevel="0" collapsed="false">
      <c r="A587" s="31" t="s">
        <v>554</v>
      </c>
      <c r="B587" s="36" t="n">
        <v>45849</v>
      </c>
      <c r="C587" s="49" t="n">
        <f aca="false">DATE(YEAR(B587),MONTH(B587),1)</f>
        <v>45839</v>
      </c>
      <c r="D587" s="31" t="s">
        <v>195</v>
      </c>
      <c r="E587" s="31" t="s">
        <v>41</v>
      </c>
      <c r="F587" s="31" t="s">
        <v>45</v>
      </c>
      <c r="G587" s="31" t="s">
        <v>58</v>
      </c>
      <c r="H587" s="31" t="s">
        <v>173</v>
      </c>
      <c r="I587" s="32" t="str">
        <f aca="false">INDEX(Productos!$B$2:$B$13,MATCH($H587,Productos!$A$2:$A$13,0))</f>
        <v>Tornillo DIN 933 M12x70 clase 8.8</v>
      </c>
      <c r="J587" s="32" t="str">
        <f aca="false">INDEX(Productos!$C$2:$C$13,MATCH($H587,Productos!$A$2:$A$13,0))</f>
        <v>Métrica</v>
      </c>
      <c r="K587" s="31" t="s">
        <v>246</v>
      </c>
      <c r="L587" s="46" t="n">
        <v>184</v>
      </c>
      <c r="M587" s="50" t="n">
        <f aca="false">INDEX(Productos!$F$2:$F$13,MATCH($H587,Productos!$A$2:$A$13,0))</f>
        <v>64</v>
      </c>
      <c r="N587" s="51" t="n">
        <v>0.189</v>
      </c>
      <c r="O587" s="52" t="n">
        <f aca="false">M587*(1-N587)</f>
        <v>51.904</v>
      </c>
      <c r="P587" s="21" t="n">
        <f aca="false">L587*O587</f>
        <v>9550.336</v>
      </c>
      <c r="Q587" s="50" t="n">
        <f aca="false">INDEX(Productos!$E$2:$E$13,MATCH($H587,Productos!$A$2:$A$13,0))*INDEX(Parametros!$B$26:$B$43,MATCH($C587,Parametros!$A$26:$A$43,0))</f>
        <v>34.639</v>
      </c>
      <c r="R587" s="21" t="n">
        <f aca="false">L587*Q587</f>
        <v>6373.576</v>
      </c>
      <c r="S587" s="18" t="n">
        <f aca="false">L587*INDEX(Parametros!$B$20:$B$22,MATCH($E587,Parametros!$A$20:$A$22,0))</f>
        <v>156.4</v>
      </c>
      <c r="T587" s="18" t="n">
        <f aca="false">P587*INDEX(Parametros!$B$13:$B$16,MATCH($F587,Parametros!$A$13:$A$16,0))</f>
        <v>286.51008</v>
      </c>
      <c r="U587" s="21" t="n">
        <f aca="false">P587-R587-S587-T587</f>
        <v>2733.84992</v>
      </c>
      <c r="V587" s="19" t="n">
        <f aca="false">IFERROR(U587/P587,0)</f>
        <v>0.286256935881628</v>
      </c>
      <c r="W587" s="48" t="n">
        <f aca="false">B587+INDEX(Parametros!$C$13:$C$16,MATCH($F587,Parametros!$A$13:$A$16,0))</f>
        <v>45909</v>
      </c>
      <c r="X587" s="31" t="s">
        <v>67</v>
      </c>
      <c r="Y587" s="53" t="n">
        <f aca="false">IF(COUNTIF($A$2:$A587,A587)=1,1,0)</f>
        <v>1</v>
      </c>
    </row>
    <row r="588" customFormat="false" ht="15" hidden="false" customHeight="false" outlineLevel="0" collapsed="false">
      <c r="A588" s="31" t="s">
        <v>555</v>
      </c>
      <c r="B588" s="36" t="n">
        <v>45852</v>
      </c>
      <c r="C588" s="49" t="n">
        <f aca="false">DATE(YEAR(B588),MONTH(B588),1)</f>
        <v>45839</v>
      </c>
      <c r="D588" s="31" t="s">
        <v>207</v>
      </c>
      <c r="E588" s="31" t="s">
        <v>41</v>
      </c>
      <c r="F588" s="31" t="s">
        <v>47</v>
      </c>
      <c r="G588" s="31" t="s">
        <v>62</v>
      </c>
      <c r="H588" s="31" t="s">
        <v>171</v>
      </c>
      <c r="I588" s="32" t="str">
        <f aca="false">INDEX(Productos!$B$2:$B$13,MATCH($H588,Productos!$A$2:$A$13,0))</f>
        <v>Tornillo DIN 7991 M8x30 avellanado inox A2</v>
      </c>
      <c r="J588" s="32" t="str">
        <f aca="false">INDEX(Productos!$C$2:$C$13,MATCH($H588,Productos!$A$2:$A$13,0))</f>
        <v>Inoxidable</v>
      </c>
      <c r="K588" s="31" t="s">
        <v>246</v>
      </c>
      <c r="L588" s="46" t="n">
        <v>13</v>
      </c>
      <c r="M588" s="50" t="n">
        <f aca="false">INDEX(Productos!$F$2:$F$13,MATCH($H588,Productos!$A$2:$A$13,0))</f>
        <v>88</v>
      </c>
      <c r="N588" s="51" t="n">
        <v>0.089</v>
      </c>
      <c r="O588" s="52" t="n">
        <f aca="false">M588*(1-N588)</f>
        <v>80.168</v>
      </c>
      <c r="P588" s="21" t="n">
        <f aca="false">L588*O588</f>
        <v>1042.184</v>
      </c>
      <c r="Q588" s="50" t="n">
        <f aca="false">INDEX(Productos!$E$2:$E$13,MATCH($H588,Productos!$A$2:$A$13,0))*INDEX(Parametros!$B$26:$B$43,MATCH($C588,Parametros!$A$26:$A$43,0))</f>
        <v>48.081</v>
      </c>
      <c r="R588" s="21" t="n">
        <f aca="false">L588*Q588</f>
        <v>625.053</v>
      </c>
      <c r="S588" s="18" t="n">
        <f aca="false">L588*INDEX(Parametros!$B$20:$B$22,MATCH($E588,Parametros!$A$20:$A$22,0))</f>
        <v>11.05</v>
      </c>
      <c r="T588" s="18" t="n">
        <f aca="false">P588*INDEX(Parametros!$B$13:$B$16,MATCH($F588,Parametros!$A$13:$A$16,0))</f>
        <v>36.47644</v>
      </c>
      <c r="U588" s="21" t="n">
        <f aca="false">P588-R588-S588-T588</f>
        <v>369.60456</v>
      </c>
      <c r="V588" s="19" t="n">
        <f aca="false">IFERROR(U588/P588,0)</f>
        <v>0.35464424708113</v>
      </c>
      <c r="W588" s="48" t="n">
        <f aca="false">B588+INDEX(Parametros!$C$13:$C$16,MATCH($F588,Parametros!$A$13:$A$16,0))</f>
        <v>45897</v>
      </c>
      <c r="X588" s="31" t="s">
        <v>67</v>
      </c>
      <c r="Y588" s="53" t="n">
        <f aca="false">IF(COUNTIF($A$2:$A588,A588)=1,1,0)</f>
        <v>1</v>
      </c>
    </row>
    <row r="589" customFormat="false" ht="15" hidden="false" customHeight="false" outlineLevel="0" collapsed="false">
      <c r="A589" s="31" t="s">
        <v>555</v>
      </c>
      <c r="B589" s="36" t="n">
        <v>45852</v>
      </c>
      <c r="C589" s="49" t="n">
        <f aca="false">DATE(YEAR(B589),MONTH(B589),1)</f>
        <v>45839</v>
      </c>
      <c r="D589" s="31" t="s">
        <v>207</v>
      </c>
      <c r="E589" s="31" t="s">
        <v>41</v>
      </c>
      <c r="F589" s="31" t="s">
        <v>47</v>
      </c>
      <c r="G589" s="31" t="s">
        <v>62</v>
      </c>
      <c r="H589" s="31" t="s">
        <v>181</v>
      </c>
      <c r="I589" s="32" t="str">
        <f aca="false">INDEX(Productos!$B$2:$B$13,MATCH($H589,Productos!$A$2:$A$13,0))</f>
        <v>Autotaladrante 5,5x55 punta broca</v>
      </c>
      <c r="J589" s="32" t="str">
        <f aca="false">INDEX(Productos!$C$2:$C$13,MATCH($H589,Productos!$A$2:$A$13,0))</f>
        <v>Autotaladrante</v>
      </c>
      <c r="K589" s="31" t="s">
        <v>246</v>
      </c>
      <c r="L589" s="46" t="n">
        <v>51</v>
      </c>
      <c r="M589" s="50" t="n">
        <f aca="false">INDEX(Productos!$F$2:$F$13,MATCH($H589,Productos!$A$2:$A$13,0))</f>
        <v>39</v>
      </c>
      <c r="N589" s="51" t="n">
        <v>0.059</v>
      </c>
      <c r="O589" s="52" t="n">
        <f aca="false">M589*(1-N589)</f>
        <v>36.699</v>
      </c>
      <c r="P589" s="21" t="n">
        <f aca="false">L589*O589</f>
        <v>1871.649</v>
      </c>
      <c r="Q589" s="50" t="n">
        <f aca="false">INDEX(Productos!$E$2:$E$13,MATCH($H589,Productos!$A$2:$A$13,0))*INDEX(Parametros!$B$26:$B$43,MATCH($C589,Parametros!$A$26:$A$43,0))</f>
        <v>20.9902</v>
      </c>
      <c r="R589" s="21" t="n">
        <f aca="false">L589*Q589</f>
        <v>1070.5002</v>
      </c>
      <c r="S589" s="18" t="n">
        <f aca="false">L589*INDEX(Parametros!$B$20:$B$22,MATCH($E589,Parametros!$A$20:$A$22,0))</f>
        <v>43.35</v>
      </c>
      <c r="T589" s="18" t="n">
        <f aca="false">P589*INDEX(Parametros!$B$13:$B$16,MATCH($F589,Parametros!$A$13:$A$16,0))</f>
        <v>65.507715</v>
      </c>
      <c r="U589" s="21" t="n">
        <f aca="false">P589-R589-S589-T589</f>
        <v>692.291085</v>
      </c>
      <c r="V589" s="19" t="n">
        <f aca="false">IFERROR(U589/P589,0)</f>
        <v>0.369882966838333</v>
      </c>
      <c r="W589" s="48" t="n">
        <f aca="false">B589+INDEX(Parametros!$C$13:$C$16,MATCH($F589,Parametros!$A$13:$A$16,0))</f>
        <v>45897</v>
      </c>
      <c r="X589" s="31" t="s">
        <v>67</v>
      </c>
      <c r="Y589" s="53" t="n">
        <f aca="false">IF(COUNTIF($A$2:$A589,A589)=1,1,0)</f>
        <v>0</v>
      </c>
    </row>
    <row r="590" customFormat="false" ht="15" hidden="false" customHeight="false" outlineLevel="0" collapsed="false">
      <c r="A590" s="31" t="s">
        <v>555</v>
      </c>
      <c r="B590" s="36" t="n">
        <v>45852</v>
      </c>
      <c r="C590" s="49" t="n">
        <f aca="false">DATE(YEAR(B590),MONTH(B590),1)</f>
        <v>45839</v>
      </c>
      <c r="D590" s="31" t="s">
        <v>207</v>
      </c>
      <c r="E590" s="31" t="s">
        <v>41</v>
      </c>
      <c r="F590" s="31" t="s">
        <v>47</v>
      </c>
      <c r="G590" s="31" t="s">
        <v>62</v>
      </c>
      <c r="H590" s="31" t="s">
        <v>173</v>
      </c>
      <c r="I590" s="32" t="str">
        <f aca="false">INDEX(Productos!$B$2:$B$13,MATCH($H590,Productos!$A$2:$A$13,0))</f>
        <v>Tornillo DIN 933 M12x70 clase 8.8</v>
      </c>
      <c r="J590" s="32" t="str">
        <f aca="false">INDEX(Productos!$C$2:$C$13,MATCH($H590,Productos!$A$2:$A$13,0))</f>
        <v>Métrica</v>
      </c>
      <c r="K590" s="31" t="s">
        <v>246</v>
      </c>
      <c r="L590" s="46" t="n">
        <v>62</v>
      </c>
      <c r="M590" s="50" t="n">
        <f aca="false">INDEX(Productos!$F$2:$F$13,MATCH($H590,Productos!$A$2:$A$13,0))</f>
        <v>64</v>
      </c>
      <c r="N590" s="51" t="n">
        <v>0.037</v>
      </c>
      <c r="O590" s="52" t="n">
        <f aca="false">M590*(1-N590)</f>
        <v>61.632</v>
      </c>
      <c r="P590" s="21" t="n">
        <f aca="false">L590*O590</f>
        <v>3821.184</v>
      </c>
      <c r="Q590" s="50" t="n">
        <f aca="false">INDEX(Productos!$E$2:$E$13,MATCH($H590,Productos!$A$2:$A$13,0))*INDEX(Parametros!$B$26:$B$43,MATCH($C590,Parametros!$A$26:$A$43,0))</f>
        <v>34.639</v>
      </c>
      <c r="R590" s="21" t="n">
        <f aca="false">L590*Q590</f>
        <v>2147.618</v>
      </c>
      <c r="S590" s="18" t="n">
        <f aca="false">L590*INDEX(Parametros!$B$20:$B$22,MATCH($E590,Parametros!$A$20:$A$22,0))</f>
        <v>52.7</v>
      </c>
      <c r="T590" s="18" t="n">
        <f aca="false">P590*INDEX(Parametros!$B$13:$B$16,MATCH($F590,Parametros!$A$13:$A$16,0))</f>
        <v>133.74144</v>
      </c>
      <c r="U590" s="21" t="n">
        <f aca="false">P590-R590-S590-T590</f>
        <v>1487.12456</v>
      </c>
      <c r="V590" s="19" t="n">
        <f aca="false">IFERROR(U590/P590,0)</f>
        <v>0.389178997923157</v>
      </c>
      <c r="W590" s="48" t="n">
        <f aca="false">B590+INDEX(Parametros!$C$13:$C$16,MATCH($F590,Parametros!$A$13:$A$16,0))</f>
        <v>45897</v>
      </c>
      <c r="X590" s="31" t="s">
        <v>67</v>
      </c>
      <c r="Y590" s="53" t="n">
        <f aca="false">IF(COUNTIF($A$2:$A590,A590)=1,1,0)</f>
        <v>0</v>
      </c>
    </row>
    <row r="591" customFormat="false" ht="15" hidden="false" customHeight="false" outlineLevel="0" collapsed="false">
      <c r="A591" s="31" t="s">
        <v>556</v>
      </c>
      <c r="B591" s="36" t="n">
        <v>45852</v>
      </c>
      <c r="C591" s="49" t="n">
        <f aca="false">DATE(YEAR(B591),MONTH(B591),1)</f>
        <v>45839</v>
      </c>
      <c r="D591" s="31" t="s">
        <v>192</v>
      </c>
      <c r="E591" s="31" t="s">
        <v>41</v>
      </c>
      <c r="F591" s="31" t="s">
        <v>45</v>
      </c>
      <c r="G591" s="31" t="s">
        <v>58</v>
      </c>
      <c r="H591" s="31" t="s">
        <v>181</v>
      </c>
      <c r="I591" s="32" t="str">
        <f aca="false">INDEX(Productos!$B$2:$B$13,MATCH($H591,Productos!$A$2:$A$13,0))</f>
        <v>Autotaladrante 5,5x55 punta broca</v>
      </c>
      <c r="J591" s="32" t="str">
        <f aca="false">INDEX(Productos!$C$2:$C$13,MATCH($H591,Productos!$A$2:$A$13,0))</f>
        <v>Autotaladrante</v>
      </c>
      <c r="K591" s="31" t="s">
        <v>246</v>
      </c>
      <c r="L591" s="46" t="n">
        <v>35</v>
      </c>
      <c r="M591" s="50" t="n">
        <f aca="false">INDEX(Productos!$F$2:$F$13,MATCH($H591,Productos!$A$2:$A$13,0))</f>
        <v>39</v>
      </c>
      <c r="N591" s="51" t="n">
        <v>0.189</v>
      </c>
      <c r="O591" s="52" t="n">
        <f aca="false">M591*(1-N591)</f>
        <v>31.629</v>
      </c>
      <c r="P591" s="21" t="n">
        <f aca="false">L591*O591</f>
        <v>1107.015</v>
      </c>
      <c r="Q591" s="50" t="n">
        <f aca="false">INDEX(Productos!$E$2:$E$13,MATCH($H591,Productos!$A$2:$A$13,0))*INDEX(Parametros!$B$26:$B$43,MATCH($C591,Parametros!$A$26:$A$43,0))</f>
        <v>20.9902</v>
      </c>
      <c r="R591" s="21" t="n">
        <f aca="false">L591*Q591</f>
        <v>734.657</v>
      </c>
      <c r="S591" s="18" t="n">
        <f aca="false">L591*INDEX(Parametros!$B$20:$B$22,MATCH($E591,Parametros!$A$20:$A$22,0))</f>
        <v>29.75</v>
      </c>
      <c r="T591" s="18" t="n">
        <f aca="false">P591*INDEX(Parametros!$B$13:$B$16,MATCH($F591,Parametros!$A$13:$A$16,0))</f>
        <v>33.21045</v>
      </c>
      <c r="U591" s="21" t="n">
        <f aca="false">P591-R591-S591-T591</f>
        <v>309.39755</v>
      </c>
      <c r="V591" s="19" t="n">
        <f aca="false">IFERROR(U591/P591,0)</f>
        <v>0.279488127983812</v>
      </c>
      <c r="W591" s="48" t="n">
        <f aca="false">B591+INDEX(Parametros!$C$13:$C$16,MATCH($F591,Parametros!$A$13:$A$16,0))</f>
        <v>45912</v>
      </c>
      <c r="X591" s="31" t="s">
        <v>69</v>
      </c>
      <c r="Y591" s="53" t="n">
        <f aca="false">IF(COUNTIF($A$2:$A591,A591)=1,1,0)</f>
        <v>1</v>
      </c>
    </row>
    <row r="592" customFormat="false" ht="15" hidden="false" customHeight="false" outlineLevel="0" collapsed="false">
      <c r="A592" s="31" t="s">
        <v>556</v>
      </c>
      <c r="B592" s="36" t="n">
        <v>45852</v>
      </c>
      <c r="C592" s="49" t="n">
        <f aca="false">DATE(YEAR(B592),MONTH(B592),1)</f>
        <v>45839</v>
      </c>
      <c r="D592" s="31" t="s">
        <v>192</v>
      </c>
      <c r="E592" s="31" t="s">
        <v>41</v>
      </c>
      <c r="F592" s="31" t="s">
        <v>45</v>
      </c>
      <c r="G592" s="31" t="s">
        <v>58</v>
      </c>
      <c r="H592" s="31" t="s">
        <v>167</v>
      </c>
      <c r="I592" s="32" t="str">
        <f aca="false">INDEX(Productos!$B$2:$B$13,MATCH($H592,Productos!$A$2:$A$13,0))</f>
        <v>Tornillo DIN 912 M6x25 Allen zincado</v>
      </c>
      <c r="J592" s="32" t="str">
        <f aca="false">INDEX(Productos!$C$2:$C$13,MATCH($H592,Productos!$A$2:$A$13,0))</f>
        <v>Métrica</v>
      </c>
      <c r="K592" s="31" t="s">
        <v>246</v>
      </c>
      <c r="L592" s="46" t="n">
        <v>110</v>
      </c>
      <c r="M592" s="50" t="n">
        <f aca="false">INDEX(Productos!$F$2:$F$13,MATCH($H592,Productos!$A$2:$A$13,0))</f>
        <v>42</v>
      </c>
      <c r="N592" s="51" t="n">
        <v>0.16</v>
      </c>
      <c r="O592" s="52" t="n">
        <f aca="false">M592*(1-N592)</f>
        <v>35.28</v>
      </c>
      <c r="P592" s="21" t="n">
        <f aca="false">L592*O592</f>
        <v>3880.8</v>
      </c>
      <c r="Q592" s="50" t="n">
        <f aca="false">INDEX(Productos!$E$2:$E$13,MATCH($H592,Productos!$A$2:$A$13,0))*INDEX(Parametros!$B$26:$B$43,MATCH($C592,Parametros!$A$26:$A$43,0))</f>
        <v>22.5412</v>
      </c>
      <c r="R592" s="21" t="n">
        <f aca="false">L592*Q592</f>
        <v>2479.532</v>
      </c>
      <c r="S592" s="18" t="n">
        <f aca="false">L592*INDEX(Parametros!$B$20:$B$22,MATCH($E592,Parametros!$A$20:$A$22,0))</f>
        <v>93.5</v>
      </c>
      <c r="T592" s="18" t="n">
        <f aca="false">P592*INDEX(Parametros!$B$13:$B$16,MATCH($F592,Parametros!$A$13:$A$16,0))</f>
        <v>116.424</v>
      </c>
      <c r="U592" s="21" t="n">
        <f aca="false">P592-R592-S592-T592</f>
        <v>1191.344</v>
      </c>
      <c r="V592" s="19" t="n">
        <f aca="false">IFERROR(U592/P592,0)</f>
        <v>0.306984126984127</v>
      </c>
      <c r="W592" s="48" t="n">
        <f aca="false">B592+INDEX(Parametros!$C$13:$C$16,MATCH($F592,Parametros!$A$13:$A$16,0))</f>
        <v>45912</v>
      </c>
      <c r="X592" s="31" t="s">
        <v>67</v>
      </c>
      <c r="Y592" s="53" t="n">
        <f aca="false">IF(COUNTIF($A$2:$A592,A592)=1,1,0)</f>
        <v>0</v>
      </c>
    </row>
    <row r="593" customFormat="false" ht="15" hidden="false" customHeight="false" outlineLevel="0" collapsed="false">
      <c r="A593" s="31" t="s">
        <v>556</v>
      </c>
      <c r="B593" s="36" t="n">
        <v>45852</v>
      </c>
      <c r="C593" s="49" t="n">
        <f aca="false">DATE(YEAR(B593),MONTH(B593),1)</f>
        <v>45839</v>
      </c>
      <c r="D593" s="31" t="s">
        <v>192</v>
      </c>
      <c r="E593" s="31" t="s">
        <v>41</v>
      </c>
      <c r="F593" s="31" t="s">
        <v>45</v>
      </c>
      <c r="G593" s="31" t="s">
        <v>58</v>
      </c>
      <c r="H593" s="31" t="s">
        <v>165</v>
      </c>
      <c r="I593" s="32" t="str">
        <f aca="false">INDEX(Productos!$B$2:$B$13,MATCH($H593,Productos!$A$2:$A$13,0))</f>
        <v>Tornillo DIN 933 M8x40 rosca completa zincado</v>
      </c>
      <c r="J593" s="32" t="str">
        <f aca="false">INDEX(Productos!$C$2:$C$13,MATCH($H593,Productos!$A$2:$A$13,0))</f>
        <v>Métrica</v>
      </c>
      <c r="K593" s="31" t="s">
        <v>246</v>
      </c>
      <c r="L593" s="46" t="n">
        <v>60</v>
      </c>
      <c r="M593" s="50" t="n">
        <f aca="false">INDEX(Productos!$F$2:$F$13,MATCH($H593,Productos!$A$2:$A$13,0))</f>
        <v>37.5</v>
      </c>
      <c r="N593" s="51" t="n">
        <v>0.158</v>
      </c>
      <c r="O593" s="52" t="n">
        <f aca="false">M593*(1-N593)</f>
        <v>31.575</v>
      </c>
      <c r="P593" s="21" t="n">
        <f aca="false">L593*O593</f>
        <v>1894.5</v>
      </c>
      <c r="Q593" s="50" t="n">
        <f aca="false">INDEX(Productos!$E$2:$E$13,MATCH($H593,Productos!$A$2:$A$13,0))*INDEX(Parametros!$B$26:$B$43,MATCH($C593,Parametros!$A$26:$A$43,0))</f>
        <v>20.0596</v>
      </c>
      <c r="R593" s="21" t="n">
        <f aca="false">L593*Q593</f>
        <v>1203.576</v>
      </c>
      <c r="S593" s="18" t="n">
        <f aca="false">L593*INDEX(Parametros!$B$20:$B$22,MATCH($E593,Parametros!$A$20:$A$22,0))</f>
        <v>51</v>
      </c>
      <c r="T593" s="18" t="n">
        <f aca="false">P593*INDEX(Parametros!$B$13:$B$16,MATCH($F593,Parametros!$A$13:$A$16,0))</f>
        <v>56.835</v>
      </c>
      <c r="U593" s="21" t="n">
        <f aca="false">P593-R593-S593-T593</f>
        <v>583.089</v>
      </c>
      <c r="V593" s="19" t="n">
        <f aca="false">IFERROR(U593/P593,0)</f>
        <v>0.307779889152811</v>
      </c>
      <c r="W593" s="48" t="n">
        <f aca="false">B593+INDEX(Parametros!$C$13:$C$16,MATCH($F593,Parametros!$A$13:$A$16,0))</f>
        <v>45912</v>
      </c>
      <c r="X593" s="31" t="s">
        <v>67</v>
      </c>
      <c r="Y593" s="53" t="n">
        <f aca="false">IF(COUNTIF($A$2:$A593,A593)=1,1,0)</f>
        <v>0</v>
      </c>
    </row>
    <row r="594" customFormat="false" ht="15" hidden="false" customHeight="false" outlineLevel="0" collapsed="false">
      <c r="A594" s="31" t="s">
        <v>557</v>
      </c>
      <c r="B594" s="36" t="n">
        <v>45852</v>
      </c>
      <c r="C594" s="49" t="n">
        <f aca="false">DATE(YEAR(B594),MONTH(B594),1)</f>
        <v>45839</v>
      </c>
      <c r="D594" s="31" t="s">
        <v>227</v>
      </c>
      <c r="E594" s="31" t="s">
        <v>43</v>
      </c>
      <c r="F594" s="31" t="s">
        <v>46</v>
      </c>
      <c r="G594" s="31" t="s">
        <v>59</v>
      </c>
      <c r="H594" s="31" t="s">
        <v>173</v>
      </c>
      <c r="I594" s="32" t="str">
        <f aca="false">INDEX(Productos!$B$2:$B$13,MATCH($H594,Productos!$A$2:$A$13,0))</f>
        <v>Tornillo DIN 933 M12x70 clase 8.8</v>
      </c>
      <c r="J594" s="32" t="str">
        <f aca="false">INDEX(Productos!$C$2:$C$13,MATCH($H594,Productos!$A$2:$A$13,0))</f>
        <v>Métrica</v>
      </c>
      <c r="K594" s="31" t="s">
        <v>246</v>
      </c>
      <c r="L594" s="46" t="n">
        <v>41</v>
      </c>
      <c r="M594" s="50" t="n">
        <f aca="false">INDEX(Productos!$F$2:$F$13,MATCH($H594,Productos!$A$2:$A$13,0))</f>
        <v>64</v>
      </c>
      <c r="N594" s="51" t="n">
        <v>0.134</v>
      </c>
      <c r="O594" s="52" t="n">
        <f aca="false">M594*(1-N594)</f>
        <v>55.424</v>
      </c>
      <c r="P594" s="21" t="n">
        <f aca="false">L594*O594</f>
        <v>2272.384</v>
      </c>
      <c r="Q594" s="50" t="n">
        <f aca="false">INDEX(Productos!$E$2:$E$13,MATCH($H594,Productos!$A$2:$A$13,0))*INDEX(Parametros!$B$26:$B$43,MATCH($C594,Parametros!$A$26:$A$43,0))</f>
        <v>34.639</v>
      </c>
      <c r="R594" s="21" t="n">
        <f aca="false">L594*Q594</f>
        <v>1420.199</v>
      </c>
      <c r="S594" s="18" t="n">
        <f aca="false">L594*INDEX(Parametros!$B$20:$B$22,MATCH($E594,Parametros!$A$20:$A$22,0))</f>
        <v>77.9</v>
      </c>
      <c r="T594" s="18" t="n">
        <f aca="false">P594*INDEX(Parametros!$B$13:$B$16,MATCH($F594,Parametros!$A$13:$A$16,0))</f>
        <v>90.89536</v>
      </c>
      <c r="U594" s="21" t="n">
        <f aca="false">P594-R594-S594-T594</f>
        <v>683.38964</v>
      </c>
      <c r="V594" s="19" t="n">
        <f aca="false">IFERROR(U594/P594,0)</f>
        <v>0.300736864896074</v>
      </c>
      <c r="W594" s="48" t="n">
        <f aca="false">B594+INDEX(Parametros!$C$13:$C$16,MATCH($F594,Parametros!$A$13:$A$16,0))</f>
        <v>45927</v>
      </c>
      <c r="X594" s="31" t="s">
        <v>67</v>
      </c>
      <c r="Y594" s="53" t="n">
        <f aca="false">IF(COUNTIF($A$2:$A594,A594)=1,1,0)</f>
        <v>1</v>
      </c>
    </row>
    <row r="595" customFormat="false" ht="15" hidden="false" customHeight="false" outlineLevel="0" collapsed="false">
      <c r="A595" s="31" t="s">
        <v>557</v>
      </c>
      <c r="B595" s="36" t="n">
        <v>45852</v>
      </c>
      <c r="C595" s="49" t="n">
        <f aca="false">DATE(YEAR(B595),MONTH(B595),1)</f>
        <v>45839</v>
      </c>
      <c r="D595" s="31" t="s">
        <v>227</v>
      </c>
      <c r="E595" s="31" t="s">
        <v>43</v>
      </c>
      <c r="F595" s="31" t="s">
        <v>46</v>
      </c>
      <c r="G595" s="31" t="s">
        <v>59</v>
      </c>
      <c r="H595" s="31" t="s">
        <v>171</v>
      </c>
      <c r="I595" s="32" t="str">
        <f aca="false">INDEX(Productos!$B$2:$B$13,MATCH($H595,Productos!$A$2:$A$13,0))</f>
        <v>Tornillo DIN 7991 M8x30 avellanado inox A2</v>
      </c>
      <c r="J595" s="32" t="str">
        <f aca="false">INDEX(Productos!$C$2:$C$13,MATCH($H595,Productos!$A$2:$A$13,0))</f>
        <v>Inoxidable</v>
      </c>
      <c r="K595" s="31" t="s">
        <v>246</v>
      </c>
      <c r="L595" s="46" t="n">
        <v>65</v>
      </c>
      <c r="M595" s="50" t="n">
        <f aca="false">INDEX(Productos!$F$2:$F$13,MATCH($H595,Productos!$A$2:$A$13,0))</f>
        <v>88</v>
      </c>
      <c r="N595" s="51" t="n">
        <v>0.099</v>
      </c>
      <c r="O595" s="52" t="n">
        <f aca="false">M595*(1-N595)</f>
        <v>79.288</v>
      </c>
      <c r="P595" s="21" t="n">
        <f aca="false">L595*O595</f>
        <v>5153.72</v>
      </c>
      <c r="Q595" s="50" t="n">
        <f aca="false">INDEX(Productos!$E$2:$E$13,MATCH($H595,Productos!$A$2:$A$13,0))*INDEX(Parametros!$B$26:$B$43,MATCH($C595,Parametros!$A$26:$A$43,0))</f>
        <v>48.081</v>
      </c>
      <c r="R595" s="21" t="n">
        <f aca="false">L595*Q595</f>
        <v>3125.265</v>
      </c>
      <c r="S595" s="18" t="n">
        <f aca="false">L595*INDEX(Parametros!$B$20:$B$22,MATCH($E595,Parametros!$A$20:$A$22,0))</f>
        <v>123.5</v>
      </c>
      <c r="T595" s="18" t="n">
        <f aca="false">P595*INDEX(Parametros!$B$13:$B$16,MATCH($F595,Parametros!$A$13:$A$16,0))</f>
        <v>206.1488</v>
      </c>
      <c r="U595" s="21" t="n">
        <f aca="false">P595-R595-S595-T595</f>
        <v>1698.8062</v>
      </c>
      <c r="V595" s="19" t="n">
        <f aca="false">IFERROR(U595/P595,0)</f>
        <v>0.32962718191908</v>
      </c>
      <c r="W595" s="48" t="n">
        <f aca="false">B595+INDEX(Parametros!$C$13:$C$16,MATCH($F595,Parametros!$A$13:$A$16,0))</f>
        <v>45927</v>
      </c>
      <c r="X595" s="31" t="s">
        <v>67</v>
      </c>
      <c r="Y595" s="53" t="n">
        <f aca="false">IF(COUNTIF($A$2:$A595,A595)=1,1,0)</f>
        <v>0</v>
      </c>
    </row>
    <row r="596" customFormat="false" ht="15" hidden="false" customHeight="false" outlineLevel="0" collapsed="false">
      <c r="A596" s="31" t="s">
        <v>558</v>
      </c>
      <c r="B596" s="36" t="n">
        <v>45852</v>
      </c>
      <c r="C596" s="49" t="n">
        <f aca="false">DATE(YEAR(B596),MONTH(B596),1)</f>
        <v>45839</v>
      </c>
      <c r="D596" s="31" t="s">
        <v>221</v>
      </c>
      <c r="E596" s="31" t="s">
        <v>43</v>
      </c>
      <c r="F596" s="31" t="s">
        <v>45</v>
      </c>
      <c r="G596" s="31" t="s">
        <v>59</v>
      </c>
      <c r="H596" s="31" t="s">
        <v>177</v>
      </c>
      <c r="I596" s="32" t="str">
        <f aca="false">INDEX(Productos!$B$2:$B$13,MATCH($H596,Productos!$A$2:$A$13,0))</f>
        <v>Tirafondo madera 6x100 cabeza plana Torx</v>
      </c>
      <c r="J596" s="32" t="str">
        <f aca="false">INDEX(Productos!$C$2:$C$13,MATCH($H596,Productos!$A$2:$A$13,0))</f>
        <v>Madera</v>
      </c>
      <c r="K596" s="31" t="s">
        <v>246</v>
      </c>
      <c r="L596" s="46" t="n">
        <v>46</v>
      </c>
      <c r="M596" s="50" t="n">
        <f aca="false">INDEX(Productos!$F$2:$F$13,MATCH($H596,Productos!$A$2:$A$13,0))</f>
        <v>34</v>
      </c>
      <c r="N596" s="51" t="n">
        <v>0.204</v>
      </c>
      <c r="O596" s="52" t="n">
        <f aca="false">M596*(1-N596)</f>
        <v>27.064</v>
      </c>
      <c r="P596" s="21" t="n">
        <f aca="false">L596*O596</f>
        <v>1244.944</v>
      </c>
      <c r="Q596" s="50" t="n">
        <f aca="false">INDEX(Productos!$E$2:$E$13,MATCH($H596,Productos!$A$2:$A$13,0))*INDEX(Parametros!$B$26:$B$43,MATCH($C596,Parametros!$A$26:$A$43,0))</f>
        <v>18.4052</v>
      </c>
      <c r="R596" s="21" t="n">
        <f aca="false">L596*Q596</f>
        <v>846.6392</v>
      </c>
      <c r="S596" s="18" t="n">
        <f aca="false">L596*INDEX(Parametros!$B$20:$B$22,MATCH($E596,Parametros!$A$20:$A$22,0))</f>
        <v>87.4</v>
      </c>
      <c r="T596" s="18" t="n">
        <f aca="false">P596*INDEX(Parametros!$B$13:$B$16,MATCH($F596,Parametros!$A$13:$A$16,0))</f>
        <v>37.34832</v>
      </c>
      <c r="U596" s="21" t="n">
        <f aca="false">P596-R596-S596-T596</f>
        <v>273.55648</v>
      </c>
      <c r="V596" s="19" t="n">
        <f aca="false">IFERROR(U596/P596,0)</f>
        <v>0.219733963937334</v>
      </c>
      <c r="W596" s="48" t="n">
        <f aca="false">B596+INDEX(Parametros!$C$13:$C$16,MATCH($F596,Parametros!$A$13:$A$16,0))</f>
        <v>45912</v>
      </c>
      <c r="X596" s="31" t="s">
        <v>69</v>
      </c>
      <c r="Y596" s="53" t="n">
        <f aca="false">IF(COUNTIF($A$2:$A596,A596)=1,1,0)</f>
        <v>1</v>
      </c>
    </row>
    <row r="597" customFormat="false" ht="15" hidden="false" customHeight="false" outlineLevel="0" collapsed="false">
      <c r="A597" s="31" t="s">
        <v>559</v>
      </c>
      <c r="B597" s="36" t="n">
        <v>45853</v>
      </c>
      <c r="C597" s="49" t="n">
        <f aca="false">DATE(YEAR(B597),MONTH(B597),1)</f>
        <v>45839</v>
      </c>
      <c r="D597" s="31" t="s">
        <v>197</v>
      </c>
      <c r="E597" s="31" t="s">
        <v>41</v>
      </c>
      <c r="F597" s="31" t="s">
        <v>46</v>
      </c>
      <c r="G597" s="31" t="s">
        <v>58</v>
      </c>
      <c r="H597" s="31" t="s">
        <v>183</v>
      </c>
      <c r="I597" s="32" t="str">
        <f aca="false">INDEX(Productos!$B$2:$B$13,MATCH($H597,Productos!$A$2:$A$13,0))</f>
        <v>Tornillo estructural M16x90 clase 10.9</v>
      </c>
      <c r="J597" s="32" t="str">
        <f aca="false">INDEX(Productos!$C$2:$C$13,MATCH($H597,Productos!$A$2:$A$13,0))</f>
        <v>Especial</v>
      </c>
      <c r="K597" s="31" t="s">
        <v>246</v>
      </c>
      <c r="L597" s="46" t="n">
        <v>76</v>
      </c>
      <c r="M597" s="50" t="n">
        <f aca="false">INDEX(Productos!$F$2:$F$13,MATCH($H597,Productos!$A$2:$A$13,0))</f>
        <v>112</v>
      </c>
      <c r="N597" s="51" t="n">
        <v>0.11</v>
      </c>
      <c r="O597" s="52" t="n">
        <f aca="false">M597*(1-N597)</f>
        <v>99.68</v>
      </c>
      <c r="P597" s="21" t="n">
        <f aca="false">L597*O597</f>
        <v>7575.68</v>
      </c>
      <c r="Q597" s="50" t="n">
        <f aca="false">INDEX(Productos!$E$2:$E$13,MATCH($H597,Productos!$A$2:$A$13,0))*INDEX(Parametros!$B$26:$B$43,MATCH($C597,Parametros!$A$26:$A$43,0))</f>
        <v>62.04</v>
      </c>
      <c r="R597" s="21" t="n">
        <f aca="false">L597*Q597</f>
        <v>4715.04</v>
      </c>
      <c r="S597" s="18" t="n">
        <f aca="false">L597*INDEX(Parametros!$B$20:$B$22,MATCH($E597,Parametros!$A$20:$A$22,0))</f>
        <v>64.6</v>
      </c>
      <c r="T597" s="18" t="n">
        <f aca="false">P597*INDEX(Parametros!$B$13:$B$16,MATCH($F597,Parametros!$A$13:$A$16,0))</f>
        <v>303.0272</v>
      </c>
      <c r="U597" s="21" t="n">
        <f aca="false">P597-R597-S597-T597</f>
        <v>2493.0128</v>
      </c>
      <c r="V597" s="19" t="n">
        <f aca="false">IFERROR(U597/P597,0)</f>
        <v>0.329081059390048</v>
      </c>
      <c r="W597" s="48" t="n">
        <f aca="false">B597+INDEX(Parametros!$C$13:$C$16,MATCH($F597,Parametros!$A$13:$A$16,0))</f>
        <v>45928</v>
      </c>
      <c r="X597" s="31" t="s">
        <v>67</v>
      </c>
      <c r="Y597" s="53" t="n">
        <f aca="false">IF(COUNTIF($A$2:$A597,A597)=1,1,0)</f>
        <v>1</v>
      </c>
    </row>
    <row r="598" customFormat="false" ht="15" hidden="false" customHeight="false" outlineLevel="0" collapsed="false">
      <c r="A598" s="31" t="s">
        <v>559</v>
      </c>
      <c r="B598" s="36" t="n">
        <v>45853</v>
      </c>
      <c r="C598" s="49" t="n">
        <f aca="false">DATE(YEAR(B598),MONTH(B598),1)</f>
        <v>45839</v>
      </c>
      <c r="D598" s="31" t="s">
        <v>197</v>
      </c>
      <c r="E598" s="31" t="s">
        <v>41</v>
      </c>
      <c r="F598" s="31" t="s">
        <v>46</v>
      </c>
      <c r="G598" s="31" t="s">
        <v>58</v>
      </c>
      <c r="H598" s="31" t="s">
        <v>171</v>
      </c>
      <c r="I598" s="32" t="str">
        <f aca="false">INDEX(Productos!$B$2:$B$13,MATCH($H598,Productos!$A$2:$A$13,0))</f>
        <v>Tornillo DIN 7991 M8x30 avellanado inox A2</v>
      </c>
      <c r="J598" s="32" t="str">
        <f aca="false">INDEX(Productos!$C$2:$C$13,MATCH($H598,Productos!$A$2:$A$13,0))</f>
        <v>Inoxidable</v>
      </c>
      <c r="K598" s="31" t="s">
        <v>246</v>
      </c>
      <c r="L598" s="46" t="n">
        <v>51</v>
      </c>
      <c r="M598" s="50" t="n">
        <f aca="false">INDEX(Productos!$F$2:$F$13,MATCH($H598,Productos!$A$2:$A$13,0))</f>
        <v>88</v>
      </c>
      <c r="N598" s="51" t="n">
        <v>0.097</v>
      </c>
      <c r="O598" s="52" t="n">
        <f aca="false">M598*(1-N598)</f>
        <v>79.464</v>
      </c>
      <c r="P598" s="21" t="n">
        <f aca="false">L598*O598</f>
        <v>4052.664</v>
      </c>
      <c r="Q598" s="50" t="n">
        <f aca="false">INDEX(Productos!$E$2:$E$13,MATCH($H598,Productos!$A$2:$A$13,0))*INDEX(Parametros!$B$26:$B$43,MATCH($C598,Parametros!$A$26:$A$43,0))</f>
        <v>48.081</v>
      </c>
      <c r="R598" s="21" t="n">
        <f aca="false">L598*Q598</f>
        <v>2452.131</v>
      </c>
      <c r="S598" s="18" t="n">
        <f aca="false">L598*INDEX(Parametros!$B$20:$B$22,MATCH($E598,Parametros!$A$20:$A$22,0))</f>
        <v>43.35</v>
      </c>
      <c r="T598" s="18" t="n">
        <f aca="false">P598*INDEX(Parametros!$B$13:$B$16,MATCH($F598,Parametros!$A$13:$A$16,0))</f>
        <v>162.10656</v>
      </c>
      <c r="U598" s="21" t="n">
        <f aca="false">P598-R598-S598-T598</f>
        <v>1395.07644</v>
      </c>
      <c r="V598" s="19" t="n">
        <f aca="false">IFERROR(U598/P598,0)</f>
        <v>0.344236887143864</v>
      </c>
      <c r="W598" s="48" t="n">
        <f aca="false">B598+INDEX(Parametros!$C$13:$C$16,MATCH($F598,Parametros!$A$13:$A$16,0))</f>
        <v>45928</v>
      </c>
      <c r="X598" s="31" t="s">
        <v>69</v>
      </c>
      <c r="Y598" s="53" t="n">
        <f aca="false">IF(COUNTIF($A$2:$A598,A598)=1,1,0)</f>
        <v>0</v>
      </c>
    </row>
    <row r="599" customFormat="false" ht="15" hidden="false" customHeight="false" outlineLevel="0" collapsed="false">
      <c r="A599" s="31" t="s">
        <v>560</v>
      </c>
      <c r="B599" s="36" t="n">
        <v>45854</v>
      </c>
      <c r="C599" s="49" t="n">
        <f aca="false">DATE(YEAR(B599),MONTH(B599),1)</f>
        <v>45839</v>
      </c>
      <c r="D599" s="31" t="s">
        <v>225</v>
      </c>
      <c r="E599" s="31" t="s">
        <v>43</v>
      </c>
      <c r="F599" s="31" t="s">
        <v>47</v>
      </c>
      <c r="G599" s="31" t="s">
        <v>59</v>
      </c>
      <c r="H599" s="31" t="s">
        <v>167</v>
      </c>
      <c r="I599" s="32" t="str">
        <f aca="false">INDEX(Productos!$B$2:$B$13,MATCH($H599,Productos!$A$2:$A$13,0))</f>
        <v>Tornillo DIN 912 M6x25 Allen zincado</v>
      </c>
      <c r="J599" s="32" t="str">
        <f aca="false">INDEX(Productos!$C$2:$C$13,MATCH($H599,Productos!$A$2:$A$13,0))</f>
        <v>Métrica</v>
      </c>
      <c r="K599" s="31" t="s">
        <v>246</v>
      </c>
      <c r="L599" s="46" t="n">
        <v>19</v>
      </c>
      <c r="M599" s="50" t="n">
        <f aca="false">INDEX(Productos!$F$2:$F$13,MATCH($H599,Productos!$A$2:$A$13,0))</f>
        <v>42</v>
      </c>
      <c r="N599" s="51" t="n">
        <v>0.07</v>
      </c>
      <c r="O599" s="52" t="n">
        <f aca="false">M599*(1-N599)</f>
        <v>39.06</v>
      </c>
      <c r="P599" s="21" t="n">
        <f aca="false">L599*O599</f>
        <v>742.14</v>
      </c>
      <c r="Q599" s="50" t="n">
        <f aca="false">INDEX(Productos!$E$2:$E$13,MATCH($H599,Productos!$A$2:$A$13,0))*INDEX(Parametros!$B$26:$B$43,MATCH($C599,Parametros!$A$26:$A$43,0))</f>
        <v>22.5412</v>
      </c>
      <c r="R599" s="21" t="n">
        <f aca="false">L599*Q599</f>
        <v>428.2828</v>
      </c>
      <c r="S599" s="18" t="n">
        <f aca="false">L599*INDEX(Parametros!$B$20:$B$22,MATCH($E599,Parametros!$A$20:$A$22,0))</f>
        <v>36.1</v>
      </c>
      <c r="T599" s="18" t="n">
        <f aca="false">P599*INDEX(Parametros!$B$13:$B$16,MATCH($F599,Parametros!$A$13:$A$16,0))</f>
        <v>25.9749</v>
      </c>
      <c r="U599" s="21" t="n">
        <f aca="false">P599-R599-S599-T599</f>
        <v>251.7823</v>
      </c>
      <c r="V599" s="19" t="n">
        <f aca="false">IFERROR(U599/P599,0)</f>
        <v>0.33926523297491</v>
      </c>
      <c r="W599" s="48" t="n">
        <f aca="false">B599+INDEX(Parametros!$C$13:$C$16,MATCH($F599,Parametros!$A$13:$A$16,0))</f>
        <v>45899</v>
      </c>
      <c r="X599" s="31" t="s">
        <v>67</v>
      </c>
      <c r="Y599" s="53" t="n">
        <f aca="false">IF(COUNTIF($A$2:$A599,A599)=1,1,0)</f>
        <v>1</v>
      </c>
    </row>
    <row r="600" customFormat="false" ht="15" hidden="false" customHeight="false" outlineLevel="0" collapsed="false">
      <c r="A600" s="31" t="s">
        <v>560</v>
      </c>
      <c r="B600" s="36" t="n">
        <v>45854</v>
      </c>
      <c r="C600" s="49" t="n">
        <f aca="false">DATE(YEAR(B600),MONTH(B600),1)</f>
        <v>45839</v>
      </c>
      <c r="D600" s="31" t="s">
        <v>225</v>
      </c>
      <c r="E600" s="31" t="s">
        <v>43</v>
      </c>
      <c r="F600" s="31" t="s">
        <v>47</v>
      </c>
      <c r="G600" s="31" t="s">
        <v>59</v>
      </c>
      <c r="H600" s="31" t="s">
        <v>177</v>
      </c>
      <c r="I600" s="32" t="str">
        <f aca="false">INDEX(Productos!$B$2:$B$13,MATCH($H600,Productos!$A$2:$A$13,0))</f>
        <v>Tirafondo madera 6x100 cabeza plana Torx</v>
      </c>
      <c r="J600" s="32" t="str">
        <f aca="false">INDEX(Productos!$C$2:$C$13,MATCH($H600,Productos!$A$2:$A$13,0))</f>
        <v>Madera</v>
      </c>
      <c r="K600" s="31" t="s">
        <v>246</v>
      </c>
      <c r="L600" s="46" t="n">
        <v>58</v>
      </c>
      <c r="M600" s="50" t="n">
        <f aca="false">INDEX(Productos!$F$2:$F$13,MATCH($H600,Productos!$A$2:$A$13,0))</f>
        <v>34</v>
      </c>
      <c r="N600" s="51" t="n">
        <v>0.053</v>
      </c>
      <c r="O600" s="52" t="n">
        <f aca="false">M600*(1-N600)</f>
        <v>32.198</v>
      </c>
      <c r="P600" s="21" t="n">
        <f aca="false">L600*O600</f>
        <v>1867.484</v>
      </c>
      <c r="Q600" s="50" t="n">
        <f aca="false">INDEX(Productos!$E$2:$E$13,MATCH($H600,Productos!$A$2:$A$13,0))*INDEX(Parametros!$B$26:$B$43,MATCH($C600,Parametros!$A$26:$A$43,0))</f>
        <v>18.4052</v>
      </c>
      <c r="R600" s="21" t="n">
        <f aca="false">L600*Q600</f>
        <v>1067.5016</v>
      </c>
      <c r="S600" s="18" t="n">
        <f aca="false">L600*INDEX(Parametros!$B$20:$B$22,MATCH($E600,Parametros!$A$20:$A$22,0))</f>
        <v>110.2</v>
      </c>
      <c r="T600" s="18" t="n">
        <f aca="false">P600*INDEX(Parametros!$B$13:$B$16,MATCH($F600,Parametros!$A$13:$A$16,0))</f>
        <v>65.36194</v>
      </c>
      <c r="U600" s="21" t="n">
        <f aca="false">P600-R600-S600-T600</f>
        <v>624.42046</v>
      </c>
      <c r="V600" s="19" t="n">
        <f aca="false">IFERROR(U600/P600,0)</f>
        <v>0.33436455680477</v>
      </c>
      <c r="W600" s="48" t="n">
        <f aca="false">B600+INDEX(Parametros!$C$13:$C$16,MATCH($F600,Parametros!$A$13:$A$16,0))</f>
        <v>45899</v>
      </c>
      <c r="X600" s="31" t="s">
        <v>67</v>
      </c>
      <c r="Y600" s="53" t="n">
        <f aca="false">IF(COUNTIF($A$2:$A600,A600)=1,1,0)</f>
        <v>0</v>
      </c>
    </row>
    <row r="601" customFormat="false" ht="15" hidden="false" customHeight="false" outlineLevel="0" collapsed="false">
      <c r="A601" s="31" t="s">
        <v>560</v>
      </c>
      <c r="B601" s="36" t="n">
        <v>45854</v>
      </c>
      <c r="C601" s="49" t="n">
        <f aca="false">DATE(YEAR(B601),MONTH(B601),1)</f>
        <v>45839</v>
      </c>
      <c r="D601" s="31" t="s">
        <v>225</v>
      </c>
      <c r="E601" s="31" t="s">
        <v>43</v>
      </c>
      <c r="F601" s="31" t="s">
        <v>47</v>
      </c>
      <c r="G601" s="31" t="s">
        <v>59</v>
      </c>
      <c r="H601" s="31" t="s">
        <v>169</v>
      </c>
      <c r="I601" s="32" t="str">
        <f aca="false">INDEX(Productos!$B$2:$B$13,MATCH($H601,Productos!$A$2:$A$13,0))</f>
        <v>Tornillo DIN 912 M10x60 Allen inox A2</v>
      </c>
      <c r="J601" s="32" t="str">
        <f aca="false">INDEX(Productos!$C$2:$C$13,MATCH($H601,Productos!$A$2:$A$13,0))</f>
        <v>Inoxidable</v>
      </c>
      <c r="K601" s="31" t="s">
        <v>246</v>
      </c>
      <c r="L601" s="46" t="n">
        <v>65</v>
      </c>
      <c r="M601" s="50" t="n">
        <f aca="false">INDEX(Productos!$F$2:$F$13,MATCH($H601,Productos!$A$2:$A$13,0))</f>
        <v>79</v>
      </c>
      <c r="N601" s="51" t="n">
        <v>0.071</v>
      </c>
      <c r="O601" s="52" t="n">
        <f aca="false">M601*(1-N601)</f>
        <v>73.391</v>
      </c>
      <c r="P601" s="21" t="n">
        <f aca="false">L601*O601</f>
        <v>4770.415</v>
      </c>
      <c r="Q601" s="50" t="n">
        <f aca="false">INDEX(Productos!$E$2:$E$13,MATCH($H601,Productos!$A$2:$A$13,0))*INDEX(Parametros!$B$26:$B$43,MATCH($C601,Parametros!$A$26:$A$43,0))</f>
        <v>43.428</v>
      </c>
      <c r="R601" s="21" t="n">
        <f aca="false">L601*Q601</f>
        <v>2822.82</v>
      </c>
      <c r="S601" s="18" t="n">
        <f aca="false">L601*INDEX(Parametros!$B$20:$B$22,MATCH($E601,Parametros!$A$20:$A$22,0))</f>
        <v>123.5</v>
      </c>
      <c r="T601" s="18" t="n">
        <f aca="false">P601*INDEX(Parametros!$B$13:$B$16,MATCH($F601,Parametros!$A$13:$A$16,0))</f>
        <v>166.964525</v>
      </c>
      <c r="U601" s="21" t="n">
        <f aca="false">P601-R601-S601-T601</f>
        <v>1657.130475</v>
      </c>
      <c r="V601" s="19" t="n">
        <f aca="false">IFERROR(U601/P601,0)</f>
        <v>0.347376585684893</v>
      </c>
      <c r="W601" s="48" t="n">
        <f aca="false">B601+INDEX(Parametros!$C$13:$C$16,MATCH($F601,Parametros!$A$13:$A$16,0))</f>
        <v>45899</v>
      </c>
      <c r="X601" s="31" t="s">
        <v>67</v>
      </c>
      <c r="Y601" s="53" t="n">
        <f aca="false">IF(COUNTIF($A$2:$A601,A601)=1,1,0)</f>
        <v>0</v>
      </c>
    </row>
    <row r="602" customFormat="false" ht="15" hidden="false" customHeight="false" outlineLevel="0" collapsed="false">
      <c r="A602" s="31" t="s">
        <v>561</v>
      </c>
      <c r="B602" s="36" t="n">
        <v>45855</v>
      </c>
      <c r="C602" s="49" t="n">
        <f aca="false">DATE(YEAR(B602),MONTH(B602),1)</f>
        <v>45839</v>
      </c>
      <c r="D602" s="31" t="s">
        <v>203</v>
      </c>
      <c r="E602" s="31" t="s">
        <v>41</v>
      </c>
      <c r="F602" s="31" t="s">
        <v>46</v>
      </c>
      <c r="G602" s="31" t="s">
        <v>58</v>
      </c>
      <c r="H602" s="31" t="s">
        <v>177</v>
      </c>
      <c r="I602" s="32" t="str">
        <f aca="false">INDEX(Productos!$B$2:$B$13,MATCH($H602,Productos!$A$2:$A$13,0))</f>
        <v>Tirafondo madera 6x100 cabeza plana Torx</v>
      </c>
      <c r="J602" s="32" t="str">
        <f aca="false">INDEX(Productos!$C$2:$C$13,MATCH($H602,Productos!$A$2:$A$13,0))</f>
        <v>Madera</v>
      </c>
      <c r="K602" s="31" t="s">
        <v>246</v>
      </c>
      <c r="L602" s="46" t="n">
        <v>70</v>
      </c>
      <c r="M602" s="50" t="n">
        <f aca="false">INDEX(Productos!$F$2:$F$13,MATCH($H602,Productos!$A$2:$A$13,0))</f>
        <v>34</v>
      </c>
      <c r="N602" s="51" t="n">
        <v>0.178</v>
      </c>
      <c r="O602" s="52" t="n">
        <f aca="false">M602*(1-N602)</f>
        <v>27.948</v>
      </c>
      <c r="P602" s="21" t="n">
        <f aca="false">L602*O602</f>
        <v>1956.36</v>
      </c>
      <c r="Q602" s="50" t="n">
        <f aca="false">INDEX(Productos!$E$2:$E$13,MATCH($H602,Productos!$A$2:$A$13,0))*INDEX(Parametros!$B$26:$B$43,MATCH($C602,Parametros!$A$26:$A$43,0))</f>
        <v>18.4052</v>
      </c>
      <c r="R602" s="21" t="n">
        <f aca="false">L602*Q602</f>
        <v>1288.364</v>
      </c>
      <c r="S602" s="18" t="n">
        <f aca="false">L602*INDEX(Parametros!$B$20:$B$22,MATCH($E602,Parametros!$A$20:$A$22,0))</f>
        <v>59.5</v>
      </c>
      <c r="T602" s="18" t="n">
        <f aca="false">P602*INDEX(Parametros!$B$13:$B$16,MATCH($F602,Parametros!$A$13:$A$16,0))</f>
        <v>78.2544</v>
      </c>
      <c r="U602" s="21" t="n">
        <f aca="false">P602-R602-S602-T602</f>
        <v>530.2416</v>
      </c>
      <c r="V602" s="19" t="n">
        <f aca="false">IFERROR(U602/P602,0)</f>
        <v>0.271034778875054</v>
      </c>
      <c r="W602" s="48" t="n">
        <f aca="false">B602+INDEX(Parametros!$C$13:$C$16,MATCH($F602,Parametros!$A$13:$A$16,0))</f>
        <v>45930</v>
      </c>
      <c r="X602" s="31" t="s">
        <v>67</v>
      </c>
      <c r="Y602" s="53" t="n">
        <f aca="false">IF(COUNTIF($A$2:$A602,A602)=1,1,0)</f>
        <v>1</v>
      </c>
    </row>
    <row r="603" customFormat="false" ht="15" hidden="false" customHeight="false" outlineLevel="0" collapsed="false">
      <c r="A603" s="31" t="s">
        <v>561</v>
      </c>
      <c r="B603" s="36" t="n">
        <v>45855</v>
      </c>
      <c r="C603" s="49" t="n">
        <f aca="false">DATE(YEAR(B603),MONTH(B603),1)</f>
        <v>45839</v>
      </c>
      <c r="D603" s="31" t="s">
        <v>203</v>
      </c>
      <c r="E603" s="31" t="s">
        <v>41</v>
      </c>
      <c r="F603" s="31" t="s">
        <v>46</v>
      </c>
      <c r="G603" s="31" t="s">
        <v>58</v>
      </c>
      <c r="H603" s="31" t="s">
        <v>171</v>
      </c>
      <c r="I603" s="32" t="str">
        <f aca="false">INDEX(Productos!$B$2:$B$13,MATCH($H603,Productos!$A$2:$A$13,0))</f>
        <v>Tornillo DIN 7991 M8x30 avellanado inox A2</v>
      </c>
      <c r="J603" s="32" t="str">
        <f aca="false">INDEX(Productos!$C$2:$C$13,MATCH($H603,Productos!$A$2:$A$13,0))</f>
        <v>Inoxidable</v>
      </c>
      <c r="K603" s="31" t="s">
        <v>246</v>
      </c>
      <c r="L603" s="46" t="n">
        <v>46</v>
      </c>
      <c r="M603" s="50" t="n">
        <f aca="false">INDEX(Productos!$F$2:$F$13,MATCH($H603,Productos!$A$2:$A$13,0))</f>
        <v>88</v>
      </c>
      <c r="N603" s="51" t="n">
        <v>0.103</v>
      </c>
      <c r="O603" s="52" t="n">
        <f aca="false">M603*(1-N603)</f>
        <v>78.936</v>
      </c>
      <c r="P603" s="21" t="n">
        <f aca="false">L603*O603</f>
        <v>3631.056</v>
      </c>
      <c r="Q603" s="50" t="n">
        <f aca="false">INDEX(Productos!$E$2:$E$13,MATCH($H603,Productos!$A$2:$A$13,0))*INDEX(Parametros!$B$26:$B$43,MATCH($C603,Parametros!$A$26:$A$43,0))</f>
        <v>48.081</v>
      </c>
      <c r="R603" s="21" t="n">
        <f aca="false">L603*Q603</f>
        <v>2211.726</v>
      </c>
      <c r="S603" s="18" t="n">
        <f aca="false">L603*INDEX(Parametros!$B$20:$B$22,MATCH($E603,Parametros!$A$20:$A$22,0))</f>
        <v>39.1</v>
      </c>
      <c r="T603" s="18" t="n">
        <f aca="false">P603*INDEX(Parametros!$B$13:$B$16,MATCH($F603,Parametros!$A$13:$A$16,0))</f>
        <v>145.24224</v>
      </c>
      <c r="U603" s="21" t="n">
        <f aca="false">P603-R603-S603-T603</f>
        <v>1234.98776</v>
      </c>
      <c r="V603" s="19" t="n">
        <f aca="false">IFERROR(U603/P603,0)</f>
        <v>0.340118070335462</v>
      </c>
      <c r="W603" s="48" t="n">
        <f aca="false">B603+INDEX(Parametros!$C$13:$C$16,MATCH($F603,Parametros!$A$13:$A$16,0))</f>
        <v>45930</v>
      </c>
      <c r="X603" s="31" t="s">
        <v>67</v>
      </c>
      <c r="Y603" s="53" t="n">
        <f aca="false">IF(COUNTIF($A$2:$A603,A603)=1,1,0)</f>
        <v>0</v>
      </c>
    </row>
    <row r="604" customFormat="false" ht="15" hidden="false" customHeight="false" outlineLevel="0" collapsed="false">
      <c r="A604" s="31" t="s">
        <v>561</v>
      </c>
      <c r="B604" s="36" t="n">
        <v>45855</v>
      </c>
      <c r="C604" s="49" t="n">
        <f aca="false">DATE(YEAR(B604),MONTH(B604),1)</f>
        <v>45839</v>
      </c>
      <c r="D604" s="31" t="s">
        <v>203</v>
      </c>
      <c r="E604" s="31" t="s">
        <v>41</v>
      </c>
      <c r="F604" s="31" t="s">
        <v>46</v>
      </c>
      <c r="G604" s="31" t="s">
        <v>58</v>
      </c>
      <c r="H604" s="31" t="s">
        <v>163</v>
      </c>
      <c r="I604" s="32" t="str">
        <f aca="false">INDEX(Productos!$B$2:$B$13,MATCH($H604,Productos!$A$2:$A$13,0))</f>
        <v>Tornillo DIN 933 M6x30 rosca completa zincado</v>
      </c>
      <c r="J604" s="32" t="str">
        <f aca="false">INDEX(Productos!$C$2:$C$13,MATCH($H604,Productos!$A$2:$A$13,0))</f>
        <v>Métrica</v>
      </c>
      <c r="K604" s="31" t="s">
        <v>246</v>
      </c>
      <c r="L604" s="46" t="n">
        <v>147</v>
      </c>
      <c r="M604" s="50" t="n">
        <f aca="false">INDEX(Productos!$F$2:$F$13,MATCH($H604,Productos!$A$2:$A$13,0))</f>
        <v>32</v>
      </c>
      <c r="N604" s="51" t="n">
        <v>0.151</v>
      </c>
      <c r="O604" s="52" t="n">
        <f aca="false">M604*(1-N604)</f>
        <v>27.168</v>
      </c>
      <c r="P604" s="21" t="n">
        <f aca="false">L604*O604</f>
        <v>3993.696</v>
      </c>
      <c r="Q604" s="50" t="n">
        <f aca="false">INDEX(Productos!$E$2:$E$13,MATCH($H604,Productos!$A$2:$A$13,0))*INDEX(Parametros!$B$26:$B$43,MATCH($C604,Parametros!$A$26:$A$43,0))</f>
        <v>17.1644</v>
      </c>
      <c r="R604" s="21" t="n">
        <f aca="false">L604*Q604</f>
        <v>2523.1668</v>
      </c>
      <c r="S604" s="18" t="n">
        <f aca="false">L604*INDEX(Parametros!$B$20:$B$22,MATCH($E604,Parametros!$A$20:$A$22,0))</f>
        <v>124.95</v>
      </c>
      <c r="T604" s="18" t="n">
        <f aca="false">P604*INDEX(Parametros!$B$13:$B$16,MATCH($F604,Parametros!$A$13:$A$16,0))</f>
        <v>159.74784</v>
      </c>
      <c r="U604" s="21" t="n">
        <f aca="false">P604-R604-S604-T604</f>
        <v>1185.83136</v>
      </c>
      <c r="V604" s="19" t="n">
        <f aca="false">IFERROR(U604/P604,0)</f>
        <v>0.296925795053004</v>
      </c>
      <c r="W604" s="48" t="n">
        <f aca="false">B604+INDEX(Parametros!$C$13:$C$16,MATCH($F604,Parametros!$A$13:$A$16,0))</f>
        <v>45930</v>
      </c>
      <c r="X604" s="31" t="s">
        <v>67</v>
      </c>
      <c r="Y604" s="53" t="n">
        <f aca="false">IF(COUNTIF($A$2:$A604,A604)=1,1,0)</f>
        <v>0</v>
      </c>
    </row>
    <row r="605" customFormat="false" ht="15" hidden="false" customHeight="false" outlineLevel="0" collapsed="false">
      <c r="A605" s="31" t="s">
        <v>561</v>
      </c>
      <c r="B605" s="36" t="n">
        <v>45855</v>
      </c>
      <c r="C605" s="49" t="n">
        <f aca="false">DATE(YEAR(B605),MONTH(B605),1)</f>
        <v>45839</v>
      </c>
      <c r="D605" s="31" t="s">
        <v>203</v>
      </c>
      <c r="E605" s="31" t="s">
        <v>41</v>
      </c>
      <c r="F605" s="31" t="s">
        <v>46</v>
      </c>
      <c r="G605" s="31" t="s">
        <v>58</v>
      </c>
      <c r="H605" s="31" t="s">
        <v>173</v>
      </c>
      <c r="I605" s="32" t="str">
        <f aca="false">INDEX(Productos!$B$2:$B$13,MATCH($H605,Productos!$A$2:$A$13,0))</f>
        <v>Tornillo DIN 933 M12x70 clase 8.8</v>
      </c>
      <c r="J605" s="32" t="str">
        <f aca="false">INDEX(Productos!$C$2:$C$13,MATCH($H605,Productos!$A$2:$A$13,0))</f>
        <v>Métrica</v>
      </c>
      <c r="K605" s="31" t="s">
        <v>246</v>
      </c>
      <c r="L605" s="46" t="n">
        <v>24</v>
      </c>
      <c r="M605" s="50" t="n">
        <f aca="false">INDEX(Productos!$F$2:$F$13,MATCH($H605,Productos!$A$2:$A$13,0))</f>
        <v>64</v>
      </c>
      <c r="N605" s="51" t="n">
        <v>0.112</v>
      </c>
      <c r="O605" s="52" t="n">
        <f aca="false">M605*(1-N605)</f>
        <v>56.832</v>
      </c>
      <c r="P605" s="21" t="n">
        <f aca="false">L605*O605</f>
        <v>1363.968</v>
      </c>
      <c r="Q605" s="50" t="n">
        <f aca="false">INDEX(Productos!$E$2:$E$13,MATCH($H605,Productos!$A$2:$A$13,0))*INDEX(Parametros!$B$26:$B$43,MATCH($C605,Parametros!$A$26:$A$43,0))</f>
        <v>34.639</v>
      </c>
      <c r="R605" s="21" t="n">
        <f aca="false">L605*Q605</f>
        <v>831.336</v>
      </c>
      <c r="S605" s="18" t="n">
        <f aca="false">L605*INDEX(Parametros!$B$20:$B$22,MATCH($E605,Parametros!$A$20:$A$22,0))</f>
        <v>20.4</v>
      </c>
      <c r="T605" s="18" t="n">
        <f aca="false">P605*INDEX(Parametros!$B$13:$B$16,MATCH($F605,Parametros!$A$13:$A$16,0))</f>
        <v>54.55872</v>
      </c>
      <c r="U605" s="21" t="n">
        <f aca="false">P605-R605-S605-T605</f>
        <v>457.67328</v>
      </c>
      <c r="V605" s="19" t="n">
        <f aca="false">IFERROR(U605/P605,0)</f>
        <v>0.335545467342342</v>
      </c>
      <c r="W605" s="48" t="n">
        <f aca="false">B605+INDEX(Parametros!$C$13:$C$16,MATCH($F605,Parametros!$A$13:$A$16,0))</f>
        <v>45930</v>
      </c>
      <c r="X605" s="31" t="s">
        <v>67</v>
      </c>
      <c r="Y605" s="53" t="n">
        <f aca="false">IF(COUNTIF($A$2:$A605,A605)=1,1,0)</f>
        <v>0</v>
      </c>
    </row>
    <row r="606" customFormat="false" ht="15" hidden="false" customHeight="false" outlineLevel="0" collapsed="false">
      <c r="A606" s="31" t="s">
        <v>562</v>
      </c>
      <c r="B606" s="36" t="n">
        <v>45855</v>
      </c>
      <c r="C606" s="49" t="n">
        <f aca="false">DATE(YEAR(B606),MONTH(B606),1)</f>
        <v>45839</v>
      </c>
      <c r="D606" s="31" t="s">
        <v>201</v>
      </c>
      <c r="E606" s="31" t="s">
        <v>41</v>
      </c>
      <c r="F606" s="31" t="s">
        <v>46</v>
      </c>
      <c r="G606" s="31" t="s">
        <v>62</v>
      </c>
      <c r="H606" s="31" t="s">
        <v>179</v>
      </c>
      <c r="I606" s="32" t="str">
        <f aca="false">INDEX(Productos!$B$2:$B$13,MATCH($H606,Productos!$A$2:$A$13,0))</f>
        <v>Autotaladrante DIN 7504 4,8x38 zincado</v>
      </c>
      <c r="J606" s="32" t="str">
        <f aca="false">INDEX(Productos!$C$2:$C$13,MATCH($H606,Productos!$A$2:$A$13,0))</f>
        <v>Autotaladrante</v>
      </c>
      <c r="K606" s="31" t="s">
        <v>246</v>
      </c>
      <c r="L606" s="46" t="n">
        <v>25</v>
      </c>
      <c r="M606" s="50" t="n">
        <f aca="false">INDEX(Productos!$F$2:$F$13,MATCH($H606,Productos!$A$2:$A$13,0))</f>
        <v>29.5</v>
      </c>
      <c r="N606" s="51" t="n">
        <v>0.16</v>
      </c>
      <c r="O606" s="52" t="n">
        <f aca="false">M606*(1-N606)</f>
        <v>24.78</v>
      </c>
      <c r="P606" s="21" t="n">
        <f aca="false">L606*O606</f>
        <v>619.5</v>
      </c>
      <c r="Q606" s="50" t="n">
        <f aca="false">INDEX(Productos!$E$2:$E$13,MATCH($H606,Productos!$A$2:$A$13,0))*INDEX(Parametros!$B$26:$B$43,MATCH($C606,Parametros!$A$26:$A$43,0))</f>
        <v>15.7168</v>
      </c>
      <c r="R606" s="21" t="n">
        <f aca="false">L606*Q606</f>
        <v>392.92</v>
      </c>
      <c r="S606" s="18" t="n">
        <f aca="false">L606*INDEX(Parametros!$B$20:$B$22,MATCH($E606,Parametros!$A$20:$A$22,0))</f>
        <v>21.25</v>
      </c>
      <c r="T606" s="18" t="n">
        <f aca="false">P606*INDEX(Parametros!$B$13:$B$16,MATCH($F606,Parametros!$A$13:$A$16,0))</f>
        <v>24.78</v>
      </c>
      <c r="U606" s="21" t="n">
        <f aca="false">P606-R606-S606-T606</f>
        <v>180.55</v>
      </c>
      <c r="V606" s="19" t="n">
        <f aca="false">IFERROR(U606/P606,0)</f>
        <v>0.291444713478612</v>
      </c>
      <c r="W606" s="48" t="n">
        <f aca="false">B606+INDEX(Parametros!$C$13:$C$16,MATCH($F606,Parametros!$A$13:$A$16,0))</f>
        <v>45930</v>
      </c>
      <c r="X606" s="31" t="s">
        <v>67</v>
      </c>
      <c r="Y606" s="53" t="n">
        <f aca="false">IF(COUNTIF($A$2:$A606,A606)=1,1,0)</f>
        <v>1</v>
      </c>
    </row>
    <row r="607" customFormat="false" ht="15" hidden="false" customHeight="false" outlineLevel="0" collapsed="false">
      <c r="A607" s="31" t="s">
        <v>563</v>
      </c>
      <c r="B607" s="36" t="n">
        <v>45856</v>
      </c>
      <c r="C607" s="49" t="n">
        <f aca="false">DATE(YEAR(B607),MONTH(B607),1)</f>
        <v>45839</v>
      </c>
      <c r="D607" s="31" t="s">
        <v>197</v>
      </c>
      <c r="E607" s="31" t="s">
        <v>41</v>
      </c>
      <c r="F607" s="31" t="s">
        <v>46</v>
      </c>
      <c r="G607" s="31" t="s">
        <v>58</v>
      </c>
      <c r="H607" s="31" t="s">
        <v>167</v>
      </c>
      <c r="I607" s="32" t="str">
        <f aca="false">INDEX(Productos!$B$2:$B$13,MATCH($H607,Productos!$A$2:$A$13,0))</f>
        <v>Tornillo DIN 912 M6x25 Allen zincado</v>
      </c>
      <c r="J607" s="32" t="str">
        <f aca="false">INDEX(Productos!$C$2:$C$13,MATCH($H607,Productos!$A$2:$A$13,0))</f>
        <v>Métrica</v>
      </c>
      <c r="K607" s="31" t="s">
        <v>246</v>
      </c>
      <c r="L607" s="46" t="n">
        <v>204</v>
      </c>
      <c r="M607" s="50" t="n">
        <f aca="false">INDEX(Productos!$F$2:$F$13,MATCH($H607,Productos!$A$2:$A$13,0))</f>
        <v>42</v>
      </c>
      <c r="N607" s="51" t="n">
        <v>0.17</v>
      </c>
      <c r="O607" s="52" t="n">
        <f aca="false">M607*(1-N607)</f>
        <v>34.86</v>
      </c>
      <c r="P607" s="21" t="n">
        <f aca="false">L607*O607</f>
        <v>7111.44</v>
      </c>
      <c r="Q607" s="50" t="n">
        <f aca="false">INDEX(Productos!$E$2:$E$13,MATCH($H607,Productos!$A$2:$A$13,0))*INDEX(Parametros!$B$26:$B$43,MATCH($C607,Parametros!$A$26:$A$43,0))</f>
        <v>22.5412</v>
      </c>
      <c r="R607" s="21" t="n">
        <f aca="false">L607*Q607</f>
        <v>4598.4048</v>
      </c>
      <c r="S607" s="18" t="n">
        <f aca="false">L607*INDEX(Parametros!$B$20:$B$22,MATCH($E607,Parametros!$A$20:$A$22,0))</f>
        <v>173.4</v>
      </c>
      <c r="T607" s="18" t="n">
        <f aca="false">P607*INDEX(Parametros!$B$13:$B$16,MATCH($F607,Parametros!$A$13:$A$16,0))</f>
        <v>284.4576</v>
      </c>
      <c r="U607" s="21" t="n">
        <f aca="false">P607-R607-S607-T607</f>
        <v>2055.1776</v>
      </c>
      <c r="V607" s="19" t="n">
        <f aca="false">IFERROR(U607/P607,0)</f>
        <v>0.288995983935743</v>
      </c>
      <c r="W607" s="48" t="n">
        <f aca="false">B607+INDEX(Parametros!$C$13:$C$16,MATCH($F607,Parametros!$A$13:$A$16,0))</f>
        <v>45931</v>
      </c>
      <c r="X607" s="31" t="s">
        <v>67</v>
      </c>
      <c r="Y607" s="53" t="n">
        <f aca="false">IF(COUNTIF($A$2:$A607,A607)=1,1,0)</f>
        <v>1</v>
      </c>
    </row>
    <row r="608" customFormat="false" ht="15" hidden="false" customHeight="false" outlineLevel="0" collapsed="false">
      <c r="A608" s="31" t="s">
        <v>564</v>
      </c>
      <c r="B608" s="36" t="n">
        <v>45856</v>
      </c>
      <c r="C608" s="49" t="n">
        <f aca="false">DATE(YEAR(B608),MONTH(B608),1)</f>
        <v>45839</v>
      </c>
      <c r="D608" s="31" t="s">
        <v>198</v>
      </c>
      <c r="E608" s="31" t="s">
        <v>41</v>
      </c>
      <c r="F608" s="31" t="s">
        <v>46</v>
      </c>
      <c r="G608" s="31" t="s">
        <v>58</v>
      </c>
      <c r="H608" s="31" t="s">
        <v>167</v>
      </c>
      <c r="I608" s="32" t="str">
        <f aca="false">INDEX(Productos!$B$2:$B$13,MATCH($H608,Productos!$A$2:$A$13,0))</f>
        <v>Tornillo DIN 912 M6x25 Allen zincado</v>
      </c>
      <c r="J608" s="32" t="str">
        <f aca="false">INDEX(Productos!$C$2:$C$13,MATCH($H608,Productos!$A$2:$A$13,0))</f>
        <v>Métrica</v>
      </c>
      <c r="K608" s="31" t="s">
        <v>246</v>
      </c>
      <c r="L608" s="46" t="n">
        <v>145</v>
      </c>
      <c r="M608" s="50" t="n">
        <f aca="false">INDEX(Productos!$F$2:$F$13,MATCH($H608,Productos!$A$2:$A$13,0))</f>
        <v>42</v>
      </c>
      <c r="N608" s="51" t="n">
        <v>0.116</v>
      </c>
      <c r="O608" s="52" t="n">
        <f aca="false">M608*(1-N608)</f>
        <v>37.128</v>
      </c>
      <c r="P608" s="21" t="n">
        <f aca="false">L608*O608</f>
        <v>5383.56</v>
      </c>
      <c r="Q608" s="50" t="n">
        <f aca="false">INDEX(Productos!$E$2:$E$13,MATCH($H608,Productos!$A$2:$A$13,0))*INDEX(Parametros!$B$26:$B$43,MATCH($C608,Parametros!$A$26:$A$43,0))</f>
        <v>22.5412</v>
      </c>
      <c r="R608" s="21" t="n">
        <f aca="false">L608*Q608</f>
        <v>3268.474</v>
      </c>
      <c r="S608" s="18" t="n">
        <f aca="false">L608*INDEX(Parametros!$B$20:$B$22,MATCH($E608,Parametros!$A$20:$A$22,0))</f>
        <v>123.25</v>
      </c>
      <c r="T608" s="18" t="n">
        <f aca="false">P608*INDEX(Parametros!$B$13:$B$16,MATCH($F608,Parametros!$A$13:$A$16,0))</f>
        <v>215.3424</v>
      </c>
      <c r="U608" s="21" t="n">
        <f aca="false">P608-R608-S608-T608</f>
        <v>1776.4936</v>
      </c>
      <c r="V608" s="19" t="n">
        <f aca="false">IFERROR(U608/P608,0)</f>
        <v>0.329984917043741</v>
      </c>
      <c r="W608" s="48" t="n">
        <f aca="false">B608+INDEX(Parametros!$C$13:$C$16,MATCH($F608,Parametros!$A$13:$A$16,0))</f>
        <v>45931</v>
      </c>
      <c r="X608" s="31" t="s">
        <v>67</v>
      </c>
      <c r="Y608" s="53" t="n">
        <f aca="false">IF(COUNTIF($A$2:$A608,A608)=1,1,0)</f>
        <v>1</v>
      </c>
    </row>
    <row r="609" customFormat="false" ht="15" hidden="false" customHeight="false" outlineLevel="0" collapsed="false">
      <c r="A609" s="31" t="s">
        <v>564</v>
      </c>
      <c r="B609" s="36" t="n">
        <v>45856</v>
      </c>
      <c r="C609" s="49" t="n">
        <f aca="false">DATE(YEAR(B609),MONTH(B609),1)</f>
        <v>45839</v>
      </c>
      <c r="D609" s="31" t="s">
        <v>198</v>
      </c>
      <c r="E609" s="31" t="s">
        <v>41</v>
      </c>
      <c r="F609" s="31" t="s">
        <v>46</v>
      </c>
      <c r="G609" s="31" t="s">
        <v>58</v>
      </c>
      <c r="H609" s="31" t="s">
        <v>179</v>
      </c>
      <c r="I609" s="32" t="str">
        <f aca="false">INDEX(Productos!$B$2:$B$13,MATCH($H609,Productos!$A$2:$A$13,0))</f>
        <v>Autotaladrante DIN 7504 4,8x38 zincado</v>
      </c>
      <c r="J609" s="32" t="str">
        <f aca="false">INDEX(Productos!$C$2:$C$13,MATCH($H609,Productos!$A$2:$A$13,0))</f>
        <v>Autotaladrante</v>
      </c>
      <c r="K609" s="31" t="s">
        <v>246</v>
      </c>
      <c r="L609" s="46" t="n">
        <v>131</v>
      </c>
      <c r="M609" s="50" t="n">
        <f aca="false">INDEX(Productos!$F$2:$F$13,MATCH($H609,Productos!$A$2:$A$13,0))</f>
        <v>29.5</v>
      </c>
      <c r="N609" s="51" t="n">
        <v>0.17</v>
      </c>
      <c r="O609" s="52" t="n">
        <f aca="false">M609*(1-N609)</f>
        <v>24.485</v>
      </c>
      <c r="P609" s="21" t="n">
        <f aca="false">L609*O609</f>
        <v>3207.535</v>
      </c>
      <c r="Q609" s="50" t="n">
        <f aca="false">INDEX(Productos!$E$2:$E$13,MATCH($H609,Productos!$A$2:$A$13,0))*INDEX(Parametros!$B$26:$B$43,MATCH($C609,Parametros!$A$26:$A$43,0))</f>
        <v>15.7168</v>
      </c>
      <c r="R609" s="21" t="n">
        <f aca="false">L609*Q609</f>
        <v>2058.9008</v>
      </c>
      <c r="S609" s="18" t="n">
        <f aca="false">L609*INDEX(Parametros!$B$20:$B$22,MATCH($E609,Parametros!$A$20:$A$22,0))</f>
        <v>111.35</v>
      </c>
      <c r="T609" s="18" t="n">
        <f aca="false">P609*INDEX(Parametros!$B$13:$B$16,MATCH($F609,Parametros!$A$13:$A$16,0))</f>
        <v>128.3014</v>
      </c>
      <c r="U609" s="21" t="n">
        <f aca="false">P609-R609-S609-T609</f>
        <v>908.9828</v>
      </c>
      <c r="V609" s="19" t="n">
        <f aca="false">IFERROR(U609/P609,0)</f>
        <v>0.283389830508475</v>
      </c>
      <c r="W609" s="48" t="n">
        <f aca="false">B609+INDEX(Parametros!$C$13:$C$16,MATCH($F609,Parametros!$A$13:$A$16,0))</f>
        <v>45931</v>
      </c>
      <c r="X609" s="31" t="s">
        <v>67</v>
      </c>
      <c r="Y609" s="53" t="n">
        <f aca="false">IF(COUNTIF($A$2:$A609,A609)=1,1,0)</f>
        <v>0</v>
      </c>
    </row>
    <row r="610" customFormat="false" ht="15" hidden="false" customHeight="false" outlineLevel="0" collapsed="false">
      <c r="A610" s="31" t="s">
        <v>565</v>
      </c>
      <c r="B610" s="36" t="n">
        <v>45859</v>
      </c>
      <c r="C610" s="49" t="n">
        <f aca="false">DATE(YEAR(B610),MONTH(B610),1)</f>
        <v>45839</v>
      </c>
      <c r="D610" s="31" t="s">
        <v>209</v>
      </c>
      <c r="E610" s="31" t="s">
        <v>41</v>
      </c>
      <c r="F610" s="31" t="s">
        <v>45</v>
      </c>
      <c r="G610" s="31" t="s">
        <v>62</v>
      </c>
      <c r="H610" s="31" t="s">
        <v>179</v>
      </c>
      <c r="I610" s="32" t="str">
        <f aca="false">INDEX(Productos!$B$2:$B$13,MATCH($H610,Productos!$A$2:$A$13,0))</f>
        <v>Autotaladrante DIN 7504 4,8x38 zincado</v>
      </c>
      <c r="J610" s="32" t="str">
        <f aca="false">INDEX(Productos!$C$2:$C$13,MATCH($H610,Productos!$A$2:$A$13,0))</f>
        <v>Autotaladrante</v>
      </c>
      <c r="K610" s="31" t="s">
        <v>246</v>
      </c>
      <c r="L610" s="46" t="n">
        <v>299</v>
      </c>
      <c r="M610" s="50" t="n">
        <f aca="false">INDEX(Productos!$F$2:$F$13,MATCH($H610,Productos!$A$2:$A$13,0))</f>
        <v>29.5</v>
      </c>
      <c r="N610" s="51" t="n">
        <v>0.181</v>
      </c>
      <c r="O610" s="52" t="n">
        <f aca="false">M610*(1-N610)</f>
        <v>24.1605</v>
      </c>
      <c r="P610" s="21" t="n">
        <f aca="false">L610*O610</f>
        <v>7223.9895</v>
      </c>
      <c r="Q610" s="50" t="n">
        <f aca="false">INDEX(Productos!$E$2:$E$13,MATCH($H610,Productos!$A$2:$A$13,0))*INDEX(Parametros!$B$26:$B$43,MATCH($C610,Parametros!$A$26:$A$43,0))</f>
        <v>15.7168</v>
      </c>
      <c r="R610" s="21" t="n">
        <f aca="false">L610*Q610</f>
        <v>4699.3232</v>
      </c>
      <c r="S610" s="18" t="n">
        <f aca="false">L610*INDEX(Parametros!$B$20:$B$22,MATCH($E610,Parametros!$A$20:$A$22,0))</f>
        <v>254.15</v>
      </c>
      <c r="T610" s="18" t="n">
        <f aca="false">P610*INDEX(Parametros!$B$13:$B$16,MATCH($F610,Parametros!$A$13:$A$16,0))</f>
        <v>216.719685</v>
      </c>
      <c r="U610" s="21" t="n">
        <f aca="false">P610-R610-S610-T610</f>
        <v>2053.796615</v>
      </c>
      <c r="V610" s="19" t="n">
        <f aca="false">IFERROR(U610/P610,0)</f>
        <v>0.284302270234474</v>
      </c>
      <c r="W610" s="48" t="n">
        <f aca="false">B610+INDEX(Parametros!$C$13:$C$16,MATCH($F610,Parametros!$A$13:$A$16,0))</f>
        <v>45919</v>
      </c>
      <c r="X610" s="31" t="s">
        <v>67</v>
      </c>
      <c r="Y610" s="53" t="n">
        <f aca="false">IF(COUNTIF($A$2:$A610,A610)=1,1,0)</f>
        <v>1</v>
      </c>
    </row>
    <row r="611" customFormat="false" ht="15" hidden="false" customHeight="false" outlineLevel="0" collapsed="false">
      <c r="A611" s="31" t="s">
        <v>565</v>
      </c>
      <c r="B611" s="36" t="n">
        <v>45859</v>
      </c>
      <c r="C611" s="49" t="n">
        <f aca="false">DATE(YEAR(B611),MONTH(B611),1)</f>
        <v>45839</v>
      </c>
      <c r="D611" s="31" t="s">
        <v>209</v>
      </c>
      <c r="E611" s="31" t="s">
        <v>41</v>
      </c>
      <c r="F611" s="31" t="s">
        <v>45</v>
      </c>
      <c r="G611" s="31" t="s">
        <v>62</v>
      </c>
      <c r="H611" s="31" t="s">
        <v>173</v>
      </c>
      <c r="I611" s="32" t="str">
        <f aca="false">INDEX(Productos!$B$2:$B$13,MATCH($H611,Productos!$A$2:$A$13,0))</f>
        <v>Tornillo DIN 933 M12x70 clase 8.8</v>
      </c>
      <c r="J611" s="32" t="str">
        <f aca="false">INDEX(Productos!$C$2:$C$13,MATCH($H611,Productos!$A$2:$A$13,0))</f>
        <v>Métrica</v>
      </c>
      <c r="K611" s="31" t="s">
        <v>246</v>
      </c>
      <c r="L611" s="46" t="n">
        <v>53</v>
      </c>
      <c r="M611" s="50" t="n">
        <f aca="false">INDEX(Productos!$F$2:$F$13,MATCH($H611,Productos!$A$2:$A$13,0))</f>
        <v>64</v>
      </c>
      <c r="N611" s="51" t="n">
        <v>0.212</v>
      </c>
      <c r="O611" s="52" t="n">
        <f aca="false">M611*(1-N611)</f>
        <v>50.432</v>
      </c>
      <c r="P611" s="21" t="n">
        <f aca="false">L611*O611</f>
        <v>2672.896</v>
      </c>
      <c r="Q611" s="50" t="n">
        <f aca="false">INDEX(Productos!$E$2:$E$13,MATCH($H611,Productos!$A$2:$A$13,0))*INDEX(Parametros!$B$26:$B$43,MATCH($C611,Parametros!$A$26:$A$43,0))</f>
        <v>34.639</v>
      </c>
      <c r="R611" s="21" t="n">
        <f aca="false">L611*Q611</f>
        <v>1835.867</v>
      </c>
      <c r="S611" s="18" t="n">
        <f aca="false">L611*INDEX(Parametros!$B$20:$B$22,MATCH($E611,Parametros!$A$20:$A$22,0))</f>
        <v>45.05</v>
      </c>
      <c r="T611" s="18" t="n">
        <f aca="false">P611*INDEX(Parametros!$B$13:$B$16,MATCH($F611,Parametros!$A$13:$A$16,0))</f>
        <v>80.18688</v>
      </c>
      <c r="U611" s="21" t="n">
        <f aca="false">P611-R611-S611-T611</f>
        <v>711.79212</v>
      </c>
      <c r="V611" s="19" t="n">
        <f aca="false">IFERROR(U611/P611,0)</f>
        <v>0.266299968274112</v>
      </c>
      <c r="W611" s="48" t="n">
        <f aca="false">B611+INDEX(Parametros!$C$13:$C$16,MATCH($F611,Parametros!$A$13:$A$16,0))</f>
        <v>45919</v>
      </c>
      <c r="X611" s="31" t="s">
        <v>67</v>
      </c>
      <c r="Y611" s="53" t="n">
        <f aca="false">IF(COUNTIF($A$2:$A611,A611)=1,1,0)</f>
        <v>0</v>
      </c>
    </row>
    <row r="612" customFormat="false" ht="15" hidden="false" customHeight="false" outlineLevel="0" collapsed="false">
      <c r="A612" s="31" t="s">
        <v>565</v>
      </c>
      <c r="B612" s="36" t="n">
        <v>45859</v>
      </c>
      <c r="C612" s="49" t="n">
        <f aca="false">DATE(YEAR(B612),MONTH(B612),1)</f>
        <v>45839</v>
      </c>
      <c r="D612" s="31" t="s">
        <v>209</v>
      </c>
      <c r="E612" s="31" t="s">
        <v>41</v>
      </c>
      <c r="F612" s="31" t="s">
        <v>45</v>
      </c>
      <c r="G612" s="31" t="s">
        <v>62</v>
      </c>
      <c r="H612" s="31" t="s">
        <v>175</v>
      </c>
      <c r="I612" s="32" t="str">
        <f aca="false">INDEX(Productos!$B$2:$B$13,MATCH($H612,Productos!$A$2:$A$13,0))</f>
        <v>Tirafondo madera 5x60 cabeza plana Torx</v>
      </c>
      <c r="J612" s="32" t="str">
        <f aca="false">INDEX(Productos!$C$2:$C$13,MATCH($H612,Productos!$A$2:$A$13,0))</f>
        <v>Madera</v>
      </c>
      <c r="K612" s="31" t="s">
        <v>246</v>
      </c>
      <c r="L612" s="46" t="n">
        <v>106</v>
      </c>
      <c r="M612" s="50" t="n">
        <f aca="false">INDEX(Productos!$F$2:$F$13,MATCH($H612,Productos!$A$2:$A$13,0))</f>
        <v>26</v>
      </c>
      <c r="N612" s="51" t="n">
        <v>0.123</v>
      </c>
      <c r="O612" s="52" t="n">
        <f aca="false">M612*(1-N612)</f>
        <v>22.802</v>
      </c>
      <c r="P612" s="21" t="n">
        <f aca="false">L612*O612</f>
        <v>2417.012</v>
      </c>
      <c r="Q612" s="50" t="n">
        <f aca="false">INDEX(Productos!$E$2:$E$13,MATCH($H612,Productos!$A$2:$A$13,0))*INDEX(Parametros!$B$26:$B$43,MATCH($C612,Parametros!$A$26:$A$43,0))</f>
        <v>13.8556</v>
      </c>
      <c r="R612" s="21" t="n">
        <f aca="false">L612*Q612</f>
        <v>1468.6936</v>
      </c>
      <c r="S612" s="18" t="n">
        <f aca="false">L612*INDEX(Parametros!$B$20:$B$22,MATCH($E612,Parametros!$A$20:$A$22,0))</f>
        <v>90.1</v>
      </c>
      <c r="T612" s="18" t="n">
        <f aca="false">P612*INDEX(Parametros!$B$13:$B$16,MATCH($F612,Parametros!$A$13:$A$16,0))</f>
        <v>72.51036</v>
      </c>
      <c r="U612" s="21" t="n">
        <f aca="false">P612-R612-S612-T612</f>
        <v>785.70804</v>
      </c>
      <c r="V612" s="19" t="n">
        <f aca="false">IFERROR(U612/P612,0)</f>
        <v>0.325074116305587</v>
      </c>
      <c r="W612" s="48" t="n">
        <f aca="false">B612+INDEX(Parametros!$C$13:$C$16,MATCH($F612,Parametros!$A$13:$A$16,0))</f>
        <v>45919</v>
      </c>
      <c r="X612" s="31" t="s">
        <v>67</v>
      </c>
      <c r="Y612" s="53" t="n">
        <f aca="false">IF(COUNTIF($A$2:$A612,A612)=1,1,0)</f>
        <v>0</v>
      </c>
    </row>
    <row r="613" customFormat="false" ht="15" hidden="false" customHeight="false" outlineLevel="0" collapsed="false">
      <c r="A613" s="31" t="s">
        <v>566</v>
      </c>
      <c r="B613" s="36" t="n">
        <v>45859</v>
      </c>
      <c r="C613" s="49" t="n">
        <f aca="false">DATE(YEAR(B613),MONTH(B613),1)</f>
        <v>45839</v>
      </c>
      <c r="D613" s="31" t="s">
        <v>219</v>
      </c>
      <c r="E613" s="31" t="s">
        <v>42</v>
      </c>
      <c r="F613" s="31" t="s">
        <v>45</v>
      </c>
      <c r="G613" s="31" t="s">
        <v>61</v>
      </c>
      <c r="H613" s="31" t="s">
        <v>165</v>
      </c>
      <c r="I613" s="32" t="str">
        <f aca="false">INDEX(Productos!$B$2:$B$13,MATCH($H613,Productos!$A$2:$A$13,0))</f>
        <v>Tornillo DIN 933 M8x40 rosca completa zincado</v>
      </c>
      <c r="J613" s="32" t="str">
        <f aca="false">INDEX(Productos!$C$2:$C$13,MATCH($H613,Productos!$A$2:$A$13,0))</f>
        <v>Métrica</v>
      </c>
      <c r="K613" s="31" t="s">
        <v>246</v>
      </c>
      <c r="L613" s="46" t="n">
        <v>136</v>
      </c>
      <c r="M613" s="50" t="n">
        <f aca="false">INDEX(Productos!$F$2:$F$13,MATCH($H613,Productos!$A$2:$A$13,0))</f>
        <v>37.5</v>
      </c>
      <c r="N613" s="51" t="n">
        <v>0.159</v>
      </c>
      <c r="O613" s="52" t="n">
        <f aca="false">M613*(1-N613)</f>
        <v>31.5375</v>
      </c>
      <c r="P613" s="21" t="n">
        <f aca="false">L613*O613</f>
        <v>4289.1</v>
      </c>
      <c r="Q613" s="50" t="n">
        <f aca="false">INDEX(Productos!$E$2:$E$13,MATCH($H613,Productos!$A$2:$A$13,0))*INDEX(Parametros!$B$26:$B$43,MATCH($C613,Parametros!$A$26:$A$43,0))</f>
        <v>20.0596</v>
      </c>
      <c r="R613" s="21" t="n">
        <f aca="false">L613*Q613</f>
        <v>2728.1056</v>
      </c>
      <c r="S613" s="18" t="n">
        <f aca="false">L613*INDEX(Parametros!$B$20:$B$22,MATCH($E613,Parametros!$A$20:$A$22,0))</f>
        <v>326.4</v>
      </c>
      <c r="T613" s="18" t="n">
        <f aca="false">P613*INDEX(Parametros!$B$13:$B$16,MATCH($F613,Parametros!$A$13:$A$16,0))</f>
        <v>128.673</v>
      </c>
      <c r="U613" s="21" t="n">
        <f aca="false">P613-R613-S613-T613</f>
        <v>1105.9214</v>
      </c>
      <c r="V613" s="19" t="n">
        <f aca="false">IFERROR(U613/P613,0)</f>
        <v>0.257844629409433</v>
      </c>
      <c r="W613" s="48" t="n">
        <f aca="false">B613+INDEX(Parametros!$C$13:$C$16,MATCH($F613,Parametros!$A$13:$A$16,0))</f>
        <v>45919</v>
      </c>
      <c r="X613" s="31" t="s">
        <v>67</v>
      </c>
      <c r="Y613" s="53" t="n">
        <f aca="false">IF(COUNTIF($A$2:$A613,A613)=1,1,0)</f>
        <v>1</v>
      </c>
    </row>
    <row r="614" customFormat="false" ht="15" hidden="false" customHeight="false" outlineLevel="0" collapsed="false">
      <c r="A614" s="31" t="s">
        <v>567</v>
      </c>
      <c r="B614" s="36" t="n">
        <v>45859</v>
      </c>
      <c r="C614" s="49" t="n">
        <f aca="false">DATE(YEAR(B614),MONTH(B614),1)</f>
        <v>45839</v>
      </c>
      <c r="D614" s="31" t="s">
        <v>208</v>
      </c>
      <c r="E614" s="31" t="s">
        <v>41</v>
      </c>
      <c r="F614" s="31" t="s">
        <v>46</v>
      </c>
      <c r="G614" s="31" t="s">
        <v>58</v>
      </c>
      <c r="H614" s="31" t="s">
        <v>163</v>
      </c>
      <c r="I614" s="32" t="str">
        <f aca="false">INDEX(Productos!$B$2:$B$13,MATCH($H614,Productos!$A$2:$A$13,0))</f>
        <v>Tornillo DIN 933 M6x30 rosca completa zincado</v>
      </c>
      <c r="J614" s="32" t="str">
        <f aca="false">INDEX(Productos!$C$2:$C$13,MATCH($H614,Productos!$A$2:$A$13,0))</f>
        <v>Métrica</v>
      </c>
      <c r="K614" s="31" t="s">
        <v>246</v>
      </c>
      <c r="L614" s="46" t="n">
        <v>21</v>
      </c>
      <c r="M614" s="50" t="n">
        <f aca="false">INDEX(Productos!$F$2:$F$13,MATCH($H614,Productos!$A$2:$A$13,0))</f>
        <v>32</v>
      </c>
      <c r="N614" s="51" t="n">
        <v>0.129</v>
      </c>
      <c r="O614" s="52" t="n">
        <f aca="false">M614*(1-N614)</f>
        <v>27.872</v>
      </c>
      <c r="P614" s="21" t="n">
        <f aca="false">L614*O614</f>
        <v>585.312</v>
      </c>
      <c r="Q614" s="50" t="n">
        <f aca="false">INDEX(Productos!$E$2:$E$13,MATCH($H614,Productos!$A$2:$A$13,0))*INDEX(Parametros!$B$26:$B$43,MATCH($C614,Parametros!$A$26:$A$43,0))</f>
        <v>17.1644</v>
      </c>
      <c r="R614" s="21" t="n">
        <f aca="false">L614*Q614</f>
        <v>360.4524</v>
      </c>
      <c r="S614" s="18" t="n">
        <f aca="false">L614*INDEX(Parametros!$B$20:$B$22,MATCH($E614,Parametros!$A$20:$A$22,0))</f>
        <v>17.85</v>
      </c>
      <c r="T614" s="18" t="n">
        <f aca="false">P614*INDEX(Parametros!$B$13:$B$16,MATCH($F614,Parametros!$A$13:$A$16,0))</f>
        <v>23.41248</v>
      </c>
      <c r="U614" s="21" t="n">
        <f aca="false">P614-R614-S614-T614</f>
        <v>183.59712</v>
      </c>
      <c r="V614" s="19" t="n">
        <f aca="false">IFERROR(U614/P614,0)</f>
        <v>0.313673938002296</v>
      </c>
      <c r="W614" s="48" t="n">
        <f aca="false">B614+INDEX(Parametros!$C$13:$C$16,MATCH($F614,Parametros!$A$13:$A$16,0))</f>
        <v>45934</v>
      </c>
      <c r="X614" s="31" t="s">
        <v>67</v>
      </c>
      <c r="Y614" s="53" t="n">
        <f aca="false">IF(COUNTIF($A$2:$A614,A614)=1,1,0)</f>
        <v>1</v>
      </c>
    </row>
    <row r="615" customFormat="false" ht="15" hidden="false" customHeight="false" outlineLevel="0" collapsed="false">
      <c r="A615" s="31" t="s">
        <v>567</v>
      </c>
      <c r="B615" s="36" t="n">
        <v>45859</v>
      </c>
      <c r="C615" s="49" t="n">
        <f aca="false">DATE(YEAR(B615),MONTH(B615),1)</f>
        <v>45839</v>
      </c>
      <c r="D615" s="31" t="s">
        <v>208</v>
      </c>
      <c r="E615" s="31" t="s">
        <v>41</v>
      </c>
      <c r="F615" s="31" t="s">
        <v>46</v>
      </c>
      <c r="G615" s="31" t="s">
        <v>58</v>
      </c>
      <c r="H615" s="31" t="s">
        <v>179</v>
      </c>
      <c r="I615" s="32" t="str">
        <f aca="false">INDEX(Productos!$B$2:$B$13,MATCH($H615,Productos!$A$2:$A$13,0))</f>
        <v>Autotaladrante DIN 7504 4,8x38 zincado</v>
      </c>
      <c r="J615" s="32" t="str">
        <f aca="false">INDEX(Productos!$C$2:$C$13,MATCH($H615,Productos!$A$2:$A$13,0))</f>
        <v>Autotaladrante</v>
      </c>
      <c r="K615" s="31" t="s">
        <v>246</v>
      </c>
      <c r="L615" s="46" t="n">
        <v>117</v>
      </c>
      <c r="M615" s="50" t="n">
        <f aca="false">INDEX(Productos!$F$2:$F$13,MATCH($H615,Productos!$A$2:$A$13,0))</f>
        <v>29.5</v>
      </c>
      <c r="N615" s="51" t="n">
        <v>0.109</v>
      </c>
      <c r="O615" s="52" t="n">
        <f aca="false">M615*(1-N615)</f>
        <v>26.2845</v>
      </c>
      <c r="P615" s="21" t="n">
        <f aca="false">L615*O615</f>
        <v>3075.2865</v>
      </c>
      <c r="Q615" s="50" t="n">
        <f aca="false">INDEX(Productos!$E$2:$E$13,MATCH($H615,Productos!$A$2:$A$13,0))*INDEX(Parametros!$B$26:$B$43,MATCH($C615,Parametros!$A$26:$A$43,0))</f>
        <v>15.7168</v>
      </c>
      <c r="R615" s="21" t="n">
        <f aca="false">L615*Q615</f>
        <v>1838.8656</v>
      </c>
      <c r="S615" s="18" t="n">
        <f aca="false">L615*INDEX(Parametros!$B$20:$B$22,MATCH($E615,Parametros!$A$20:$A$22,0))</f>
        <v>99.45</v>
      </c>
      <c r="T615" s="18" t="n">
        <f aca="false">P615*INDEX(Parametros!$B$13:$B$16,MATCH($F615,Parametros!$A$13:$A$16,0))</f>
        <v>123.01146</v>
      </c>
      <c r="U615" s="21" t="n">
        <f aca="false">P615-R615-S615-T615</f>
        <v>1013.95944</v>
      </c>
      <c r="V615" s="19" t="n">
        <f aca="false">IFERROR(U615/P615,0)</f>
        <v>0.329712187791284</v>
      </c>
      <c r="W615" s="48" t="n">
        <f aca="false">B615+INDEX(Parametros!$C$13:$C$16,MATCH($F615,Parametros!$A$13:$A$16,0))</f>
        <v>45934</v>
      </c>
      <c r="X615" s="31" t="s">
        <v>67</v>
      </c>
      <c r="Y615" s="53" t="n">
        <f aca="false">IF(COUNTIF($A$2:$A615,A615)=1,1,0)</f>
        <v>0</v>
      </c>
    </row>
    <row r="616" customFormat="false" ht="15" hidden="false" customHeight="false" outlineLevel="0" collapsed="false">
      <c r="A616" s="31" t="s">
        <v>568</v>
      </c>
      <c r="B616" s="36" t="n">
        <v>45859</v>
      </c>
      <c r="C616" s="49" t="n">
        <f aca="false">DATE(YEAR(B616),MONTH(B616),1)</f>
        <v>45839</v>
      </c>
      <c r="D616" s="31" t="s">
        <v>213</v>
      </c>
      <c r="E616" s="31" t="s">
        <v>42</v>
      </c>
      <c r="F616" s="31" t="s">
        <v>46</v>
      </c>
      <c r="G616" s="31" t="s">
        <v>61</v>
      </c>
      <c r="H616" s="31" t="s">
        <v>177</v>
      </c>
      <c r="I616" s="32" t="str">
        <f aca="false">INDEX(Productos!$B$2:$B$13,MATCH($H616,Productos!$A$2:$A$13,0))</f>
        <v>Tirafondo madera 6x100 cabeza plana Torx</v>
      </c>
      <c r="J616" s="32" t="str">
        <f aca="false">INDEX(Productos!$C$2:$C$13,MATCH($H616,Productos!$A$2:$A$13,0))</f>
        <v>Madera</v>
      </c>
      <c r="K616" s="31" t="s">
        <v>246</v>
      </c>
      <c r="L616" s="46" t="n">
        <v>85</v>
      </c>
      <c r="M616" s="50" t="n">
        <f aca="false">INDEX(Productos!$F$2:$F$13,MATCH($H616,Productos!$A$2:$A$13,0))</f>
        <v>34</v>
      </c>
      <c r="N616" s="51" t="n">
        <v>0.101</v>
      </c>
      <c r="O616" s="52" t="n">
        <f aca="false">M616*(1-N616)</f>
        <v>30.566</v>
      </c>
      <c r="P616" s="21" t="n">
        <f aca="false">L616*O616</f>
        <v>2598.11</v>
      </c>
      <c r="Q616" s="50" t="n">
        <f aca="false">INDEX(Productos!$E$2:$E$13,MATCH($H616,Productos!$A$2:$A$13,0))*INDEX(Parametros!$B$26:$B$43,MATCH($C616,Parametros!$A$26:$A$43,0))</f>
        <v>18.4052</v>
      </c>
      <c r="R616" s="21" t="n">
        <f aca="false">L616*Q616</f>
        <v>1564.442</v>
      </c>
      <c r="S616" s="18" t="n">
        <f aca="false">L616*INDEX(Parametros!$B$20:$B$22,MATCH($E616,Parametros!$A$20:$A$22,0))</f>
        <v>204</v>
      </c>
      <c r="T616" s="18" t="n">
        <f aca="false">P616*INDEX(Parametros!$B$13:$B$16,MATCH($F616,Parametros!$A$13:$A$16,0))</f>
        <v>103.9244</v>
      </c>
      <c r="U616" s="21" t="n">
        <f aca="false">P616-R616-S616-T616</f>
        <v>725.7436</v>
      </c>
      <c r="V616" s="19" t="n">
        <f aca="false">IFERROR(U616/P616,0)</f>
        <v>0.279335209055814</v>
      </c>
      <c r="W616" s="48" t="n">
        <f aca="false">B616+INDEX(Parametros!$C$13:$C$16,MATCH($F616,Parametros!$A$13:$A$16,0))</f>
        <v>45934</v>
      </c>
      <c r="X616" s="31" t="s">
        <v>67</v>
      </c>
      <c r="Y616" s="53" t="n">
        <f aca="false">IF(COUNTIF($A$2:$A616,A616)=1,1,0)</f>
        <v>1</v>
      </c>
    </row>
    <row r="617" customFormat="false" ht="15" hidden="false" customHeight="false" outlineLevel="0" collapsed="false">
      <c r="A617" s="31" t="s">
        <v>569</v>
      </c>
      <c r="B617" s="36" t="n">
        <v>45859</v>
      </c>
      <c r="C617" s="49" t="n">
        <f aca="false">DATE(YEAR(B617),MONTH(B617),1)</f>
        <v>45839</v>
      </c>
      <c r="D617" s="31" t="s">
        <v>207</v>
      </c>
      <c r="E617" s="31" t="s">
        <v>41</v>
      </c>
      <c r="F617" s="31" t="s">
        <v>47</v>
      </c>
      <c r="G617" s="31" t="s">
        <v>62</v>
      </c>
      <c r="H617" s="31" t="s">
        <v>169</v>
      </c>
      <c r="I617" s="32" t="str">
        <f aca="false">INDEX(Productos!$B$2:$B$13,MATCH($H617,Productos!$A$2:$A$13,0))</f>
        <v>Tornillo DIN 912 M10x60 Allen inox A2</v>
      </c>
      <c r="J617" s="32" t="str">
        <f aca="false">INDEX(Productos!$C$2:$C$13,MATCH($H617,Productos!$A$2:$A$13,0))</f>
        <v>Inoxidable</v>
      </c>
      <c r="K617" s="31" t="s">
        <v>246</v>
      </c>
      <c r="L617" s="46" t="n">
        <v>67</v>
      </c>
      <c r="M617" s="50" t="n">
        <f aca="false">INDEX(Productos!$F$2:$F$13,MATCH($H617,Productos!$A$2:$A$13,0))</f>
        <v>79</v>
      </c>
      <c r="N617" s="51" t="n">
        <v>0.061</v>
      </c>
      <c r="O617" s="52" t="n">
        <f aca="false">M617*(1-N617)</f>
        <v>74.181</v>
      </c>
      <c r="P617" s="21" t="n">
        <f aca="false">L617*O617</f>
        <v>4970.127</v>
      </c>
      <c r="Q617" s="50" t="n">
        <f aca="false">INDEX(Productos!$E$2:$E$13,MATCH($H617,Productos!$A$2:$A$13,0))*INDEX(Parametros!$B$26:$B$43,MATCH($C617,Parametros!$A$26:$A$43,0))</f>
        <v>43.428</v>
      </c>
      <c r="R617" s="21" t="n">
        <f aca="false">L617*Q617</f>
        <v>2909.676</v>
      </c>
      <c r="S617" s="18" t="n">
        <f aca="false">L617*INDEX(Parametros!$B$20:$B$22,MATCH($E617,Parametros!$A$20:$A$22,0))</f>
        <v>56.95</v>
      </c>
      <c r="T617" s="18" t="n">
        <f aca="false">P617*INDEX(Parametros!$B$13:$B$16,MATCH($F617,Parametros!$A$13:$A$16,0))</f>
        <v>173.954445</v>
      </c>
      <c r="U617" s="21" t="n">
        <f aca="false">P617-R617-S617-T617</f>
        <v>1829.546555</v>
      </c>
      <c r="V617" s="19" t="n">
        <f aca="false">IFERROR(U617/P617,0)</f>
        <v>0.368108612717542</v>
      </c>
      <c r="W617" s="48" t="n">
        <f aca="false">B617+INDEX(Parametros!$C$13:$C$16,MATCH($F617,Parametros!$A$13:$A$16,0))</f>
        <v>45904</v>
      </c>
      <c r="X617" s="31" t="s">
        <v>67</v>
      </c>
      <c r="Y617" s="53" t="n">
        <f aca="false">IF(COUNTIF($A$2:$A617,A617)=1,1,0)</f>
        <v>1</v>
      </c>
    </row>
    <row r="618" customFormat="false" ht="15" hidden="false" customHeight="false" outlineLevel="0" collapsed="false">
      <c r="A618" s="31" t="s">
        <v>570</v>
      </c>
      <c r="B618" s="36" t="n">
        <v>45860</v>
      </c>
      <c r="C618" s="49" t="n">
        <f aca="false">DATE(YEAR(B618),MONTH(B618),1)</f>
        <v>45839</v>
      </c>
      <c r="D618" s="31" t="s">
        <v>224</v>
      </c>
      <c r="E618" s="31" t="s">
        <v>43</v>
      </c>
      <c r="F618" s="31" t="s">
        <v>45</v>
      </c>
      <c r="G618" s="31" t="s">
        <v>59</v>
      </c>
      <c r="H618" s="31" t="s">
        <v>177</v>
      </c>
      <c r="I618" s="32" t="str">
        <f aca="false">INDEX(Productos!$B$2:$B$13,MATCH($H618,Productos!$A$2:$A$13,0))</f>
        <v>Tirafondo madera 6x100 cabeza plana Torx</v>
      </c>
      <c r="J618" s="32" t="str">
        <f aca="false">INDEX(Productos!$C$2:$C$13,MATCH($H618,Productos!$A$2:$A$13,0))</f>
        <v>Madera</v>
      </c>
      <c r="K618" s="31" t="s">
        <v>246</v>
      </c>
      <c r="L618" s="46" t="n">
        <v>23</v>
      </c>
      <c r="M618" s="50" t="n">
        <f aca="false">INDEX(Productos!$F$2:$F$13,MATCH($H618,Productos!$A$2:$A$13,0))</f>
        <v>34</v>
      </c>
      <c r="N618" s="51" t="n">
        <v>0.123</v>
      </c>
      <c r="O618" s="52" t="n">
        <f aca="false">M618*(1-N618)</f>
        <v>29.818</v>
      </c>
      <c r="P618" s="21" t="n">
        <f aca="false">L618*O618</f>
        <v>685.814</v>
      </c>
      <c r="Q618" s="50" t="n">
        <f aca="false">INDEX(Productos!$E$2:$E$13,MATCH($H618,Productos!$A$2:$A$13,0))*INDEX(Parametros!$B$26:$B$43,MATCH($C618,Parametros!$A$26:$A$43,0))</f>
        <v>18.4052</v>
      </c>
      <c r="R618" s="21" t="n">
        <f aca="false">L618*Q618</f>
        <v>423.3196</v>
      </c>
      <c r="S618" s="18" t="n">
        <f aca="false">L618*INDEX(Parametros!$B$20:$B$22,MATCH($E618,Parametros!$A$20:$A$22,0))</f>
        <v>43.7</v>
      </c>
      <c r="T618" s="18" t="n">
        <f aca="false">P618*INDEX(Parametros!$B$13:$B$16,MATCH($F618,Parametros!$A$13:$A$16,0))</f>
        <v>20.57442</v>
      </c>
      <c r="U618" s="21" t="n">
        <f aca="false">P618-R618-S618-T618</f>
        <v>198.21998</v>
      </c>
      <c r="V618" s="19" t="n">
        <f aca="false">IFERROR(U618/P618,0)</f>
        <v>0.289028774565699</v>
      </c>
      <c r="W618" s="48" t="n">
        <f aca="false">B618+INDEX(Parametros!$C$13:$C$16,MATCH($F618,Parametros!$A$13:$A$16,0))</f>
        <v>45920</v>
      </c>
      <c r="X618" s="31" t="s">
        <v>67</v>
      </c>
      <c r="Y618" s="53" t="n">
        <f aca="false">IF(COUNTIF($A$2:$A618,A618)=1,1,0)</f>
        <v>1</v>
      </c>
    </row>
    <row r="619" customFormat="false" ht="15" hidden="false" customHeight="false" outlineLevel="0" collapsed="false">
      <c r="A619" s="31" t="s">
        <v>570</v>
      </c>
      <c r="B619" s="36" t="n">
        <v>45860</v>
      </c>
      <c r="C619" s="49" t="n">
        <f aca="false">DATE(YEAR(B619),MONTH(B619),1)</f>
        <v>45839</v>
      </c>
      <c r="D619" s="31" t="s">
        <v>224</v>
      </c>
      <c r="E619" s="31" t="s">
        <v>43</v>
      </c>
      <c r="F619" s="31" t="s">
        <v>45</v>
      </c>
      <c r="G619" s="31" t="s">
        <v>59</v>
      </c>
      <c r="H619" s="31" t="s">
        <v>169</v>
      </c>
      <c r="I619" s="32" t="str">
        <f aca="false">INDEX(Productos!$B$2:$B$13,MATCH($H619,Productos!$A$2:$A$13,0))</f>
        <v>Tornillo DIN 912 M10x60 Allen inox A2</v>
      </c>
      <c r="J619" s="32" t="str">
        <f aca="false">INDEX(Productos!$C$2:$C$13,MATCH($H619,Productos!$A$2:$A$13,0))</f>
        <v>Inoxidable</v>
      </c>
      <c r="K619" s="31" t="s">
        <v>246</v>
      </c>
      <c r="L619" s="46" t="n">
        <v>46</v>
      </c>
      <c r="M619" s="50" t="n">
        <f aca="false">INDEX(Productos!$F$2:$F$13,MATCH($H619,Productos!$A$2:$A$13,0))</f>
        <v>79</v>
      </c>
      <c r="N619" s="51" t="n">
        <v>0.125</v>
      </c>
      <c r="O619" s="52" t="n">
        <f aca="false">M619*(1-N619)</f>
        <v>69.125</v>
      </c>
      <c r="P619" s="21" t="n">
        <f aca="false">L619*O619</f>
        <v>3179.75</v>
      </c>
      <c r="Q619" s="50" t="n">
        <f aca="false">INDEX(Productos!$E$2:$E$13,MATCH($H619,Productos!$A$2:$A$13,0))*INDEX(Parametros!$B$26:$B$43,MATCH($C619,Parametros!$A$26:$A$43,0))</f>
        <v>43.428</v>
      </c>
      <c r="R619" s="21" t="n">
        <f aca="false">L619*Q619</f>
        <v>1997.688</v>
      </c>
      <c r="S619" s="18" t="n">
        <f aca="false">L619*INDEX(Parametros!$B$20:$B$22,MATCH($E619,Parametros!$A$20:$A$22,0))</f>
        <v>87.4</v>
      </c>
      <c r="T619" s="18" t="n">
        <f aca="false">P619*INDEX(Parametros!$B$13:$B$16,MATCH($F619,Parametros!$A$13:$A$16,0))</f>
        <v>95.3925</v>
      </c>
      <c r="U619" s="21" t="n">
        <f aca="false">P619-R619-S619-T619</f>
        <v>999.2695</v>
      </c>
      <c r="V619" s="19" t="n">
        <f aca="false">IFERROR(U619/P619,0)</f>
        <v>0.314260397830018</v>
      </c>
      <c r="W619" s="48" t="n">
        <f aca="false">B619+INDEX(Parametros!$C$13:$C$16,MATCH($F619,Parametros!$A$13:$A$16,0))</f>
        <v>45920</v>
      </c>
      <c r="X619" s="31" t="s">
        <v>67</v>
      </c>
      <c r="Y619" s="53" t="n">
        <f aca="false">IF(COUNTIF($A$2:$A619,A619)=1,1,0)</f>
        <v>0</v>
      </c>
    </row>
    <row r="620" customFormat="false" ht="15" hidden="false" customHeight="false" outlineLevel="0" collapsed="false">
      <c r="A620" s="31" t="s">
        <v>571</v>
      </c>
      <c r="B620" s="36" t="n">
        <v>45860</v>
      </c>
      <c r="C620" s="49" t="n">
        <f aca="false">DATE(YEAR(B620),MONTH(B620),1)</f>
        <v>45839</v>
      </c>
      <c r="D620" s="31" t="s">
        <v>195</v>
      </c>
      <c r="E620" s="31" t="s">
        <v>41</v>
      </c>
      <c r="F620" s="31" t="s">
        <v>45</v>
      </c>
      <c r="G620" s="31" t="s">
        <v>58</v>
      </c>
      <c r="H620" s="31" t="s">
        <v>173</v>
      </c>
      <c r="I620" s="32" t="str">
        <f aca="false">INDEX(Productos!$B$2:$B$13,MATCH($H620,Productos!$A$2:$A$13,0))</f>
        <v>Tornillo DIN 933 M12x70 clase 8.8</v>
      </c>
      <c r="J620" s="32" t="str">
        <f aca="false">INDEX(Productos!$C$2:$C$13,MATCH($H620,Productos!$A$2:$A$13,0))</f>
        <v>Métrica</v>
      </c>
      <c r="K620" s="31" t="s">
        <v>246</v>
      </c>
      <c r="L620" s="46" t="n">
        <v>89</v>
      </c>
      <c r="M620" s="50" t="n">
        <f aca="false">INDEX(Productos!$F$2:$F$13,MATCH($H620,Productos!$A$2:$A$13,0))</f>
        <v>64</v>
      </c>
      <c r="N620" s="51" t="n">
        <v>0.177</v>
      </c>
      <c r="O620" s="52" t="n">
        <f aca="false">M620*(1-N620)</f>
        <v>52.672</v>
      </c>
      <c r="P620" s="21" t="n">
        <f aca="false">L620*O620</f>
        <v>4687.808</v>
      </c>
      <c r="Q620" s="50" t="n">
        <f aca="false">INDEX(Productos!$E$2:$E$13,MATCH($H620,Productos!$A$2:$A$13,0))*INDEX(Parametros!$B$26:$B$43,MATCH($C620,Parametros!$A$26:$A$43,0))</f>
        <v>34.639</v>
      </c>
      <c r="R620" s="21" t="n">
        <f aca="false">L620*Q620</f>
        <v>3082.871</v>
      </c>
      <c r="S620" s="18" t="n">
        <f aca="false">L620*INDEX(Parametros!$B$20:$B$22,MATCH($E620,Parametros!$A$20:$A$22,0))</f>
        <v>75.65</v>
      </c>
      <c r="T620" s="18" t="n">
        <f aca="false">P620*INDEX(Parametros!$B$13:$B$16,MATCH($F620,Parametros!$A$13:$A$16,0))</f>
        <v>140.63424</v>
      </c>
      <c r="U620" s="21" t="n">
        <f aca="false">P620-R620-S620-T620</f>
        <v>1388.65276</v>
      </c>
      <c r="V620" s="19" t="n">
        <f aca="false">IFERROR(U620/P620,0)</f>
        <v>0.296226458080194</v>
      </c>
      <c r="W620" s="48" t="n">
        <f aca="false">B620+INDEX(Parametros!$C$13:$C$16,MATCH($F620,Parametros!$A$13:$A$16,0))</f>
        <v>45920</v>
      </c>
      <c r="X620" s="31" t="s">
        <v>67</v>
      </c>
      <c r="Y620" s="53" t="n">
        <f aca="false">IF(COUNTIF($A$2:$A620,A620)=1,1,0)</f>
        <v>1</v>
      </c>
    </row>
    <row r="621" customFormat="false" ht="15" hidden="false" customHeight="false" outlineLevel="0" collapsed="false">
      <c r="A621" s="31" t="s">
        <v>571</v>
      </c>
      <c r="B621" s="36" t="n">
        <v>45860</v>
      </c>
      <c r="C621" s="49" t="n">
        <f aca="false">DATE(YEAR(B621),MONTH(B621),1)</f>
        <v>45839</v>
      </c>
      <c r="D621" s="31" t="s">
        <v>195</v>
      </c>
      <c r="E621" s="31" t="s">
        <v>41</v>
      </c>
      <c r="F621" s="31" t="s">
        <v>45</v>
      </c>
      <c r="G621" s="31" t="s">
        <v>58</v>
      </c>
      <c r="H621" s="31" t="s">
        <v>177</v>
      </c>
      <c r="I621" s="32" t="str">
        <f aca="false">INDEX(Productos!$B$2:$B$13,MATCH($H621,Productos!$A$2:$A$13,0))</f>
        <v>Tirafondo madera 6x100 cabeza plana Torx</v>
      </c>
      <c r="J621" s="32" t="str">
        <f aca="false">INDEX(Productos!$C$2:$C$13,MATCH($H621,Productos!$A$2:$A$13,0))</f>
        <v>Madera</v>
      </c>
      <c r="K621" s="31" t="s">
        <v>246</v>
      </c>
      <c r="L621" s="46" t="n">
        <v>65</v>
      </c>
      <c r="M621" s="50" t="n">
        <f aca="false">INDEX(Productos!$F$2:$F$13,MATCH($H621,Productos!$A$2:$A$13,0))</f>
        <v>34</v>
      </c>
      <c r="N621" s="51" t="n">
        <v>0.141</v>
      </c>
      <c r="O621" s="52" t="n">
        <f aca="false">M621*(1-N621)</f>
        <v>29.206</v>
      </c>
      <c r="P621" s="21" t="n">
        <f aca="false">L621*O621</f>
        <v>1898.39</v>
      </c>
      <c r="Q621" s="50" t="n">
        <f aca="false">INDEX(Productos!$E$2:$E$13,MATCH($H621,Productos!$A$2:$A$13,0))*INDEX(Parametros!$B$26:$B$43,MATCH($C621,Parametros!$A$26:$A$43,0))</f>
        <v>18.4052</v>
      </c>
      <c r="R621" s="21" t="n">
        <f aca="false">L621*Q621</f>
        <v>1196.338</v>
      </c>
      <c r="S621" s="18" t="n">
        <f aca="false">L621*INDEX(Parametros!$B$20:$B$22,MATCH($E621,Parametros!$A$20:$A$22,0))</f>
        <v>55.25</v>
      </c>
      <c r="T621" s="18" t="n">
        <f aca="false">P621*INDEX(Parametros!$B$13:$B$16,MATCH($F621,Parametros!$A$13:$A$16,0))</f>
        <v>56.9517</v>
      </c>
      <c r="U621" s="21" t="n">
        <f aca="false">P621-R621-S621-T621</f>
        <v>589.8503</v>
      </c>
      <c r="V621" s="19" t="n">
        <f aca="false">IFERROR(U621/P621,0)</f>
        <v>0.310710812846675</v>
      </c>
      <c r="W621" s="48" t="n">
        <f aca="false">B621+INDEX(Parametros!$C$13:$C$16,MATCH($F621,Parametros!$A$13:$A$16,0))</f>
        <v>45920</v>
      </c>
      <c r="X621" s="31" t="s">
        <v>67</v>
      </c>
      <c r="Y621" s="53" t="n">
        <f aca="false">IF(COUNTIF($A$2:$A621,A621)=1,1,0)</f>
        <v>0</v>
      </c>
    </row>
    <row r="622" customFormat="false" ht="15" hidden="false" customHeight="false" outlineLevel="0" collapsed="false">
      <c r="A622" s="31" t="s">
        <v>571</v>
      </c>
      <c r="B622" s="36" t="n">
        <v>45860</v>
      </c>
      <c r="C622" s="49" t="n">
        <f aca="false">DATE(YEAR(B622),MONTH(B622),1)</f>
        <v>45839</v>
      </c>
      <c r="D622" s="31" t="s">
        <v>195</v>
      </c>
      <c r="E622" s="31" t="s">
        <v>41</v>
      </c>
      <c r="F622" s="31" t="s">
        <v>45</v>
      </c>
      <c r="G622" s="31" t="s">
        <v>58</v>
      </c>
      <c r="H622" s="31" t="s">
        <v>171</v>
      </c>
      <c r="I622" s="32" t="str">
        <f aca="false">INDEX(Productos!$B$2:$B$13,MATCH($H622,Productos!$A$2:$A$13,0))</f>
        <v>Tornillo DIN 7991 M8x30 avellanado inox A2</v>
      </c>
      <c r="J622" s="32" t="str">
        <f aca="false">INDEX(Productos!$C$2:$C$13,MATCH($H622,Productos!$A$2:$A$13,0))</f>
        <v>Inoxidable</v>
      </c>
      <c r="K622" s="31" t="s">
        <v>246</v>
      </c>
      <c r="L622" s="46" t="n">
        <v>129</v>
      </c>
      <c r="M622" s="50" t="n">
        <f aca="false">INDEX(Productos!$F$2:$F$13,MATCH($H622,Productos!$A$2:$A$13,0))</f>
        <v>88</v>
      </c>
      <c r="N622" s="51" t="n">
        <v>0.151</v>
      </c>
      <c r="O622" s="52" t="n">
        <f aca="false">M622*(1-N622)</f>
        <v>74.712</v>
      </c>
      <c r="P622" s="21" t="n">
        <f aca="false">L622*O622</f>
        <v>9637.848</v>
      </c>
      <c r="Q622" s="50" t="n">
        <f aca="false">INDEX(Productos!$E$2:$E$13,MATCH($H622,Productos!$A$2:$A$13,0))*INDEX(Parametros!$B$26:$B$43,MATCH($C622,Parametros!$A$26:$A$43,0))</f>
        <v>48.081</v>
      </c>
      <c r="R622" s="21" t="n">
        <f aca="false">L622*Q622</f>
        <v>6202.449</v>
      </c>
      <c r="S622" s="18" t="n">
        <f aca="false">L622*INDEX(Parametros!$B$20:$B$22,MATCH($E622,Parametros!$A$20:$A$22,0))</f>
        <v>109.65</v>
      </c>
      <c r="T622" s="18" t="n">
        <f aca="false">P622*INDEX(Parametros!$B$13:$B$16,MATCH($F622,Parametros!$A$13:$A$16,0))</f>
        <v>289.13544</v>
      </c>
      <c r="U622" s="21" t="n">
        <f aca="false">P622-R622-S622-T622</f>
        <v>3036.61356</v>
      </c>
      <c r="V622" s="19" t="n">
        <f aca="false">IFERROR(U622/P622,0)</f>
        <v>0.315071742156548</v>
      </c>
      <c r="W622" s="48" t="n">
        <f aca="false">B622+INDEX(Parametros!$C$13:$C$16,MATCH($F622,Parametros!$A$13:$A$16,0))</f>
        <v>45920</v>
      </c>
      <c r="X622" s="31" t="s">
        <v>67</v>
      </c>
      <c r="Y622" s="53" t="n">
        <f aca="false">IF(COUNTIF($A$2:$A622,A622)=1,1,0)</f>
        <v>0</v>
      </c>
    </row>
    <row r="623" customFormat="false" ht="15" hidden="false" customHeight="false" outlineLevel="0" collapsed="false">
      <c r="A623" s="31" t="s">
        <v>572</v>
      </c>
      <c r="B623" s="36" t="n">
        <v>45861</v>
      </c>
      <c r="C623" s="49" t="n">
        <f aca="false">DATE(YEAR(B623),MONTH(B623),1)</f>
        <v>45839</v>
      </c>
      <c r="D623" s="31" t="s">
        <v>194</v>
      </c>
      <c r="E623" s="31" t="s">
        <v>41</v>
      </c>
      <c r="F623" s="31" t="s">
        <v>46</v>
      </c>
      <c r="G623" s="31" t="s">
        <v>58</v>
      </c>
      <c r="H623" s="31" t="s">
        <v>185</v>
      </c>
      <c r="I623" s="32" t="str">
        <f aca="false">INDEX(Productos!$B$2:$B$13,MATCH($H623,Productos!$A$2:$A$13,0))</f>
        <v>Varilla roscada M10 x 1 m zincada</v>
      </c>
      <c r="J623" s="32" t="str">
        <f aca="false">INDEX(Productos!$C$2:$C$13,MATCH($H623,Productos!$A$2:$A$13,0))</f>
        <v>Especial</v>
      </c>
      <c r="K623" s="31" t="s">
        <v>246</v>
      </c>
      <c r="L623" s="46" t="n">
        <v>28</v>
      </c>
      <c r="M623" s="50" t="n">
        <f aca="false">INDEX(Productos!$F$2:$F$13,MATCH($H623,Productos!$A$2:$A$13,0))</f>
        <v>54</v>
      </c>
      <c r="N623" s="51" t="n">
        <v>0.132</v>
      </c>
      <c r="O623" s="52" t="n">
        <f aca="false">M623*(1-N623)</f>
        <v>46.872</v>
      </c>
      <c r="P623" s="21" t="n">
        <f aca="false">L623*O623</f>
        <v>1312.416</v>
      </c>
      <c r="Q623" s="50" t="n">
        <f aca="false">INDEX(Productos!$E$2:$E$13,MATCH($H623,Productos!$A$2:$A$13,0))*INDEX(Parametros!$B$26:$B$43,MATCH($C623,Parametros!$A$26:$A$43,0))</f>
        <v>29.469</v>
      </c>
      <c r="R623" s="21" t="n">
        <f aca="false">L623*Q623</f>
        <v>825.132</v>
      </c>
      <c r="S623" s="18" t="n">
        <f aca="false">L623*INDEX(Parametros!$B$20:$B$22,MATCH($E623,Parametros!$A$20:$A$22,0))</f>
        <v>23.8</v>
      </c>
      <c r="T623" s="18" t="n">
        <f aca="false">P623*INDEX(Parametros!$B$13:$B$16,MATCH($F623,Parametros!$A$13:$A$16,0))</f>
        <v>52.49664</v>
      </c>
      <c r="U623" s="21" t="n">
        <f aca="false">P623-R623-S623-T623</f>
        <v>410.98736</v>
      </c>
      <c r="V623" s="19" t="n">
        <f aca="false">IFERROR(U623/P623,0)</f>
        <v>0.313153268475849</v>
      </c>
      <c r="W623" s="48" t="n">
        <f aca="false">B623+INDEX(Parametros!$C$13:$C$16,MATCH($F623,Parametros!$A$13:$A$16,0))</f>
        <v>45936</v>
      </c>
      <c r="X623" s="31" t="s">
        <v>67</v>
      </c>
      <c r="Y623" s="53" t="n">
        <f aca="false">IF(COUNTIF($A$2:$A623,A623)=1,1,0)</f>
        <v>1</v>
      </c>
    </row>
    <row r="624" customFormat="false" ht="15" hidden="false" customHeight="false" outlineLevel="0" collapsed="false">
      <c r="A624" s="31" t="s">
        <v>572</v>
      </c>
      <c r="B624" s="36" t="n">
        <v>45861</v>
      </c>
      <c r="C624" s="49" t="n">
        <f aca="false">DATE(YEAR(B624),MONTH(B624),1)</f>
        <v>45839</v>
      </c>
      <c r="D624" s="31" t="s">
        <v>194</v>
      </c>
      <c r="E624" s="31" t="s">
        <v>41</v>
      </c>
      <c r="F624" s="31" t="s">
        <v>46</v>
      </c>
      <c r="G624" s="31" t="s">
        <v>58</v>
      </c>
      <c r="H624" s="31" t="s">
        <v>171</v>
      </c>
      <c r="I624" s="32" t="str">
        <f aca="false">INDEX(Productos!$B$2:$B$13,MATCH($H624,Productos!$A$2:$A$13,0))</f>
        <v>Tornillo DIN 7991 M8x30 avellanado inox A2</v>
      </c>
      <c r="J624" s="32" t="str">
        <f aca="false">INDEX(Productos!$C$2:$C$13,MATCH($H624,Productos!$A$2:$A$13,0))</f>
        <v>Inoxidable</v>
      </c>
      <c r="K624" s="31" t="s">
        <v>246</v>
      </c>
      <c r="L624" s="46" t="n">
        <v>52</v>
      </c>
      <c r="M624" s="50" t="n">
        <f aca="false">INDEX(Productos!$F$2:$F$13,MATCH($H624,Productos!$A$2:$A$13,0))</f>
        <v>88</v>
      </c>
      <c r="N624" s="51" t="n">
        <v>0.165</v>
      </c>
      <c r="O624" s="52" t="n">
        <f aca="false">M624*(1-N624)</f>
        <v>73.48</v>
      </c>
      <c r="P624" s="21" t="n">
        <f aca="false">L624*O624</f>
        <v>3820.96</v>
      </c>
      <c r="Q624" s="50" t="n">
        <f aca="false">INDEX(Productos!$E$2:$E$13,MATCH($H624,Productos!$A$2:$A$13,0))*INDEX(Parametros!$B$26:$B$43,MATCH($C624,Parametros!$A$26:$A$43,0))</f>
        <v>48.081</v>
      </c>
      <c r="R624" s="21" t="n">
        <f aca="false">L624*Q624</f>
        <v>2500.212</v>
      </c>
      <c r="S624" s="18" t="n">
        <f aca="false">L624*INDEX(Parametros!$B$20:$B$22,MATCH($E624,Parametros!$A$20:$A$22,0))</f>
        <v>44.2</v>
      </c>
      <c r="T624" s="18" t="n">
        <f aca="false">P624*INDEX(Parametros!$B$13:$B$16,MATCH($F624,Parametros!$A$13:$A$16,0))</f>
        <v>152.8384</v>
      </c>
      <c r="U624" s="21" t="n">
        <f aca="false">P624-R624-S624-T624</f>
        <v>1123.7096</v>
      </c>
      <c r="V624" s="19" t="n">
        <f aca="false">IFERROR(U624/P624,0)</f>
        <v>0.294090909090909</v>
      </c>
      <c r="W624" s="48" t="n">
        <f aca="false">B624+INDEX(Parametros!$C$13:$C$16,MATCH($F624,Parametros!$A$13:$A$16,0))</f>
        <v>45936</v>
      </c>
      <c r="X624" s="31" t="s">
        <v>67</v>
      </c>
      <c r="Y624" s="53" t="n">
        <f aca="false">IF(COUNTIF($A$2:$A624,A624)=1,1,0)</f>
        <v>0</v>
      </c>
    </row>
    <row r="625" customFormat="false" ht="15" hidden="false" customHeight="false" outlineLevel="0" collapsed="false">
      <c r="A625" s="31" t="s">
        <v>572</v>
      </c>
      <c r="B625" s="36" t="n">
        <v>45861</v>
      </c>
      <c r="C625" s="49" t="n">
        <f aca="false">DATE(YEAR(B625),MONTH(B625),1)</f>
        <v>45839</v>
      </c>
      <c r="D625" s="31" t="s">
        <v>194</v>
      </c>
      <c r="E625" s="31" t="s">
        <v>41</v>
      </c>
      <c r="F625" s="31" t="s">
        <v>46</v>
      </c>
      <c r="G625" s="31" t="s">
        <v>58</v>
      </c>
      <c r="H625" s="31" t="s">
        <v>177</v>
      </c>
      <c r="I625" s="32" t="str">
        <f aca="false">INDEX(Productos!$B$2:$B$13,MATCH($H625,Productos!$A$2:$A$13,0))</f>
        <v>Tirafondo madera 6x100 cabeza plana Torx</v>
      </c>
      <c r="J625" s="32" t="str">
        <f aca="false">INDEX(Productos!$C$2:$C$13,MATCH($H625,Productos!$A$2:$A$13,0))</f>
        <v>Madera</v>
      </c>
      <c r="K625" s="31" t="s">
        <v>246</v>
      </c>
      <c r="L625" s="46" t="n">
        <v>38</v>
      </c>
      <c r="M625" s="50" t="n">
        <f aca="false">INDEX(Productos!$F$2:$F$13,MATCH($H625,Productos!$A$2:$A$13,0))</f>
        <v>34</v>
      </c>
      <c r="N625" s="51" t="n">
        <v>0.094</v>
      </c>
      <c r="O625" s="52" t="n">
        <f aca="false">M625*(1-N625)</f>
        <v>30.804</v>
      </c>
      <c r="P625" s="21" t="n">
        <f aca="false">L625*O625</f>
        <v>1170.552</v>
      </c>
      <c r="Q625" s="50" t="n">
        <f aca="false">INDEX(Productos!$E$2:$E$13,MATCH($H625,Productos!$A$2:$A$13,0))*INDEX(Parametros!$B$26:$B$43,MATCH($C625,Parametros!$A$26:$A$43,0))</f>
        <v>18.4052</v>
      </c>
      <c r="R625" s="21" t="n">
        <f aca="false">L625*Q625</f>
        <v>699.3976</v>
      </c>
      <c r="S625" s="18" t="n">
        <f aca="false">L625*INDEX(Parametros!$B$20:$B$22,MATCH($E625,Parametros!$A$20:$A$22,0))</f>
        <v>32.3</v>
      </c>
      <c r="T625" s="18" t="n">
        <f aca="false">P625*INDEX(Parametros!$B$13:$B$16,MATCH($F625,Parametros!$A$13:$A$16,0))</f>
        <v>46.82208</v>
      </c>
      <c r="U625" s="21" t="n">
        <f aca="false">P625-R625-S625-T625</f>
        <v>392.03232</v>
      </c>
      <c r="V625" s="19" t="n">
        <f aca="false">IFERROR(U625/P625,0)</f>
        <v>0.334912349045579</v>
      </c>
      <c r="W625" s="48" t="n">
        <f aca="false">B625+INDEX(Parametros!$C$13:$C$16,MATCH($F625,Parametros!$A$13:$A$16,0))</f>
        <v>45936</v>
      </c>
      <c r="X625" s="31" t="s">
        <v>67</v>
      </c>
      <c r="Y625" s="53" t="n">
        <f aca="false">IF(COUNTIF($A$2:$A625,A625)=1,1,0)</f>
        <v>0</v>
      </c>
    </row>
    <row r="626" customFormat="false" ht="15" hidden="false" customHeight="false" outlineLevel="0" collapsed="false">
      <c r="A626" s="31" t="s">
        <v>572</v>
      </c>
      <c r="B626" s="36" t="n">
        <v>45861</v>
      </c>
      <c r="C626" s="49" t="n">
        <f aca="false">DATE(YEAR(B626),MONTH(B626),1)</f>
        <v>45839</v>
      </c>
      <c r="D626" s="31" t="s">
        <v>194</v>
      </c>
      <c r="E626" s="31" t="s">
        <v>41</v>
      </c>
      <c r="F626" s="31" t="s">
        <v>46</v>
      </c>
      <c r="G626" s="31" t="s">
        <v>58</v>
      </c>
      <c r="H626" s="31" t="s">
        <v>179</v>
      </c>
      <c r="I626" s="32" t="str">
        <f aca="false">INDEX(Productos!$B$2:$B$13,MATCH($H626,Productos!$A$2:$A$13,0))</f>
        <v>Autotaladrante DIN 7504 4,8x38 zincado</v>
      </c>
      <c r="J626" s="32" t="str">
        <f aca="false">INDEX(Productos!$C$2:$C$13,MATCH($H626,Productos!$A$2:$A$13,0))</f>
        <v>Autotaladrante</v>
      </c>
      <c r="K626" s="31" t="s">
        <v>246</v>
      </c>
      <c r="L626" s="46" t="n">
        <v>161</v>
      </c>
      <c r="M626" s="50" t="n">
        <f aca="false">INDEX(Productos!$F$2:$F$13,MATCH($H626,Productos!$A$2:$A$13,0))</f>
        <v>29.5</v>
      </c>
      <c r="N626" s="51" t="n">
        <v>0.109</v>
      </c>
      <c r="O626" s="52" t="n">
        <f aca="false">M626*(1-N626)</f>
        <v>26.2845</v>
      </c>
      <c r="P626" s="21" t="n">
        <f aca="false">L626*O626</f>
        <v>4231.8045</v>
      </c>
      <c r="Q626" s="50" t="n">
        <f aca="false">INDEX(Productos!$E$2:$E$13,MATCH($H626,Productos!$A$2:$A$13,0))*INDEX(Parametros!$B$26:$B$43,MATCH($C626,Parametros!$A$26:$A$43,0))</f>
        <v>15.7168</v>
      </c>
      <c r="R626" s="21" t="n">
        <f aca="false">L626*Q626</f>
        <v>2530.4048</v>
      </c>
      <c r="S626" s="18" t="n">
        <f aca="false">L626*INDEX(Parametros!$B$20:$B$22,MATCH($E626,Parametros!$A$20:$A$22,0))</f>
        <v>136.85</v>
      </c>
      <c r="T626" s="18" t="n">
        <f aca="false">P626*INDEX(Parametros!$B$13:$B$16,MATCH($F626,Parametros!$A$13:$A$16,0))</f>
        <v>169.27218</v>
      </c>
      <c r="U626" s="21" t="n">
        <f aca="false">P626-R626-S626-T626</f>
        <v>1395.27752</v>
      </c>
      <c r="V626" s="19" t="n">
        <f aca="false">IFERROR(U626/P626,0)</f>
        <v>0.329712187791284</v>
      </c>
      <c r="W626" s="48" t="n">
        <f aca="false">B626+INDEX(Parametros!$C$13:$C$16,MATCH($F626,Parametros!$A$13:$A$16,0))</f>
        <v>45936</v>
      </c>
      <c r="X626" s="31" t="s">
        <v>67</v>
      </c>
      <c r="Y626" s="53" t="n">
        <f aca="false">IF(COUNTIF($A$2:$A626,A626)=1,1,0)</f>
        <v>0</v>
      </c>
    </row>
    <row r="627" customFormat="false" ht="15" hidden="false" customHeight="false" outlineLevel="0" collapsed="false">
      <c r="A627" s="31" t="s">
        <v>573</v>
      </c>
      <c r="B627" s="36" t="n">
        <v>45861</v>
      </c>
      <c r="C627" s="49" t="n">
        <f aca="false">DATE(YEAR(B627),MONTH(B627),1)</f>
        <v>45839</v>
      </c>
      <c r="D627" s="31" t="s">
        <v>215</v>
      </c>
      <c r="E627" s="31" t="s">
        <v>42</v>
      </c>
      <c r="F627" s="31" t="s">
        <v>46</v>
      </c>
      <c r="G627" s="31" t="s">
        <v>61</v>
      </c>
      <c r="H627" s="31" t="s">
        <v>185</v>
      </c>
      <c r="I627" s="32" t="str">
        <f aca="false">INDEX(Productos!$B$2:$B$13,MATCH($H627,Productos!$A$2:$A$13,0))</f>
        <v>Varilla roscada M10 x 1 m zincada</v>
      </c>
      <c r="J627" s="32" t="str">
        <f aca="false">INDEX(Productos!$C$2:$C$13,MATCH($H627,Productos!$A$2:$A$13,0))</f>
        <v>Especial</v>
      </c>
      <c r="K627" s="31" t="s">
        <v>246</v>
      </c>
      <c r="L627" s="46" t="n">
        <v>75</v>
      </c>
      <c r="M627" s="50" t="n">
        <f aca="false">INDEX(Productos!$F$2:$F$13,MATCH($H627,Productos!$A$2:$A$13,0))</f>
        <v>54</v>
      </c>
      <c r="N627" s="51" t="n">
        <v>0.144</v>
      </c>
      <c r="O627" s="52" t="n">
        <f aca="false">M627*(1-N627)</f>
        <v>46.224</v>
      </c>
      <c r="P627" s="21" t="n">
        <f aca="false">L627*O627</f>
        <v>3466.8</v>
      </c>
      <c r="Q627" s="50" t="n">
        <f aca="false">INDEX(Productos!$E$2:$E$13,MATCH($H627,Productos!$A$2:$A$13,0))*INDEX(Parametros!$B$26:$B$43,MATCH($C627,Parametros!$A$26:$A$43,0))</f>
        <v>29.469</v>
      </c>
      <c r="R627" s="21" t="n">
        <f aca="false">L627*Q627</f>
        <v>2210.175</v>
      </c>
      <c r="S627" s="18" t="n">
        <f aca="false">L627*INDEX(Parametros!$B$20:$B$22,MATCH($E627,Parametros!$A$20:$A$22,0))</f>
        <v>180</v>
      </c>
      <c r="T627" s="18" t="n">
        <f aca="false">P627*INDEX(Parametros!$B$13:$B$16,MATCH($F627,Parametros!$A$13:$A$16,0))</f>
        <v>138.672</v>
      </c>
      <c r="U627" s="21" t="n">
        <f aca="false">P627-R627-S627-T627</f>
        <v>937.953</v>
      </c>
      <c r="V627" s="19" t="n">
        <f aca="false">IFERROR(U627/P627,0)</f>
        <v>0.270552959501558</v>
      </c>
      <c r="W627" s="48" t="n">
        <f aca="false">B627+INDEX(Parametros!$C$13:$C$16,MATCH($F627,Parametros!$A$13:$A$16,0))</f>
        <v>45936</v>
      </c>
      <c r="X627" s="31" t="s">
        <v>67</v>
      </c>
      <c r="Y627" s="53" t="n">
        <f aca="false">IF(COUNTIF($A$2:$A627,A627)=1,1,0)</f>
        <v>1</v>
      </c>
    </row>
    <row r="628" customFormat="false" ht="15" hidden="false" customHeight="false" outlineLevel="0" collapsed="false">
      <c r="A628" s="31" t="s">
        <v>573</v>
      </c>
      <c r="B628" s="36" t="n">
        <v>45861</v>
      </c>
      <c r="C628" s="49" t="n">
        <f aca="false">DATE(YEAR(B628),MONTH(B628),1)</f>
        <v>45839</v>
      </c>
      <c r="D628" s="31" t="s">
        <v>215</v>
      </c>
      <c r="E628" s="31" t="s">
        <v>42</v>
      </c>
      <c r="F628" s="31" t="s">
        <v>46</v>
      </c>
      <c r="G628" s="31" t="s">
        <v>61</v>
      </c>
      <c r="H628" s="31" t="s">
        <v>169</v>
      </c>
      <c r="I628" s="32" t="str">
        <f aca="false">INDEX(Productos!$B$2:$B$13,MATCH($H628,Productos!$A$2:$A$13,0))</f>
        <v>Tornillo DIN 912 M10x60 Allen inox A2</v>
      </c>
      <c r="J628" s="32" t="str">
        <f aca="false">INDEX(Productos!$C$2:$C$13,MATCH($H628,Productos!$A$2:$A$13,0))</f>
        <v>Inoxidable</v>
      </c>
      <c r="K628" s="31" t="s">
        <v>246</v>
      </c>
      <c r="L628" s="46" t="n">
        <v>124</v>
      </c>
      <c r="M628" s="50" t="n">
        <f aca="false">INDEX(Productos!$F$2:$F$13,MATCH($H628,Productos!$A$2:$A$13,0))</f>
        <v>79</v>
      </c>
      <c r="N628" s="51" t="n">
        <v>0.118</v>
      </c>
      <c r="O628" s="52" t="n">
        <f aca="false">M628*(1-N628)</f>
        <v>69.678</v>
      </c>
      <c r="P628" s="21" t="n">
        <f aca="false">L628*O628</f>
        <v>8640.072</v>
      </c>
      <c r="Q628" s="50" t="n">
        <f aca="false">INDEX(Productos!$E$2:$E$13,MATCH($H628,Productos!$A$2:$A$13,0))*INDEX(Parametros!$B$26:$B$43,MATCH($C628,Parametros!$A$26:$A$43,0))</f>
        <v>43.428</v>
      </c>
      <c r="R628" s="21" t="n">
        <f aca="false">L628*Q628</f>
        <v>5385.072</v>
      </c>
      <c r="S628" s="18" t="n">
        <f aca="false">L628*INDEX(Parametros!$B$20:$B$22,MATCH($E628,Parametros!$A$20:$A$22,0))</f>
        <v>297.6</v>
      </c>
      <c r="T628" s="18" t="n">
        <f aca="false">P628*INDEX(Parametros!$B$13:$B$16,MATCH($F628,Parametros!$A$13:$A$16,0))</f>
        <v>345.60288</v>
      </c>
      <c r="U628" s="21" t="n">
        <f aca="false">P628-R628-S628-T628</f>
        <v>2611.79712</v>
      </c>
      <c r="V628" s="19" t="n">
        <f aca="false">IFERROR(U628/P628,0)</f>
        <v>0.302288814259881</v>
      </c>
      <c r="W628" s="48" t="n">
        <f aca="false">B628+INDEX(Parametros!$C$13:$C$16,MATCH($F628,Parametros!$A$13:$A$16,0))</f>
        <v>45936</v>
      </c>
      <c r="X628" s="31" t="s">
        <v>67</v>
      </c>
      <c r="Y628" s="53" t="n">
        <f aca="false">IF(COUNTIF($A$2:$A628,A628)=1,1,0)</f>
        <v>0</v>
      </c>
    </row>
    <row r="629" customFormat="false" ht="15" hidden="false" customHeight="false" outlineLevel="0" collapsed="false">
      <c r="A629" s="31" t="s">
        <v>574</v>
      </c>
      <c r="B629" s="36" t="n">
        <v>45861</v>
      </c>
      <c r="C629" s="49" t="n">
        <f aca="false">DATE(YEAR(B629),MONTH(B629),1)</f>
        <v>45839</v>
      </c>
      <c r="D629" s="31" t="s">
        <v>209</v>
      </c>
      <c r="E629" s="31" t="s">
        <v>41</v>
      </c>
      <c r="F629" s="31" t="s">
        <v>45</v>
      </c>
      <c r="G629" s="31" t="s">
        <v>62</v>
      </c>
      <c r="H629" s="31" t="s">
        <v>179</v>
      </c>
      <c r="I629" s="32" t="str">
        <f aca="false">INDEX(Productos!$B$2:$B$13,MATCH($H629,Productos!$A$2:$A$13,0))</f>
        <v>Autotaladrante DIN 7504 4,8x38 zincado</v>
      </c>
      <c r="J629" s="32" t="str">
        <f aca="false">INDEX(Productos!$C$2:$C$13,MATCH($H629,Productos!$A$2:$A$13,0))</f>
        <v>Autotaladrante</v>
      </c>
      <c r="K629" s="31" t="s">
        <v>246</v>
      </c>
      <c r="L629" s="46" t="n">
        <v>58</v>
      </c>
      <c r="M629" s="50" t="n">
        <f aca="false">INDEX(Productos!$F$2:$F$13,MATCH($H629,Productos!$A$2:$A$13,0))</f>
        <v>29.5</v>
      </c>
      <c r="N629" s="51" t="n">
        <v>0.136</v>
      </c>
      <c r="O629" s="52" t="n">
        <f aca="false">M629*(1-N629)</f>
        <v>25.488</v>
      </c>
      <c r="P629" s="21" t="n">
        <f aca="false">L629*O629</f>
        <v>1478.304</v>
      </c>
      <c r="Q629" s="50" t="n">
        <f aca="false">INDEX(Productos!$E$2:$E$13,MATCH($H629,Productos!$A$2:$A$13,0))*INDEX(Parametros!$B$26:$B$43,MATCH($C629,Parametros!$A$26:$A$43,0))</f>
        <v>15.7168</v>
      </c>
      <c r="R629" s="21" t="n">
        <f aca="false">L629*Q629</f>
        <v>911.5744</v>
      </c>
      <c r="S629" s="18" t="n">
        <f aca="false">L629*INDEX(Parametros!$B$20:$B$22,MATCH($E629,Parametros!$A$20:$A$22,0))</f>
        <v>49.3</v>
      </c>
      <c r="T629" s="18" t="n">
        <f aca="false">P629*INDEX(Parametros!$B$13:$B$16,MATCH($F629,Parametros!$A$13:$A$16,0))</f>
        <v>44.34912</v>
      </c>
      <c r="U629" s="21" t="n">
        <f aca="false">P629-R629-S629-T629</f>
        <v>473.08048</v>
      </c>
      <c r="V629" s="19" t="n">
        <f aca="false">IFERROR(U629/P629,0)</f>
        <v>0.320015693659762</v>
      </c>
      <c r="W629" s="48" t="n">
        <f aca="false">B629+INDEX(Parametros!$C$13:$C$16,MATCH($F629,Parametros!$A$13:$A$16,0))</f>
        <v>45921</v>
      </c>
      <c r="X629" s="31" t="s">
        <v>67</v>
      </c>
      <c r="Y629" s="53" t="n">
        <f aca="false">IF(COUNTIF($A$2:$A629,A629)=1,1,0)</f>
        <v>1</v>
      </c>
    </row>
    <row r="630" customFormat="false" ht="15" hidden="false" customHeight="false" outlineLevel="0" collapsed="false">
      <c r="A630" s="31" t="s">
        <v>575</v>
      </c>
      <c r="B630" s="36" t="n">
        <v>45862</v>
      </c>
      <c r="C630" s="49" t="n">
        <f aca="false">DATE(YEAR(B630),MONTH(B630),1)</f>
        <v>45839</v>
      </c>
      <c r="D630" s="31" t="s">
        <v>217</v>
      </c>
      <c r="E630" s="31" t="s">
        <v>42</v>
      </c>
      <c r="F630" s="31" t="s">
        <v>47</v>
      </c>
      <c r="G630" s="31" t="s">
        <v>61</v>
      </c>
      <c r="H630" s="31" t="s">
        <v>171</v>
      </c>
      <c r="I630" s="32" t="str">
        <f aca="false">INDEX(Productos!$B$2:$B$13,MATCH($H630,Productos!$A$2:$A$13,0))</f>
        <v>Tornillo DIN 7991 M8x30 avellanado inox A2</v>
      </c>
      <c r="J630" s="32" t="str">
        <f aca="false">INDEX(Productos!$C$2:$C$13,MATCH($H630,Productos!$A$2:$A$13,0))</f>
        <v>Inoxidable</v>
      </c>
      <c r="K630" s="31" t="s">
        <v>246</v>
      </c>
      <c r="L630" s="46" t="n">
        <v>17</v>
      </c>
      <c r="M630" s="50" t="n">
        <f aca="false">INDEX(Productos!$F$2:$F$13,MATCH($H630,Productos!$A$2:$A$13,0))</f>
        <v>88</v>
      </c>
      <c r="N630" s="51" t="n">
        <v>0.088</v>
      </c>
      <c r="O630" s="52" t="n">
        <f aca="false">M630*(1-N630)</f>
        <v>80.256</v>
      </c>
      <c r="P630" s="21" t="n">
        <f aca="false">L630*O630</f>
        <v>1364.352</v>
      </c>
      <c r="Q630" s="50" t="n">
        <f aca="false">INDEX(Productos!$E$2:$E$13,MATCH($H630,Productos!$A$2:$A$13,0))*INDEX(Parametros!$B$26:$B$43,MATCH($C630,Parametros!$A$26:$A$43,0))</f>
        <v>48.081</v>
      </c>
      <c r="R630" s="21" t="n">
        <f aca="false">L630*Q630</f>
        <v>817.377</v>
      </c>
      <c r="S630" s="18" t="n">
        <f aca="false">L630*INDEX(Parametros!$B$20:$B$22,MATCH($E630,Parametros!$A$20:$A$22,0))</f>
        <v>40.8</v>
      </c>
      <c r="T630" s="18" t="n">
        <f aca="false">P630*INDEX(Parametros!$B$13:$B$16,MATCH($F630,Parametros!$A$13:$A$16,0))</f>
        <v>47.75232</v>
      </c>
      <c r="U630" s="21" t="n">
        <f aca="false">P630-R630-S630-T630</f>
        <v>458.42268</v>
      </c>
      <c r="V630" s="19" t="n">
        <f aca="false">IFERROR(U630/P630,0)</f>
        <v>0.336000299043062</v>
      </c>
      <c r="W630" s="48" t="n">
        <f aca="false">B630+INDEX(Parametros!$C$13:$C$16,MATCH($F630,Parametros!$A$13:$A$16,0))</f>
        <v>45907</v>
      </c>
      <c r="X630" s="31" t="s">
        <v>67</v>
      </c>
      <c r="Y630" s="53" t="n">
        <f aca="false">IF(COUNTIF($A$2:$A630,A630)=1,1,0)</f>
        <v>1</v>
      </c>
    </row>
    <row r="631" customFormat="false" ht="15" hidden="false" customHeight="false" outlineLevel="0" collapsed="false">
      <c r="A631" s="31" t="s">
        <v>575</v>
      </c>
      <c r="B631" s="36" t="n">
        <v>45862</v>
      </c>
      <c r="C631" s="49" t="n">
        <f aca="false">DATE(YEAR(B631),MONTH(B631),1)</f>
        <v>45839</v>
      </c>
      <c r="D631" s="31" t="s">
        <v>217</v>
      </c>
      <c r="E631" s="31" t="s">
        <v>42</v>
      </c>
      <c r="F631" s="31" t="s">
        <v>47</v>
      </c>
      <c r="G631" s="31" t="s">
        <v>61</v>
      </c>
      <c r="H631" s="31" t="s">
        <v>169</v>
      </c>
      <c r="I631" s="32" t="str">
        <f aca="false">INDEX(Productos!$B$2:$B$13,MATCH($H631,Productos!$A$2:$A$13,0))</f>
        <v>Tornillo DIN 912 M10x60 Allen inox A2</v>
      </c>
      <c r="J631" s="32" t="str">
        <f aca="false">INDEX(Productos!$C$2:$C$13,MATCH($H631,Productos!$A$2:$A$13,0))</f>
        <v>Inoxidable</v>
      </c>
      <c r="K631" s="31" t="s">
        <v>246</v>
      </c>
      <c r="L631" s="46" t="n">
        <v>81</v>
      </c>
      <c r="M631" s="50" t="n">
        <f aca="false">INDEX(Productos!$F$2:$F$13,MATCH($H631,Productos!$A$2:$A$13,0))</f>
        <v>79</v>
      </c>
      <c r="N631" s="51" t="n">
        <v>0.084</v>
      </c>
      <c r="O631" s="52" t="n">
        <f aca="false">M631*(1-N631)</f>
        <v>72.364</v>
      </c>
      <c r="P631" s="21" t="n">
        <f aca="false">L631*O631</f>
        <v>5861.484</v>
      </c>
      <c r="Q631" s="50" t="n">
        <f aca="false">INDEX(Productos!$E$2:$E$13,MATCH($H631,Productos!$A$2:$A$13,0))*INDEX(Parametros!$B$26:$B$43,MATCH($C631,Parametros!$A$26:$A$43,0))</f>
        <v>43.428</v>
      </c>
      <c r="R631" s="21" t="n">
        <f aca="false">L631*Q631</f>
        <v>3517.668</v>
      </c>
      <c r="S631" s="18" t="n">
        <f aca="false">L631*INDEX(Parametros!$B$20:$B$22,MATCH($E631,Parametros!$A$20:$A$22,0))</f>
        <v>194.4</v>
      </c>
      <c r="T631" s="18" t="n">
        <f aca="false">P631*INDEX(Parametros!$B$13:$B$16,MATCH($F631,Parametros!$A$13:$A$16,0))</f>
        <v>205.15194</v>
      </c>
      <c r="U631" s="21" t="n">
        <f aca="false">P631-R631-S631-T631</f>
        <v>1944.26406</v>
      </c>
      <c r="V631" s="19" t="n">
        <f aca="false">IFERROR(U631/P631,0)</f>
        <v>0.331701674865955</v>
      </c>
      <c r="W631" s="48" t="n">
        <f aca="false">B631+INDEX(Parametros!$C$13:$C$16,MATCH($F631,Parametros!$A$13:$A$16,0))</f>
        <v>45907</v>
      </c>
      <c r="X631" s="31" t="s">
        <v>67</v>
      </c>
      <c r="Y631" s="53" t="n">
        <f aca="false">IF(COUNTIF($A$2:$A631,A631)=1,1,0)</f>
        <v>0</v>
      </c>
    </row>
    <row r="632" customFormat="false" ht="15" hidden="false" customHeight="false" outlineLevel="0" collapsed="false">
      <c r="A632" s="31" t="s">
        <v>575</v>
      </c>
      <c r="B632" s="36" t="n">
        <v>45862</v>
      </c>
      <c r="C632" s="49" t="n">
        <f aca="false">DATE(YEAR(B632),MONTH(B632),1)</f>
        <v>45839</v>
      </c>
      <c r="D632" s="31" t="s">
        <v>217</v>
      </c>
      <c r="E632" s="31" t="s">
        <v>42</v>
      </c>
      <c r="F632" s="31" t="s">
        <v>47</v>
      </c>
      <c r="G632" s="31" t="s">
        <v>61</v>
      </c>
      <c r="H632" s="31" t="s">
        <v>165</v>
      </c>
      <c r="I632" s="32" t="str">
        <f aca="false">INDEX(Productos!$B$2:$B$13,MATCH($H632,Productos!$A$2:$A$13,0))</f>
        <v>Tornillo DIN 933 M8x40 rosca completa zincado</v>
      </c>
      <c r="J632" s="32" t="str">
        <f aca="false">INDEX(Productos!$C$2:$C$13,MATCH($H632,Productos!$A$2:$A$13,0))</f>
        <v>Métrica</v>
      </c>
      <c r="K632" s="31" t="s">
        <v>246</v>
      </c>
      <c r="L632" s="46" t="n">
        <v>33</v>
      </c>
      <c r="M632" s="50" t="n">
        <f aca="false">INDEX(Productos!$F$2:$F$13,MATCH($H632,Productos!$A$2:$A$13,0))</f>
        <v>37.5</v>
      </c>
      <c r="N632" s="51" t="n">
        <v>0.082</v>
      </c>
      <c r="O632" s="52" t="n">
        <f aca="false">M632*(1-N632)</f>
        <v>34.425</v>
      </c>
      <c r="P632" s="21" t="n">
        <f aca="false">L632*O632</f>
        <v>1136.025</v>
      </c>
      <c r="Q632" s="50" t="n">
        <f aca="false">INDEX(Productos!$E$2:$E$13,MATCH($H632,Productos!$A$2:$A$13,0))*INDEX(Parametros!$B$26:$B$43,MATCH($C632,Parametros!$A$26:$A$43,0))</f>
        <v>20.0596</v>
      </c>
      <c r="R632" s="21" t="n">
        <f aca="false">L632*Q632</f>
        <v>661.9668</v>
      </c>
      <c r="S632" s="18" t="n">
        <f aca="false">L632*INDEX(Parametros!$B$20:$B$22,MATCH($E632,Parametros!$A$20:$A$22,0))</f>
        <v>79.2</v>
      </c>
      <c r="T632" s="18" t="n">
        <f aca="false">P632*INDEX(Parametros!$B$13:$B$16,MATCH($F632,Parametros!$A$13:$A$16,0))</f>
        <v>39.760875</v>
      </c>
      <c r="U632" s="21" t="n">
        <f aca="false">P632-R632-S632-T632</f>
        <v>355.097325</v>
      </c>
      <c r="V632" s="19" t="n">
        <f aca="false">IFERROR(U632/P632,0)</f>
        <v>0.312578794480755</v>
      </c>
      <c r="W632" s="48" t="n">
        <f aca="false">B632+INDEX(Parametros!$C$13:$C$16,MATCH($F632,Parametros!$A$13:$A$16,0))</f>
        <v>45907</v>
      </c>
      <c r="X632" s="31" t="s">
        <v>67</v>
      </c>
      <c r="Y632" s="53" t="n">
        <f aca="false">IF(COUNTIF($A$2:$A632,A632)=1,1,0)</f>
        <v>0</v>
      </c>
    </row>
    <row r="633" customFormat="false" ht="15" hidden="false" customHeight="false" outlineLevel="0" collapsed="false">
      <c r="A633" s="31" t="s">
        <v>575</v>
      </c>
      <c r="B633" s="36" t="n">
        <v>45862</v>
      </c>
      <c r="C633" s="49" t="n">
        <f aca="false">DATE(YEAR(B633),MONTH(B633),1)</f>
        <v>45839</v>
      </c>
      <c r="D633" s="31" t="s">
        <v>217</v>
      </c>
      <c r="E633" s="31" t="s">
        <v>42</v>
      </c>
      <c r="F633" s="31" t="s">
        <v>47</v>
      </c>
      <c r="G633" s="31" t="s">
        <v>61</v>
      </c>
      <c r="H633" s="31" t="s">
        <v>185</v>
      </c>
      <c r="I633" s="32" t="str">
        <f aca="false">INDEX(Productos!$B$2:$B$13,MATCH($H633,Productos!$A$2:$A$13,0))</f>
        <v>Varilla roscada M10 x 1 m zincada</v>
      </c>
      <c r="J633" s="32" t="str">
        <f aca="false">INDEX(Productos!$C$2:$C$13,MATCH($H633,Productos!$A$2:$A$13,0))</f>
        <v>Especial</v>
      </c>
      <c r="K633" s="31" t="s">
        <v>246</v>
      </c>
      <c r="L633" s="46" t="n">
        <v>30</v>
      </c>
      <c r="M633" s="50" t="n">
        <f aca="false">INDEX(Productos!$F$2:$F$13,MATCH($H633,Productos!$A$2:$A$13,0))</f>
        <v>54</v>
      </c>
      <c r="N633" s="51" t="n">
        <v>0.086</v>
      </c>
      <c r="O633" s="52" t="n">
        <f aca="false">M633*(1-N633)</f>
        <v>49.356</v>
      </c>
      <c r="P633" s="21" t="n">
        <f aca="false">L633*O633</f>
        <v>1480.68</v>
      </c>
      <c r="Q633" s="50" t="n">
        <f aca="false">INDEX(Productos!$E$2:$E$13,MATCH($H633,Productos!$A$2:$A$13,0))*INDEX(Parametros!$B$26:$B$43,MATCH($C633,Parametros!$A$26:$A$43,0))</f>
        <v>29.469</v>
      </c>
      <c r="R633" s="21" t="n">
        <f aca="false">L633*Q633</f>
        <v>884.07</v>
      </c>
      <c r="S633" s="18" t="n">
        <f aca="false">L633*INDEX(Parametros!$B$20:$B$22,MATCH($E633,Parametros!$A$20:$A$22,0))</f>
        <v>72</v>
      </c>
      <c r="T633" s="18" t="n">
        <f aca="false">P633*INDEX(Parametros!$B$13:$B$16,MATCH($F633,Parametros!$A$13:$A$16,0))</f>
        <v>51.8238</v>
      </c>
      <c r="U633" s="21" t="n">
        <f aca="false">P633-R633-S633-T633</f>
        <v>472.7862</v>
      </c>
      <c r="V633" s="19" t="n">
        <f aca="false">IFERROR(U633/P633,0)</f>
        <v>0.319303428154632</v>
      </c>
      <c r="W633" s="48" t="n">
        <f aca="false">B633+INDEX(Parametros!$C$13:$C$16,MATCH($F633,Parametros!$A$13:$A$16,0))</f>
        <v>45907</v>
      </c>
      <c r="X633" s="31" t="s">
        <v>67</v>
      </c>
      <c r="Y633" s="53" t="n">
        <f aca="false">IF(COUNTIF($A$2:$A633,A633)=1,1,0)</f>
        <v>0</v>
      </c>
    </row>
    <row r="634" customFormat="false" ht="15" hidden="false" customHeight="false" outlineLevel="0" collapsed="false">
      <c r="A634" s="31" t="s">
        <v>576</v>
      </c>
      <c r="B634" s="36" t="n">
        <v>45862</v>
      </c>
      <c r="C634" s="49" t="n">
        <f aca="false">DATE(YEAR(B634),MONTH(B634),1)</f>
        <v>45839</v>
      </c>
      <c r="D634" s="31" t="s">
        <v>214</v>
      </c>
      <c r="E634" s="31" t="s">
        <v>42</v>
      </c>
      <c r="F634" s="31" t="s">
        <v>46</v>
      </c>
      <c r="G634" s="31" t="s">
        <v>61</v>
      </c>
      <c r="H634" s="31" t="s">
        <v>185</v>
      </c>
      <c r="I634" s="32" t="str">
        <f aca="false">INDEX(Productos!$B$2:$B$13,MATCH($H634,Productos!$A$2:$A$13,0))</f>
        <v>Varilla roscada M10 x 1 m zincada</v>
      </c>
      <c r="J634" s="32" t="str">
        <f aca="false">INDEX(Productos!$C$2:$C$13,MATCH($H634,Productos!$A$2:$A$13,0))</f>
        <v>Especial</v>
      </c>
      <c r="K634" s="31" t="s">
        <v>246</v>
      </c>
      <c r="L634" s="46" t="n">
        <v>35</v>
      </c>
      <c r="M634" s="50" t="n">
        <f aca="false">INDEX(Productos!$F$2:$F$13,MATCH($H634,Productos!$A$2:$A$13,0))</f>
        <v>54</v>
      </c>
      <c r="N634" s="51" t="n">
        <v>0.113</v>
      </c>
      <c r="O634" s="52" t="n">
        <f aca="false">M634*(1-N634)</f>
        <v>47.898</v>
      </c>
      <c r="P634" s="21" t="n">
        <f aca="false">L634*O634</f>
        <v>1676.43</v>
      </c>
      <c r="Q634" s="50" t="n">
        <f aca="false">INDEX(Productos!$E$2:$E$13,MATCH($H634,Productos!$A$2:$A$13,0))*INDEX(Parametros!$B$26:$B$43,MATCH($C634,Parametros!$A$26:$A$43,0))</f>
        <v>29.469</v>
      </c>
      <c r="R634" s="21" t="n">
        <f aca="false">L634*Q634</f>
        <v>1031.415</v>
      </c>
      <c r="S634" s="18" t="n">
        <f aca="false">L634*INDEX(Parametros!$B$20:$B$22,MATCH($E634,Parametros!$A$20:$A$22,0))</f>
        <v>84</v>
      </c>
      <c r="T634" s="18" t="n">
        <f aca="false">P634*INDEX(Parametros!$B$13:$B$16,MATCH($F634,Parametros!$A$13:$A$16,0))</f>
        <v>67.0572</v>
      </c>
      <c r="U634" s="21" t="n">
        <f aca="false">P634-R634-S634-T634</f>
        <v>493.9578</v>
      </c>
      <c r="V634" s="19" t="n">
        <f aca="false">IFERROR(U634/P634,0)</f>
        <v>0.294648628335212</v>
      </c>
      <c r="W634" s="48" t="n">
        <f aca="false">B634+INDEX(Parametros!$C$13:$C$16,MATCH($F634,Parametros!$A$13:$A$16,0))</f>
        <v>45937</v>
      </c>
      <c r="X634" s="31" t="s">
        <v>67</v>
      </c>
      <c r="Y634" s="53" t="n">
        <f aca="false">IF(COUNTIF($A$2:$A634,A634)=1,1,0)</f>
        <v>1</v>
      </c>
    </row>
    <row r="635" customFormat="false" ht="15" hidden="false" customHeight="false" outlineLevel="0" collapsed="false">
      <c r="A635" s="31" t="s">
        <v>577</v>
      </c>
      <c r="B635" s="36" t="n">
        <v>45863</v>
      </c>
      <c r="C635" s="49" t="n">
        <f aca="false">DATE(YEAR(B635),MONTH(B635),1)</f>
        <v>45839</v>
      </c>
      <c r="D635" s="31" t="s">
        <v>197</v>
      </c>
      <c r="E635" s="31" t="s">
        <v>41</v>
      </c>
      <c r="F635" s="31" t="s">
        <v>46</v>
      </c>
      <c r="G635" s="31" t="s">
        <v>58</v>
      </c>
      <c r="H635" s="31" t="s">
        <v>165</v>
      </c>
      <c r="I635" s="32" t="str">
        <f aca="false">INDEX(Productos!$B$2:$B$13,MATCH($H635,Productos!$A$2:$A$13,0))</f>
        <v>Tornillo DIN 933 M8x40 rosca completa zincado</v>
      </c>
      <c r="J635" s="32" t="str">
        <f aca="false">INDEX(Productos!$C$2:$C$13,MATCH($H635,Productos!$A$2:$A$13,0))</f>
        <v>Métrica</v>
      </c>
      <c r="K635" s="31" t="s">
        <v>246</v>
      </c>
      <c r="L635" s="46" t="n">
        <v>121</v>
      </c>
      <c r="M635" s="50" t="n">
        <f aca="false">INDEX(Productos!$F$2:$F$13,MATCH($H635,Productos!$A$2:$A$13,0))</f>
        <v>37.5</v>
      </c>
      <c r="N635" s="51" t="n">
        <v>0.136</v>
      </c>
      <c r="O635" s="52" t="n">
        <f aca="false">M635*(1-N635)</f>
        <v>32.4</v>
      </c>
      <c r="P635" s="21" t="n">
        <f aca="false">L635*O635</f>
        <v>3920.4</v>
      </c>
      <c r="Q635" s="50" t="n">
        <f aca="false">INDEX(Productos!$E$2:$E$13,MATCH($H635,Productos!$A$2:$A$13,0))*INDEX(Parametros!$B$26:$B$43,MATCH($C635,Parametros!$A$26:$A$43,0))</f>
        <v>20.0596</v>
      </c>
      <c r="R635" s="21" t="n">
        <f aca="false">L635*Q635</f>
        <v>2427.2116</v>
      </c>
      <c r="S635" s="18" t="n">
        <f aca="false">L635*INDEX(Parametros!$B$20:$B$22,MATCH($E635,Parametros!$A$20:$A$22,0))</f>
        <v>102.85</v>
      </c>
      <c r="T635" s="18" t="n">
        <f aca="false">P635*INDEX(Parametros!$B$13:$B$16,MATCH($F635,Parametros!$A$13:$A$16,0))</f>
        <v>156.816</v>
      </c>
      <c r="U635" s="21" t="n">
        <f aca="false">P635-R635-S635-T635</f>
        <v>1233.5224</v>
      </c>
      <c r="V635" s="19" t="n">
        <f aca="false">IFERROR(U635/P635,0)</f>
        <v>0.314641975308642</v>
      </c>
      <c r="W635" s="48" t="n">
        <f aca="false">B635+INDEX(Parametros!$C$13:$C$16,MATCH($F635,Parametros!$A$13:$A$16,0))</f>
        <v>45938</v>
      </c>
      <c r="X635" s="31" t="s">
        <v>67</v>
      </c>
      <c r="Y635" s="53" t="n">
        <f aca="false">IF(COUNTIF($A$2:$A635,A635)=1,1,0)</f>
        <v>1</v>
      </c>
    </row>
    <row r="636" customFormat="false" ht="15" hidden="false" customHeight="false" outlineLevel="0" collapsed="false">
      <c r="A636" s="31" t="s">
        <v>577</v>
      </c>
      <c r="B636" s="36" t="n">
        <v>45863</v>
      </c>
      <c r="C636" s="49" t="n">
        <f aca="false">DATE(YEAR(B636),MONTH(B636),1)</f>
        <v>45839</v>
      </c>
      <c r="D636" s="31" t="s">
        <v>197</v>
      </c>
      <c r="E636" s="31" t="s">
        <v>41</v>
      </c>
      <c r="F636" s="31" t="s">
        <v>46</v>
      </c>
      <c r="G636" s="31" t="s">
        <v>58</v>
      </c>
      <c r="H636" s="31" t="s">
        <v>173</v>
      </c>
      <c r="I636" s="32" t="str">
        <f aca="false">INDEX(Productos!$B$2:$B$13,MATCH($H636,Productos!$A$2:$A$13,0))</f>
        <v>Tornillo DIN 933 M12x70 clase 8.8</v>
      </c>
      <c r="J636" s="32" t="str">
        <f aca="false">INDEX(Productos!$C$2:$C$13,MATCH($H636,Productos!$A$2:$A$13,0))</f>
        <v>Métrica</v>
      </c>
      <c r="K636" s="31" t="s">
        <v>246</v>
      </c>
      <c r="L636" s="46" t="n">
        <v>49</v>
      </c>
      <c r="M636" s="50" t="n">
        <f aca="false">INDEX(Productos!$F$2:$F$13,MATCH($H636,Productos!$A$2:$A$13,0))</f>
        <v>64</v>
      </c>
      <c r="N636" s="51" t="n">
        <v>0.153</v>
      </c>
      <c r="O636" s="52" t="n">
        <f aca="false">M636*(1-N636)</f>
        <v>54.208</v>
      </c>
      <c r="P636" s="21" t="n">
        <f aca="false">L636*O636</f>
        <v>2656.192</v>
      </c>
      <c r="Q636" s="50" t="n">
        <f aca="false">INDEX(Productos!$E$2:$E$13,MATCH($H636,Productos!$A$2:$A$13,0))*INDEX(Parametros!$B$26:$B$43,MATCH($C636,Parametros!$A$26:$A$43,0))</f>
        <v>34.639</v>
      </c>
      <c r="R636" s="21" t="n">
        <f aca="false">L636*Q636</f>
        <v>1697.311</v>
      </c>
      <c r="S636" s="18" t="n">
        <f aca="false">L636*INDEX(Parametros!$B$20:$B$22,MATCH($E636,Parametros!$A$20:$A$22,0))</f>
        <v>41.65</v>
      </c>
      <c r="T636" s="18" t="n">
        <f aca="false">P636*INDEX(Parametros!$B$13:$B$16,MATCH($F636,Parametros!$A$13:$A$16,0))</f>
        <v>106.24768</v>
      </c>
      <c r="U636" s="21" t="n">
        <f aca="false">P636-R636-S636-T636</f>
        <v>810.98332</v>
      </c>
      <c r="V636" s="19" t="n">
        <f aca="false">IFERROR(U636/P636,0)</f>
        <v>0.305318034238489</v>
      </c>
      <c r="W636" s="48" t="n">
        <f aca="false">B636+INDEX(Parametros!$C$13:$C$16,MATCH($F636,Parametros!$A$13:$A$16,0))</f>
        <v>45938</v>
      </c>
      <c r="X636" s="31" t="s">
        <v>69</v>
      </c>
      <c r="Y636" s="53" t="n">
        <f aca="false">IF(COUNTIF($A$2:$A636,A636)=1,1,0)</f>
        <v>0</v>
      </c>
    </row>
    <row r="637" customFormat="false" ht="15" hidden="false" customHeight="false" outlineLevel="0" collapsed="false">
      <c r="A637" s="31" t="s">
        <v>578</v>
      </c>
      <c r="B637" s="36" t="n">
        <v>45863</v>
      </c>
      <c r="C637" s="49" t="n">
        <f aca="false">DATE(YEAR(B637),MONTH(B637),1)</f>
        <v>45839</v>
      </c>
      <c r="D637" s="31" t="s">
        <v>209</v>
      </c>
      <c r="E637" s="31" t="s">
        <v>41</v>
      </c>
      <c r="F637" s="31" t="s">
        <v>45</v>
      </c>
      <c r="G637" s="31" t="s">
        <v>62</v>
      </c>
      <c r="H637" s="31" t="s">
        <v>183</v>
      </c>
      <c r="I637" s="32" t="str">
        <f aca="false">INDEX(Productos!$B$2:$B$13,MATCH($H637,Productos!$A$2:$A$13,0))</f>
        <v>Tornillo estructural M16x90 clase 10.9</v>
      </c>
      <c r="J637" s="32" t="str">
        <f aca="false">INDEX(Productos!$C$2:$C$13,MATCH($H637,Productos!$A$2:$A$13,0))</f>
        <v>Especial</v>
      </c>
      <c r="K637" s="31" t="s">
        <v>246</v>
      </c>
      <c r="L637" s="46" t="n">
        <v>29</v>
      </c>
      <c r="M637" s="50" t="n">
        <f aca="false">INDEX(Productos!$F$2:$F$13,MATCH($H637,Productos!$A$2:$A$13,0))</f>
        <v>112</v>
      </c>
      <c r="N637" s="51" t="n">
        <v>0.204</v>
      </c>
      <c r="O637" s="52" t="n">
        <f aca="false">M637*(1-N637)</f>
        <v>89.152</v>
      </c>
      <c r="P637" s="21" t="n">
        <f aca="false">L637*O637</f>
        <v>2585.408</v>
      </c>
      <c r="Q637" s="50" t="n">
        <f aca="false">INDEX(Productos!$E$2:$E$13,MATCH($H637,Productos!$A$2:$A$13,0))*INDEX(Parametros!$B$26:$B$43,MATCH($C637,Parametros!$A$26:$A$43,0))</f>
        <v>62.04</v>
      </c>
      <c r="R637" s="21" t="n">
        <f aca="false">L637*Q637</f>
        <v>1799.16</v>
      </c>
      <c r="S637" s="18" t="n">
        <f aca="false">L637*INDEX(Parametros!$B$20:$B$22,MATCH($E637,Parametros!$A$20:$A$22,0))</f>
        <v>24.65</v>
      </c>
      <c r="T637" s="18" t="n">
        <f aca="false">P637*INDEX(Parametros!$B$13:$B$16,MATCH($F637,Parametros!$A$13:$A$16,0))</f>
        <v>77.56224</v>
      </c>
      <c r="U637" s="21" t="n">
        <f aca="false">P637-R637-S637-T637</f>
        <v>684.03576</v>
      </c>
      <c r="V637" s="19" t="n">
        <f aca="false">IFERROR(U637/P637,0)</f>
        <v>0.264575556353195</v>
      </c>
      <c r="W637" s="48" t="n">
        <f aca="false">B637+INDEX(Parametros!$C$13:$C$16,MATCH($F637,Parametros!$A$13:$A$16,0))</f>
        <v>45923</v>
      </c>
      <c r="X637" s="31" t="s">
        <v>67</v>
      </c>
      <c r="Y637" s="53" t="n">
        <f aca="false">IF(COUNTIF($A$2:$A637,A637)=1,1,0)</f>
        <v>1</v>
      </c>
    </row>
    <row r="638" customFormat="false" ht="15" hidden="false" customHeight="false" outlineLevel="0" collapsed="false">
      <c r="A638" s="31" t="s">
        <v>579</v>
      </c>
      <c r="B638" s="36" t="n">
        <v>45866</v>
      </c>
      <c r="C638" s="49" t="n">
        <f aca="false">DATE(YEAR(B638),MONTH(B638),1)</f>
        <v>45839</v>
      </c>
      <c r="D638" s="31" t="s">
        <v>193</v>
      </c>
      <c r="E638" s="31" t="s">
        <v>41</v>
      </c>
      <c r="F638" s="31" t="s">
        <v>45</v>
      </c>
      <c r="G638" s="31" t="s">
        <v>62</v>
      </c>
      <c r="H638" s="31" t="s">
        <v>183</v>
      </c>
      <c r="I638" s="32" t="str">
        <f aca="false">INDEX(Productos!$B$2:$B$13,MATCH($H638,Productos!$A$2:$A$13,0))</f>
        <v>Tornillo estructural M16x90 clase 10.9</v>
      </c>
      <c r="J638" s="32" t="str">
        <f aca="false">INDEX(Productos!$C$2:$C$13,MATCH($H638,Productos!$A$2:$A$13,0))</f>
        <v>Especial</v>
      </c>
      <c r="K638" s="31" t="s">
        <v>246</v>
      </c>
      <c r="L638" s="46" t="n">
        <v>82</v>
      </c>
      <c r="M638" s="50" t="n">
        <f aca="false">INDEX(Productos!$F$2:$F$13,MATCH($H638,Productos!$A$2:$A$13,0))</f>
        <v>112</v>
      </c>
      <c r="N638" s="51" t="n">
        <v>0.21</v>
      </c>
      <c r="O638" s="52" t="n">
        <f aca="false">M638*(1-N638)</f>
        <v>88.48</v>
      </c>
      <c r="P638" s="21" t="n">
        <f aca="false">L638*O638</f>
        <v>7255.36</v>
      </c>
      <c r="Q638" s="50" t="n">
        <f aca="false">INDEX(Productos!$E$2:$E$13,MATCH($H638,Productos!$A$2:$A$13,0))*INDEX(Parametros!$B$26:$B$43,MATCH($C638,Parametros!$A$26:$A$43,0))</f>
        <v>62.04</v>
      </c>
      <c r="R638" s="21" t="n">
        <f aca="false">L638*Q638</f>
        <v>5087.28</v>
      </c>
      <c r="S638" s="18" t="n">
        <f aca="false">L638*INDEX(Parametros!$B$20:$B$22,MATCH($E638,Parametros!$A$20:$A$22,0))</f>
        <v>69.7</v>
      </c>
      <c r="T638" s="18" t="n">
        <f aca="false">P638*INDEX(Parametros!$B$13:$B$16,MATCH($F638,Parametros!$A$13:$A$16,0))</f>
        <v>217.6608</v>
      </c>
      <c r="U638" s="21" t="n">
        <f aca="false">P638-R638-S638-T638</f>
        <v>1880.7192</v>
      </c>
      <c r="V638" s="19" t="n">
        <f aca="false">IFERROR(U638/P638,0)</f>
        <v>0.259217902350814</v>
      </c>
      <c r="W638" s="48" t="n">
        <f aca="false">B638+INDEX(Parametros!$C$13:$C$16,MATCH($F638,Parametros!$A$13:$A$16,0))</f>
        <v>45926</v>
      </c>
      <c r="X638" s="31" t="s">
        <v>69</v>
      </c>
      <c r="Y638" s="53" t="n">
        <f aca="false">IF(COUNTIF($A$2:$A638,A638)=1,1,0)</f>
        <v>1</v>
      </c>
    </row>
    <row r="639" customFormat="false" ht="15" hidden="false" customHeight="false" outlineLevel="0" collapsed="false">
      <c r="A639" s="31" t="s">
        <v>579</v>
      </c>
      <c r="B639" s="36" t="n">
        <v>45866</v>
      </c>
      <c r="C639" s="49" t="n">
        <f aca="false">DATE(YEAR(B639),MONTH(B639),1)</f>
        <v>45839</v>
      </c>
      <c r="D639" s="31" t="s">
        <v>193</v>
      </c>
      <c r="E639" s="31" t="s">
        <v>41</v>
      </c>
      <c r="F639" s="31" t="s">
        <v>45</v>
      </c>
      <c r="G639" s="31" t="s">
        <v>62</v>
      </c>
      <c r="H639" s="31" t="s">
        <v>173</v>
      </c>
      <c r="I639" s="32" t="str">
        <f aca="false">INDEX(Productos!$B$2:$B$13,MATCH($H639,Productos!$A$2:$A$13,0))</f>
        <v>Tornillo DIN 933 M12x70 clase 8.8</v>
      </c>
      <c r="J639" s="32" t="str">
        <f aca="false">INDEX(Productos!$C$2:$C$13,MATCH($H639,Productos!$A$2:$A$13,0))</f>
        <v>Métrica</v>
      </c>
      <c r="K639" s="31" t="s">
        <v>246</v>
      </c>
      <c r="L639" s="46" t="n">
        <v>167</v>
      </c>
      <c r="M639" s="50" t="n">
        <f aca="false">INDEX(Productos!$F$2:$F$13,MATCH($H639,Productos!$A$2:$A$13,0))</f>
        <v>64</v>
      </c>
      <c r="N639" s="51" t="n">
        <v>0.139</v>
      </c>
      <c r="O639" s="52" t="n">
        <f aca="false">M639*(1-N639)</f>
        <v>55.104</v>
      </c>
      <c r="P639" s="21" t="n">
        <f aca="false">L639*O639</f>
        <v>9202.368</v>
      </c>
      <c r="Q639" s="50" t="n">
        <f aca="false">INDEX(Productos!$E$2:$E$13,MATCH($H639,Productos!$A$2:$A$13,0))*INDEX(Parametros!$B$26:$B$43,MATCH($C639,Parametros!$A$26:$A$43,0))</f>
        <v>34.639</v>
      </c>
      <c r="R639" s="21" t="n">
        <f aca="false">L639*Q639</f>
        <v>5784.713</v>
      </c>
      <c r="S639" s="18" t="n">
        <f aca="false">L639*INDEX(Parametros!$B$20:$B$22,MATCH($E639,Parametros!$A$20:$A$22,0))</f>
        <v>141.95</v>
      </c>
      <c r="T639" s="18" t="n">
        <f aca="false">P639*INDEX(Parametros!$B$13:$B$16,MATCH($F639,Parametros!$A$13:$A$16,0))</f>
        <v>276.07104</v>
      </c>
      <c r="U639" s="21" t="n">
        <f aca="false">P639-R639-S639-T639</f>
        <v>2999.63396</v>
      </c>
      <c r="V639" s="19" t="n">
        <f aca="false">IFERROR(U639/P639,0)</f>
        <v>0.325963269454123</v>
      </c>
      <c r="W639" s="48" t="n">
        <f aca="false">B639+INDEX(Parametros!$C$13:$C$16,MATCH($F639,Parametros!$A$13:$A$16,0))</f>
        <v>45926</v>
      </c>
      <c r="X639" s="31" t="s">
        <v>67</v>
      </c>
      <c r="Y639" s="53" t="n">
        <f aca="false">IF(COUNTIF($A$2:$A639,A639)=1,1,0)</f>
        <v>0</v>
      </c>
    </row>
    <row r="640" customFormat="false" ht="15" hidden="false" customHeight="false" outlineLevel="0" collapsed="false">
      <c r="A640" s="31" t="s">
        <v>580</v>
      </c>
      <c r="B640" s="36" t="n">
        <v>45866</v>
      </c>
      <c r="C640" s="49" t="n">
        <f aca="false">DATE(YEAR(B640),MONTH(B640),1)</f>
        <v>45839</v>
      </c>
      <c r="D640" s="31" t="s">
        <v>204</v>
      </c>
      <c r="E640" s="31" t="s">
        <v>41</v>
      </c>
      <c r="F640" s="31" t="s">
        <v>47</v>
      </c>
      <c r="G640" s="31" t="s">
        <v>62</v>
      </c>
      <c r="H640" s="31" t="s">
        <v>173</v>
      </c>
      <c r="I640" s="32" t="str">
        <f aca="false">INDEX(Productos!$B$2:$B$13,MATCH($H640,Productos!$A$2:$A$13,0))</f>
        <v>Tornillo DIN 933 M12x70 clase 8.8</v>
      </c>
      <c r="J640" s="32" t="str">
        <f aca="false">INDEX(Productos!$C$2:$C$13,MATCH($H640,Productos!$A$2:$A$13,0))</f>
        <v>Métrica</v>
      </c>
      <c r="K640" s="31" t="s">
        <v>246</v>
      </c>
      <c r="L640" s="46" t="n">
        <v>79</v>
      </c>
      <c r="M640" s="50" t="n">
        <f aca="false">INDEX(Productos!$F$2:$F$13,MATCH($H640,Productos!$A$2:$A$13,0))</f>
        <v>64</v>
      </c>
      <c r="N640" s="51" t="n">
        <v>0.053</v>
      </c>
      <c r="O640" s="52" t="n">
        <f aca="false">M640*(1-N640)</f>
        <v>60.608</v>
      </c>
      <c r="P640" s="21" t="n">
        <f aca="false">L640*O640</f>
        <v>4788.032</v>
      </c>
      <c r="Q640" s="50" t="n">
        <f aca="false">INDEX(Productos!$E$2:$E$13,MATCH($H640,Productos!$A$2:$A$13,0))*INDEX(Parametros!$B$26:$B$43,MATCH($C640,Parametros!$A$26:$A$43,0))</f>
        <v>34.639</v>
      </c>
      <c r="R640" s="21" t="n">
        <f aca="false">L640*Q640</f>
        <v>2736.481</v>
      </c>
      <c r="S640" s="18" t="n">
        <f aca="false">L640*INDEX(Parametros!$B$20:$B$22,MATCH($E640,Parametros!$A$20:$A$22,0))</f>
        <v>67.15</v>
      </c>
      <c r="T640" s="18" t="n">
        <f aca="false">P640*INDEX(Parametros!$B$13:$B$16,MATCH($F640,Parametros!$A$13:$A$16,0))</f>
        <v>167.58112</v>
      </c>
      <c r="U640" s="21" t="n">
        <f aca="false">P640-R640-S640-T640</f>
        <v>1816.81988</v>
      </c>
      <c r="V640" s="19" t="n">
        <f aca="false">IFERROR(U640/P640,0)</f>
        <v>0.379450237592397</v>
      </c>
      <c r="W640" s="48" t="n">
        <f aca="false">B640+INDEX(Parametros!$C$13:$C$16,MATCH($F640,Parametros!$A$13:$A$16,0))</f>
        <v>45911</v>
      </c>
      <c r="X640" s="31" t="s">
        <v>67</v>
      </c>
      <c r="Y640" s="53" t="n">
        <f aca="false">IF(COUNTIF($A$2:$A640,A640)=1,1,0)</f>
        <v>1</v>
      </c>
    </row>
    <row r="641" customFormat="false" ht="15" hidden="false" customHeight="false" outlineLevel="0" collapsed="false">
      <c r="A641" s="31" t="s">
        <v>580</v>
      </c>
      <c r="B641" s="36" t="n">
        <v>45866</v>
      </c>
      <c r="C641" s="49" t="n">
        <f aca="false">DATE(YEAR(B641),MONTH(B641),1)</f>
        <v>45839</v>
      </c>
      <c r="D641" s="31" t="s">
        <v>204</v>
      </c>
      <c r="E641" s="31" t="s">
        <v>41</v>
      </c>
      <c r="F641" s="31" t="s">
        <v>47</v>
      </c>
      <c r="G641" s="31" t="s">
        <v>62</v>
      </c>
      <c r="H641" s="31" t="s">
        <v>165</v>
      </c>
      <c r="I641" s="32" t="str">
        <f aca="false">INDEX(Productos!$B$2:$B$13,MATCH($H641,Productos!$A$2:$A$13,0))</f>
        <v>Tornillo DIN 933 M8x40 rosca completa zincado</v>
      </c>
      <c r="J641" s="32" t="str">
        <f aca="false">INDEX(Productos!$C$2:$C$13,MATCH($H641,Productos!$A$2:$A$13,0))</f>
        <v>Métrica</v>
      </c>
      <c r="K641" s="31" t="s">
        <v>246</v>
      </c>
      <c r="L641" s="46" t="n">
        <v>52</v>
      </c>
      <c r="M641" s="50" t="n">
        <f aca="false">INDEX(Productos!$F$2:$F$13,MATCH($H641,Productos!$A$2:$A$13,0))</f>
        <v>37.5</v>
      </c>
      <c r="N641" s="51" t="n">
        <v>0.052</v>
      </c>
      <c r="O641" s="52" t="n">
        <f aca="false">M641*(1-N641)</f>
        <v>35.55</v>
      </c>
      <c r="P641" s="21" t="n">
        <f aca="false">L641*O641</f>
        <v>1848.6</v>
      </c>
      <c r="Q641" s="50" t="n">
        <f aca="false">INDEX(Productos!$E$2:$E$13,MATCH($H641,Productos!$A$2:$A$13,0))*INDEX(Parametros!$B$26:$B$43,MATCH($C641,Parametros!$A$26:$A$43,0))</f>
        <v>20.0596</v>
      </c>
      <c r="R641" s="21" t="n">
        <f aca="false">L641*Q641</f>
        <v>1043.0992</v>
      </c>
      <c r="S641" s="18" t="n">
        <f aca="false">L641*INDEX(Parametros!$B$20:$B$22,MATCH($E641,Parametros!$A$20:$A$22,0))</f>
        <v>44.2</v>
      </c>
      <c r="T641" s="18" t="n">
        <f aca="false">P641*INDEX(Parametros!$B$13:$B$16,MATCH($F641,Parametros!$A$13:$A$16,0))</f>
        <v>64.701</v>
      </c>
      <c r="U641" s="21" t="n">
        <f aca="false">P641-R641-S641-T641</f>
        <v>696.5998</v>
      </c>
      <c r="V641" s="19" t="n">
        <f aca="false">IFERROR(U641/P641,0)</f>
        <v>0.376825597749648</v>
      </c>
      <c r="W641" s="48" t="n">
        <f aca="false">B641+INDEX(Parametros!$C$13:$C$16,MATCH($F641,Parametros!$A$13:$A$16,0))</f>
        <v>45911</v>
      </c>
      <c r="X641" s="31" t="s">
        <v>67</v>
      </c>
      <c r="Y641" s="53" t="n">
        <f aca="false">IF(COUNTIF($A$2:$A641,A641)=1,1,0)</f>
        <v>0</v>
      </c>
    </row>
    <row r="642" customFormat="false" ht="15" hidden="false" customHeight="false" outlineLevel="0" collapsed="false">
      <c r="A642" s="31" t="s">
        <v>581</v>
      </c>
      <c r="B642" s="36" t="n">
        <v>45866</v>
      </c>
      <c r="C642" s="49" t="n">
        <f aca="false">DATE(YEAR(B642),MONTH(B642),1)</f>
        <v>45839</v>
      </c>
      <c r="D642" s="31" t="s">
        <v>203</v>
      </c>
      <c r="E642" s="31" t="s">
        <v>41</v>
      </c>
      <c r="F642" s="31" t="s">
        <v>46</v>
      </c>
      <c r="G642" s="31" t="s">
        <v>58</v>
      </c>
      <c r="H642" s="31" t="s">
        <v>179</v>
      </c>
      <c r="I642" s="32" t="str">
        <f aca="false">INDEX(Productos!$B$2:$B$13,MATCH($H642,Productos!$A$2:$A$13,0))</f>
        <v>Autotaladrante DIN 7504 4,8x38 zincado</v>
      </c>
      <c r="J642" s="32" t="str">
        <f aca="false">INDEX(Productos!$C$2:$C$13,MATCH($H642,Productos!$A$2:$A$13,0))</f>
        <v>Autotaladrante</v>
      </c>
      <c r="K642" s="31" t="s">
        <v>246</v>
      </c>
      <c r="L642" s="46" t="n">
        <v>59</v>
      </c>
      <c r="M642" s="50" t="n">
        <f aca="false">INDEX(Productos!$F$2:$F$13,MATCH($H642,Productos!$A$2:$A$13,0))</f>
        <v>29.5</v>
      </c>
      <c r="N642" s="51" t="n">
        <v>0.097</v>
      </c>
      <c r="O642" s="52" t="n">
        <f aca="false">M642*(1-N642)</f>
        <v>26.6385</v>
      </c>
      <c r="P642" s="21" t="n">
        <f aca="false">L642*O642</f>
        <v>1571.6715</v>
      </c>
      <c r="Q642" s="50" t="n">
        <f aca="false">INDEX(Productos!$E$2:$E$13,MATCH($H642,Productos!$A$2:$A$13,0))*INDEX(Parametros!$B$26:$B$43,MATCH($C642,Parametros!$A$26:$A$43,0))</f>
        <v>15.7168</v>
      </c>
      <c r="R642" s="21" t="n">
        <f aca="false">L642*Q642</f>
        <v>927.2912</v>
      </c>
      <c r="S642" s="18" t="n">
        <f aca="false">L642*INDEX(Parametros!$B$20:$B$22,MATCH($E642,Parametros!$A$20:$A$22,0))</f>
        <v>50.15</v>
      </c>
      <c r="T642" s="18" t="n">
        <f aca="false">P642*INDEX(Parametros!$B$13:$B$16,MATCH($F642,Parametros!$A$13:$A$16,0))</f>
        <v>62.86686</v>
      </c>
      <c r="U642" s="21" t="n">
        <f aca="false">P642-R642-S642-T642</f>
        <v>531.36344</v>
      </c>
      <c r="V642" s="19" t="n">
        <f aca="false">IFERROR(U642/P642,0)</f>
        <v>0.338088105561499</v>
      </c>
      <c r="W642" s="48" t="n">
        <f aca="false">B642+INDEX(Parametros!$C$13:$C$16,MATCH($F642,Parametros!$A$13:$A$16,0))</f>
        <v>45941</v>
      </c>
      <c r="X642" s="31" t="s">
        <v>67</v>
      </c>
      <c r="Y642" s="53" t="n">
        <f aca="false">IF(COUNTIF($A$2:$A642,A642)=1,1,0)</f>
        <v>1</v>
      </c>
    </row>
    <row r="643" customFormat="false" ht="15" hidden="false" customHeight="false" outlineLevel="0" collapsed="false">
      <c r="A643" s="31" t="s">
        <v>581</v>
      </c>
      <c r="B643" s="36" t="n">
        <v>45866</v>
      </c>
      <c r="C643" s="49" t="n">
        <f aca="false">DATE(YEAR(B643),MONTH(B643),1)</f>
        <v>45839</v>
      </c>
      <c r="D643" s="31" t="s">
        <v>203</v>
      </c>
      <c r="E643" s="31" t="s">
        <v>41</v>
      </c>
      <c r="F643" s="31" t="s">
        <v>46</v>
      </c>
      <c r="G643" s="31" t="s">
        <v>58</v>
      </c>
      <c r="H643" s="31" t="s">
        <v>169</v>
      </c>
      <c r="I643" s="32" t="str">
        <f aca="false">INDEX(Productos!$B$2:$B$13,MATCH($H643,Productos!$A$2:$A$13,0))</f>
        <v>Tornillo DIN 912 M10x60 Allen inox A2</v>
      </c>
      <c r="J643" s="32" t="str">
        <f aca="false">INDEX(Productos!$C$2:$C$13,MATCH($H643,Productos!$A$2:$A$13,0))</f>
        <v>Inoxidable</v>
      </c>
      <c r="K643" s="31" t="s">
        <v>246</v>
      </c>
      <c r="L643" s="46" t="n">
        <v>25</v>
      </c>
      <c r="M643" s="50" t="n">
        <f aca="false">INDEX(Productos!$F$2:$F$13,MATCH($H643,Productos!$A$2:$A$13,0))</f>
        <v>79</v>
      </c>
      <c r="N643" s="51" t="n">
        <v>0.117</v>
      </c>
      <c r="O643" s="52" t="n">
        <f aca="false">M643*(1-N643)</f>
        <v>69.757</v>
      </c>
      <c r="P643" s="21" t="n">
        <f aca="false">L643*O643</f>
        <v>1743.925</v>
      </c>
      <c r="Q643" s="50" t="n">
        <f aca="false">INDEX(Productos!$E$2:$E$13,MATCH($H643,Productos!$A$2:$A$13,0))*INDEX(Parametros!$B$26:$B$43,MATCH($C643,Parametros!$A$26:$A$43,0))</f>
        <v>43.428</v>
      </c>
      <c r="R643" s="21" t="n">
        <f aca="false">L643*Q643</f>
        <v>1085.7</v>
      </c>
      <c r="S643" s="18" t="n">
        <f aca="false">L643*INDEX(Parametros!$B$20:$B$22,MATCH($E643,Parametros!$A$20:$A$22,0))</f>
        <v>21.25</v>
      </c>
      <c r="T643" s="18" t="n">
        <f aca="false">P643*INDEX(Parametros!$B$13:$B$16,MATCH($F643,Parametros!$A$13:$A$16,0))</f>
        <v>69.757</v>
      </c>
      <c r="U643" s="21" t="n">
        <f aca="false">P643-R643-S643-T643</f>
        <v>567.218</v>
      </c>
      <c r="V643" s="19" t="n">
        <f aca="false">IFERROR(U643/P643,0)</f>
        <v>0.325253666298723</v>
      </c>
      <c r="W643" s="48" t="n">
        <f aca="false">B643+INDEX(Parametros!$C$13:$C$16,MATCH($F643,Parametros!$A$13:$A$16,0))</f>
        <v>45941</v>
      </c>
      <c r="X643" s="31" t="s">
        <v>67</v>
      </c>
      <c r="Y643" s="53" t="n">
        <f aca="false">IF(COUNTIF($A$2:$A643,A643)=1,1,0)</f>
        <v>0</v>
      </c>
    </row>
    <row r="644" customFormat="false" ht="15" hidden="false" customHeight="false" outlineLevel="0" collapsed="false">
      <c r="A644" s="31" t="s">
        <v>581</v>
      </c>
      <c r="B644" s="36" t="n">
        <v>45866</v>
      </c>
      <c r="C644" s="49" t="n">
        <f aca="false">DATE(YEAR(B644),MONTH(B644),1)</f>
        <v>45839</v>
      </c>
      <c r="D644" s="31" t="s">
        <v>203</v>
      </c>
      <c r="E644" s="31" t="s">
        <v>41</v>
      </c>
      <c r="F644" s="31" t="s">
        <v>46</v>
      </c>
      <c r="G644" s="31" t="s">
        <v>58</v>
      </c>
      <c r="H644" s="31" t="s">
        <v>177</v>
      </c>
      <c r="I644" s="32" t="str">
        <f aca="false">INDEX(Productos!$B$2:$B$13,MATCH($H644,Productos!$A$2:$A$13,0))</f>
        <v>Tirafondo madera 6x100 cabeza plana Torx</v>
      </c>
      <c r="J644" s="32" t="str">
        <f aca="false">INDEX(Productos!$C$2:$C$13,MATCH($H644,Productos!$A$2:$A$13,0))</f>
        <v>Madera</v>
      </c>
      <c r="K644" s="31" t="s">
        <v>246</v>
      </c>
      <c r="L644" s="46" t="n">
        <v>131</v>
      </c>
      <c r="M644" s="50" t="n">
        <f aca="false">INDEX(Productos!$F$2:$F$13,MATCH($H644,Productos!$A$2:$A$13,0))</f>
        <v>34</v>
      </c>
      <c r="N644" s="51" t="n">
        <v>0.176</v>
      </c>
      <c r="O644" s="52" t="n">
        <f aca="false">M644*(1-N644)</f>
        <v>28.016</v>
      </c>
      <c r="P644" s="21" t="n">
        <f aca="false">L644*O644</f>
        <v>3670.096</v>
      </c>
      <c r="Q644" s="50" t="n">
        <f aca="false">INDEX(Productos!$E$2:$E$13,MATCH($H644,Productos!$A$2:$A$13,0))*INDEX(Parametros!$B$26:$B$43,MATCH($C644,Parametros!$A$26:$A$43,0))</f>
        <v>18.4052</v>
      </c>
      <c r="R644" s="21" t="n">
        <f aca="false">L644*Q644</f>
        <v>2411.0812</v>
      </c>
      <c r="S644" s="18" t="n">
        <f aca="false">L644*INDEX(Parametros!$B$20:$B$22,MATCH($E644,Parametros!$A$20:$A$22,0))</f>
        <v>111.35</v>
      </c>
      <c r="T644" s="18" t="n">
        <f aca="false">P644*INDEX(Parametros!$B$13:$B$16,MATCH($F644,Parametros!$A$13:$A$16,0))</f>
        <v>146.80384</v>
      </c>
      <c r="U644" s="21" t="n">
        <f aca="false">P644-R644-S644-T644</f>
        <v>1000.86096</v>
      </c>
      <c r="V644" s="19" t="n">
        <f aca="false">IFERROR(U644/P644,0)</f>
        <v>0.272707024557396</v>
      </c>
      <c r="W644" s="48" t="n">
        <f aca="false">B644+INDEX(Parametros!$C$13:$C$16,MATCH($F644,Parametros!$A$13:$A$16,0))</f>
        <v>45941</v>
      </c>
      <c r="X644" s="31" t="s">
        <v>67</v>
      </c>
      <c r="Y644" s="53" t="n">
        <f aca="false">IF(COUNTIF($A$2:$A644,A644)=1,1,0)</f>
        <v>0</v>
      </c>
    </row>
    <row r="645" customFormat="false" ht="15" hidden="false" customHeight="false" outlineLevel="0" collapsed="false">
      <c r="A645" s="31" t="s">
        <v>582</v>
      </c>
      <c r="B645" s="36" t="n">
        <v>45866</v>
      </c>
      <c r="C645" s="49" t="n">
        <f aca="false">DATE(YEAR(B645),MONTH(B645),1)</f>
        <v>45839</v>
      </c>
      <c r="D645" s="31" t="s">
        <v>225</v>
      </c>
      <c r="E645" s="31" t="s">
        <v>43</v>
      </c>
      <c r="F645" s="31" t="s">
        <v>47</v>
      </c>
      <c r="G645" s="31" t="s">
        <v>59</v>
      </c>
      <c r="H645" s="31" t="s">
        <v>183</v>
      </c>
      <c r="I645" s="32" t="str">
        <f aca="false">INDEX(Productos!$B$2:$B$13,MATCH($H645,Productos!$A$2:$A$13,0))</f>
        <v>Tornillo estructural M16x90 clase 10.9</v>
      </c>
      <c r="J645" s="32" t="str">
        <f aca="false">INDEX(Productos!$C$2:$C$13,MATCH($H645,Productos!$A$2:$A$13,0))</f>
        <v>Especial</v>
      </c>
      <c r="K645" s="31" t="s">
        <v>246</v>
      </c>
      <c r="L645" s="46" t="n">
        <v>66</v>
      </c>
      <c r="M645" s="50" t="n">
        <f aca="false">INDEX(Productos!$F$2:$F$13,MATCH($H645,Productos!$A$2:$A$13,0))</f>
        <v>112</v>
      </c>
      <c r="N645" s="51" t="n">
        <v>0.073</v>
      </c>
      <c r="O645" s="52" t="n">
        <f aca="false">M645*(1-N645)</f>
        <v>103.824</v>
      </c>
      <c r="P645" s="21" t="n">
        <f aca="false">L645*O645</f>
        <v>6852.384</v>
      </c>
      <c r="Q645" s="50" t="n">
        <f aca="false">INDEX(Productos!$E$2:$E$13,MATCH($H645,Productos!$A$2:$A$13,0))*INDEX(Parametros!$B$26:$B$43,MATCH($C645,Parametros!$A$26:$A$43,0))</f>
        <v>62.04</v>
      </c>
      <c r="R645" s="21" t="n">
        <f aca="false">L645*Q645</f>
        <v>4094.64</v>
      </c>
      <c r="S645" s="18" t="n">
        <f aca="false">L645*INDEX(Parametros!$B$20:$B$22,MATCH($E645,Parametros!$A$20:$A$22,0))</f>
        <v>125.4</v>
      </c>
      <c r="T645" s="18" t="n">
        <f aca="false">P645*INDEX(Parametros!$B$13:$B$16,MATCH($F645,Parametros!$A$13:$A$16,0))</f>
        <v>239.83344</v>
      </c>
      <c r="U645" s="21" t="n">
        <f aca="false">P645-R645-S645-T645</f>
        <v>2392.51056</v>
      </c>
      <c r="V645" s="19" t="n">
        <f aca="false">IFERROR(U645/P645,0)</f>
        <v>0.349150100169518</v>
      </c>
      <c r="W645" s="48" t="n">
        <f aca="false">B645+INDEX(Parametros!$C$13:$C$16,MATCH($F645,Parametros!$A$13:$A$16,0))</f>
        <v>45911</v>
      </c>
      <c r="X645" s="31" t="s">
        <v>67</v>
      </c>
      <c r="Y645" s="53" t="n">
        <f aca="false">IF(COUNTIF($A$2:$A645,A645)=1,1,0)</f>
        <v>1</v>
      </c>
    </row>
    <row r="646" customFormat="false" ht="15" hidden="false" customHeight="false" outlineLevel="0" collapsed="false">
      <c r="A646" s="31" t="s">
        <v>582</v>
      </c>
      <c r="B646" s="36" t="n">
        <v>45866</v>
      </c>
      <c r="C646" s="49" t="n">
        <f aca="false">DATE(YEAR(B646),MONTH(B646),1)</f>
        <v>45839</v>
      </c>
      <c r="D646" s="31" t="s">
        <v>225</v>
      </c>
      <c r="E646" s="31" t="s">
        <v>43</v>
      </c>
      <c r="F646" s="31" t="s">
        <v>47</v>
      </c>
      <c r="G646" s="31" t="s">
        <v>59</v>
      </c>
      <c r="H646" s="31" t="s">
        <v>169</v>
      </c>
      <c r="I646" s="32" t="str">
        <f aca="false">INDEX(Productos!$B$2:$B$13,MATCH($H646,Productos!$A$2:$A$13,0))</f>
        <v>Tornillo DIN 912 M10x60 Allen inox A2</v>
      </c>
      <c r="J646" s="32" t="str">
        <f aca="false">INDEX(Productos!$C$2:$C$13,MATCH($H646,Productos!$A$2:$A$13,0))</f>
        <v>Inoxidable</v>
      </c>
      <c r="K646" s="31" t="s">
        <v>246</v>
      </c>
      <c r="L646" s="46" t="n">
        <v>28</v>
      </c>
      <c r="M646" s="50" t="n">
        <f aca="false">INDEX(Productos!$F$2:$F$13,MATCH($H646,Productos!$A$2:$A$13,0))</f>
        <v>79</v>
      </c>
      <c r="N646" s="51" t="n">
        <v>0.061</v>
      </c>
      <c r="O646" s="52" t="n">
        <f aca="false">M646*(1-N646)</f>
        <v>74.181</v>
      </c>
      <c r="P646" s="21" t="n">
        <f aca="false">L646*O646</f>
        <v>2077.068</v>
      </c>
      <c r="Q646" s="50" t="n">
        <f aca="false">INDEX(Productos!$E$2:$E$13,MATCH($H646,Productos!$A$2:$A$13,0))*INDEX(Parametros!$B$26:$B$43,MATCH($C646,Parametros!$A$26:$A$43,0))</f>
        <v>43.428</v>
      </c>
      <c r="R646" s="21" t="n">
        <f aca="false">L646*Q646</f>
        <v>1215.984</v>
      </c>
      <c r="S646" s="18" t="n">
        <f aca="false">L646*INDEX(Parametros!$B$20:$B$22,MATCH($E646,Parametros!$A$20:$A$22,0))</f>
        <v>53.2</v>
      </c>
      <c r="T646" s="18" t="n">
        <f aca="false">P646*INDEX(Parametros!$B$13:$B$16,MATCH($F646,Parametros!$A$13:$A$16,0))</f>
        <v>72.69738</v>
      </c>
      <c r="U646" s="21" t="n">
        <f aca="false">P646-R646-S646-T646</f>
        <v>735.18662</v>
      </c>
      <c r="V646" s="19" t="n">
        <f aca="false">IFERROR(U646/P646,0)</f>
        <v>0.353954044836279</v>
      </c>
      <c r="W646" s="48" t="n">
        <f aca="false">B646+INDEX(Parametros!$C$13:$C$16,MATCH($F646,Parametros!$A$13:$A$16,0))</f>
        <v>45911</v>
      </c>
      <c r="X646" s="31" t="s">
        <v>69</v>
      </c>
      <c r="Y646" s="53" t="n">
        <f aca="false">IF(COUNTIF($A$2:$A646,A646)=1,1,0)</f>
        <v>0</v>
      </c>
    </row>
    <row r="647" customFormat="false" ht="15" hidden="false" customHeight="false" outlineLevel="0" collapsed="false">
      <c r="A647" s="31" t="s">
        <v>583</v>
      </c>
      <c r="B647" s="36" t="n">
        <v>45866</v>
      </c>
      <c r="C647" s="49" t="n">
        <f aca="false">DATE(YEAR(B647),MONTH(B647),1)</f>
        <v>45839</v>
      </c>
      <c r="D647" s="31" t="s">
        <v>197</v>
      </c>
      <c r="E647" s="31" t="s">
        <v>41</v>
      </c>
      <c r="F647" s="31" t="s">
        <v>46</v>
      </c>
      <c r="G647" s="31" t="s">
        <v>58</v>
      </c>
      <c r="H647" s="31" t="s">
        <v>173</v>
      </c>
      <c r="I647" s="32" t="str">
        <f aca="false">INDEX(Productos!$B$2:$B$13,MATCH($H647,Productos!$A$2:$A$13,0))</f>
        <v>Tornillo DIN 933 M12x70 clase 8.8</v>
      </c>
      <c r="J647" s="32" t="str">
        <f aca="false">INDEX(Productos!$C$2:$C$13,MATCH($H647,Productos!$A$2:$A$13,0))</f>
        <v>Métrica</v>
      </c>
      <c r="K647" s="31" t="s">
        <v>246</v>
      </c>
      <c r="L647" s="46" t="n">
        <v>82</v>
      </c>
      <c r="M647" s="50" t="n">
        <f aca="false">INDEX(Productos!$F$2:$F$13,MATCH($H647,Productos!$A$2:$A$13,0))</f>
        <v>64</v>
      </c>
      <c r="N647" s="51" t="n">
        <v>0.08</v>
      </c>
      <c r="O647" s="52" t="n">
        <f aca="false">M647*(1-N647)</f>
        <v>58.88</v>
      </c>
      <c r="P647" s="21" t="n">
        <f aca="false">L647*O647</f>
        <v>4828.16</v>
      </c>
      <c r="Q647" s="50" t="n">
        <f aca="false">INDEX(Productos!$E$2:$E$13,MATCH($H647,Productos!$A$2:$A$13,0))*INDEX(Parametros!$B$26:$B$43,MATCH($C647,Parametros!$A$26:$A$43,0))</f>
        <v>34.639</v>
      </c>
      <c r="R647" s="21" t="n">
        <f aca="false">L647*Q647</f>
        <v>2840.398</v>
      </c>
      <c r="S647" s="18" t="n">
        <f aca="false">L647*INDEX(Parametros!$B$20:$B$22,MATCH($E647,Parametros!$A$20:$A$22,0))</f>
        <v>69.7</v>
      </c>
      <c r="T647" s="18" t="n">
        <f aca="false">P647*INDEX(Parametros!$B$13:$B$16,MATCH($F647,Parametros!$A$13:$A$16,0))</f>
        <v>193.1264</v>
      </c>
      <c r="U647" s="21" t="n">
        <f aca="false">P647-R647-S647-T647</f>
        <v>1724.9356</v>
      </c>
      <c r="V647" s="19" t="n">
        <f aca="false">IFERROR(U647/P647,0)</f>
        <v>0.357265625</v>
      </c>
      <c r="W647" s="48" t="n">
        <f aca="false">B647+INDEX(Parametros!$C$13:$C$16,MATCH($F647,Parametros!$A$13:$A$16,0))</f>
        <v>45941</v>
      </c>
      <c r="X647" s="31" t="s">
        <v>67</v>
      </c>
      <c r="Y647" s="53" t="n">
        <f aca="false">IF(COUNTIF($A$2:$A647,A647)=1,1,0)</f>
        <v>1</v>
      </c>
    </row>
    <row r="648" customFormat="false" ht="15" hidden="false" customHeight="false" outlineLevel="0" collapsed="false">
      <c r="A648" s="31" t="s">
        <v>583</v>
      </c>
      <c r="B648" s="36" t="n">
        <v>45866</v>
      </c>
      <c r="C648" s="49" t="n">
        <f aca="false">DATE(YEAR(B648),MONTH(B648),1)</f>
        <v>45839</v>
      </c>
      <c r="D648" s="31" t="s">
        <v>197</v>
      </c>
      <c r="E648" s="31" t="s">
        <v>41</v>
      </c>
      <c r="F648" s="31" t="s">
        <v>46</v>
      </c>
      <c r="G648" s="31" t="s">
        <v>58</v>
      </c>
      <c r="H648" s="31" t="s">
        <v>183</v>
      </c>
      <c r="I648" s="32" t="str">
        <f aca="false">INDEX(Productos!$B$2:$B$13,MATCH($H648,Productos!$A$2:$A$13,0))</f>
        <v>Tornillo estructural M16x90 clase 10.9</v>
      </c>
      <c r="J648" s="32" t="str">
        <f aca="false">INDEX(Productos!$C$2:$C$13,MATCH($H648,Productos!$A$2:$A$13,0))</f>
        <v>Especial</v>
      </c>
      <c r="K648" s="31" t="s">
        <v>246</v>
      </c>
      <c r="L648" s="46" t="n">
        <v>295</v>
      </c>
      <c r="M648" s="50" t="n">
        <f aca="false">INDEX(Productos!$F$2:$F$13,MATCH($H648,Productos!$A$2:$A$13,0))</f>
        <v>112</v>
      </c>
      <c r="N648" s="51" t="n">
        <v>0.175</v>
      </c>
      <c r="O648" s="52" t="n">
        <f aca="false">M648*(1-N648)</f>
        <v>92.4</v>
      </c>
      <c r="P648" s="21" t="n">
        <f aca="false">L648*O648</f>
        <v>27258</v>
      </c>
      <c r="Q648" s="50" t="n">
        <f aca="false">INDEX(Productos!$E$2:$E$13,MATCH($H648,Productos!$A$2:$A$13,0))*INDEX(Parametros!$B$26:$B$43,MATCH($C648,Parametros!$A$26:$A$43,0))</f>
        <v>62.04</v>
      </c>
      <c r="R648" s="21" t="n">
        <f aca="false">L648*Q648</f>
        <v>18301.8</v>
      </c>
      <c r="S648" s="18" t="n">
        <f aca="false">L648*INDEX(Parametros!$B$20:$B$22,MATCH($E648,Parametros!$A$20:$A$22,0))</f>
        <v>250.75</v>
      </c>
      <c r="T648" s="18" t="n">
        <f aca="false">P648*INDEX(Parametros!$B$13:$B$16,MATCH($F648,Parametros!$A$13:$A$16,0))</f>
        <v>1090.32</v>
      </c>
      <c r="U648" s="21" t="n">
        <f aca="false">P648-R648-S648-T648</f>
        <v>7615.13</v>
      </c>
      <c r="V648" s="19" t="n">
        <f aca="false">IFERROR(U648/P648,0)</f>
        <v>0.279372294372294</v>
      </c>
      <c r="W648" s="48" t="n">
        <f aca="false">B648+INDEX(Parametros!$C$13:$C$16,MATCH($F648,Parametros!$A$13:$A$16,0))</f>
        <v>45941</v>
      </c>
      <c r="X648" s="31" t="s">
        <v>67</v>
      </c>
      <c r="Y648" s="53" t="n">
        <f aca="false">IF(COUNTIF($A$2:$A648,A648)=1,1,0)</f>
        <v>0</v>
      </c>
    </row>
    <row r="649" customFormat="false" ht="15" hidden="false" customHeight="false" outlineLevel="0" collapsed="false">
      <c r="A649" s="31" t="s">
        <v>584</v>
      </c>
      <c r="B649" s="36" t="n">
        <v>45873</v>
      </c>
      <c r="C649" s="49" t="n">
        <f aca="false">DATE(YEAR(B649),MONTH(B649),1)</f>
        <v>45870</v>
      </c>
      <c r="D649" s="31" t="s">
        <v>224</v>
      </c>
      <c r="E649" s="31" t="s">
        <v>43</v>
      </c>
      <c r="F649" s="31" t="s">
        <v>45</v>
      </c>
      <c r="G649" s="31" t="s">
        <v>59</v>
      </c>
      <c r="H649" s="31" t="s">
        <v>167</v>
      </c>
      <c r="I649" s="32" t="str">
        <f aca="false">INDEX(Productos!$B$2:$B$13,MATCH($H649,Productos!$A$2:$A$13,0))</f>
        <v>Tornillo DIN 912 M6x25 Allen zincado</v>
      </c>
      <c r="J649" s="32" t="str">
        <f aca="false">INDEX(Productos!$C$2:$C$13,MATCH($H649,Productos!$A$2:$A$13,0))</f>
        <v>Métrica</v>
      </c>
      <c r="K649" s="31" t="s">
        <v>246</v>
      </c>
      <c r="L649" s="46" t="n">
        <v>125</v>
      </c>
      <c r="M649" s="50" t="n">
        <f aca="false">INDEX(Productos!$F$2:$F$13,MATCH($H649,Productos!$A$2:$A$13,0))</f>
        <v>42</v>
      </c>
      <c r="N649" s="51" t="n">
        <v>0.182</v>
      </c>
      <c r="O649" s="52" t="n">
        <f aca="false">M649*(1-N649)</f>
        <v>34.356</v>
      </c>
      <c r="P649" s="21" t="n">
        <f aca="false">L649*O649</f>
        <v>4294.5</v>
      </c>
      <c r="Q649" s="50" t="n">
        <f aca="false">INDEX(Productos!$E$2:$E$13,MATCH($H649,Productos!$A$2:$A$13,0))*INDEX(Parametros!$B$26:$B$43,MATCH($C649,Parametros!$A$26:$A$43,0))</f>
        <v>22.2142</v>
      </c>
      <c r="R649" s="21" t="n">
        <f aca="false">L649*Q649</f>
        <v>2776.775</v>
      </c>
      <c r="S649" s="18" t="n">
        <f aca="false">L649*INDEX(Parametros!$B$20:$B$22,MATCH($E649,Parametros!$A$20:$A$22,0))</f>
        <v>237.5</v>
      </c>
      <c r="T649" s="18" t="n">
        <f aca="false">P649*INDEX(Parametros!$B$13:$B$16,MATCH($F649,Parametros!$A$13:$A$16,0))</f>
        <v>128.835</v>
      </c>
      <c r="U649" s="21" t="n">
        <f aca="false">P649-R649-S649-T649</f>
        <v>1151.39</v>
      </c>
      <c r="V649" s="19" t="n">
        <f aca="false">IFERROR(U649/P649,0)</f>
        <v>0.26810804517406</v>
      </c>
      <c r="W649" s="48" t="n">
        <f aca="false">B649+INDEX(Parametros!$C$13:$C$16,MATCH($F649,Parametros!$A$13:$A$16,0))</f>
        <v>45933</v>
      </c>
      <c r="X649" s="31" t="s">
        <v>67</v>
      </c>
      <c r="Y649" s="53" t="n">
        <f aca="false">IF(COUNTIF($A$2:$A649,A649)=1,1,0)</f>
        <v>1</v>
      </c>
    </row>
    <row r="650" customFormat="false" ht="15" hidden="false" customHeight="false" outlineLevel="0" collapsed="false">
      <c r="A650" s="31" t="s">
        <v>584</v>
      </c>
      <c r="B650" s="36" t="n">
        <v>45873</v>
      </c>
      <c r="C650" s="49" t="n">
        <f aca="false">DATE(YEAR(B650),MONTH(B650),1)</f>
        <v>45870</v>
      </c>
      <c r="D650" s="31" t="s">
        <v>224</v>
      </c>
      <c r="E650" s="31" t="s">
        <v>43</v>
      </c>
      <c r="F650" s="31" t="s">
        <v>45</v>
      </c>
      <c r="G650" s="31" t="s">
        <v>59</v>
      </c>
      <c r="H650" s="31" t="s">
        <v>165</v>
      </c>
      <c r="I650" s="32" t="str">
        <f aca="false">INDEX(Productos!$B$2:$B$13,MATCH($H650,Productos!$A$2:$A$13,0))</f>
        <v>Tornillo DIN 933 M8x40 rosca completa zincado</v>
      </c>
      <c r="J650" s="32" t="str">
        <f aca="false">INDEX(Productos!$C$2:$C$13,MATCH($H650,Productos!$A$2:$A$13,0))</f>
        <v>Métrica</v>
      </c>
      <c r="K650" s="31" t="s">
        <v>246</v>
      </c>
      <c r="L650" s="46" t="n">
        <v>239</v>
      </c>
      <c r="M650" s="50" t="n">
        <f aca="false">INDEX(Productos!$F$2:$F$13,MATCH($H650,Productos!$A$2:$A$13,0))</f>
        <v>37.5</v>
      </c>
      <c r="N650" s="51" t="n">
        <v>0.204</v>
      </c>
      <c r="O650" s="52" t="n">
        <f aca="false">M650*(1-N650)</f>
        <v>29.85</v>
      </c>
      <c r="P650" s="21" t="n">
        <f aca="false">L650*O650</f>
        <v>7134.15</v>
      </c>
      <c r="Q650" s="50" t="n">
        <f aca="false">INDEX(Productos!$E$2:$E$13,MATCH($H650,Productos!$A$2:$A$13,0))*INDEX(Parametros!$B$26:$B$43,MATCH($C650,Parametros!$A$26:$A$43,0))</f>
        <v>19.7686</v>
      </c>
      <c r="R650" s="21" t="n">
        <f aca="false">L650*Q650</f>
        <v>4724.6954</v>
      </c>
      <c r="S650" s="18" t="n">
        <f aca="false">L650*INDEX(Parametros!$B$20:$B$22,MATCH($E650,Parametros!$A$20:$A$22,0))</f>
        <v>454.1</v>
      </c>
      <c r="T650" s="18" t="n">
        <f aca="false">P650*INDEX(Parametros!$B$13:$B$16,MATCH($F650,Parametros!$A$13:$A$16,0))</f>
        <v>214.0245</v>
      </c>
      <c r="U650" s="21" t="n">
        <f aca="false">P650-R650-S650-T650</f>
        <v>1741.3301</v>
      </c>
      <c r="V650" s="19" t="n">
        <f aca="false">IFERROR(U650/P650,0)</f>
        <v>0.244083752093803</v>
      </c>
      <c r="W650" s="48" t="n">
        <f aca="false">B650+INDEX(Parametros!$C$13:$C$16,MATCH($F650,Parametros!$A$13:$A$16,0))</f>
        <v>45933</v>
      </c>
      <c r="X650" s="31" t="s">
        <v>67</v>
      </c>
      <c r="Y650" s="53" t="n">
        <f aca="false">IF(COUNTIF($A$2:$A650,A650)=1,1,0)</f>
        <v>0</v>
      </c>
    </row>
    <row r="651" customFormat="false" ht="15" hidden="false" customHeight="false" outlineLevel="0" collapsed="false">
      <c r="A651" s="31" t="s">
        <v>585</v>
      </c>
      <c r="B651" s="36" t="n">
        <v>45873</v>
      </c>
      <c r="C651" s="49" t="n">
        <f aca="false">DATE(YEAR(B651),MONTH(B651),1)</f>
        <v>45870</v>
      </c>
      <c r="D651" s="31" t="s">
        <v>222</v>
      </c>
      <c r="E651" s="31" t="s">
        <v>43</v>
      </c>
      <c r="F651" s="31" t="s">
        <v>45</v>
      </c>
      <c r="G651" s="31" t="s">
        <v>59</v>
      </c>
      <c r="H651" s="31" t="s">
        <v>183</v>
      </c>
      <c r="I651" s="32" t="str">
        <f aca="false">INDEX(Productos!$B$2:$B$13,MATCH($H651,Productos!$A$2:$A$13,0))</f>
        <v>Tornillo estructural M16x90 clase 10.9</v>
      </c>
      <c r="J651" s="32" t="str">
        <f aca="false">INDEX(Productos!$C$2:$C$13,MATCH($H651,Productos!$A$2:$A$13,0))</f>
        <v>Especial</v>
      </c>
      <c r="K651" s="31" t="s">
        <v>246</v>
      </c>
      <c r="L651" s="46" t="n">
        <v>159</v>
      </c>
      <c r="M651" s="50" t="n">
        <f aca="false">INDEX(Productos!$F$2:$F$13,MATCH($H651,Productos!$A$2:$A$13,0))</f>
        <v>112</v>
      </c>
      <c r="N651" s="51" t="n">
        <v>0.146</v>
      </c>
      <c r="O651" s="52" t="n">
        <f aca="false">M651*(1-N651)</f>
        <v>95.648</v>
      </c>
      <c r="P651" s="21" t="n">
        <f aca="false">L651*O651</f>
        <v>15208.032</v>
      </c>
      <c r="Q651" s="50" t="n">
        <f aca="false">INDEX(Productos!$E$2:$E$13,MATCH($H651,Productos!$A$2:$A$13,0))*INDEX(Parametros!$B$26:$B$43,MATCH($C651,Parametros!$A$26:$A$43,0))</f>
        <v>61.14</v>
      </c>
      <c r="R651" s="21" t="n">
        <f aca="false">L651*Q651</f>
        <v>9721.26</v>
      </c>
      <c r="S651" s="18" t="n">
        <f aca="false">L651*INDEX(Parametros!$B$20:$B$22,MATCH($E651,Parametros!$A$20:$A$22,0))</f>
        <v>302.1</v>
      </c>
      <c r="T651" s="18" t="n">
        <f aca="false">P651*INDEX(Parametros!$B$13:$B$16,MATCH($F651,Parametros!$A$13:$A$16,0))</f>
        <v>456.24096</v>
      </c>
      <c r="U651" s="21" t="n">
        <f aca="false">P651-R651-S651-T651</f>
        <v>4728.43104</v>
      </c>
      <c r="V651" s="19" t="n">
        <f aca="false">IFERROR(U651/P651,0)</f>
        <v>0.310916694546671</v>
      </c>
      <c r="W651" s="48" t="n">
        <f aca="false">B651+INDEX(Parametros!$C$13:$C$16,MATCH($F651,Parametros!$A$13:$A$16,0))</f>
        <v>45933</v>
      </c>
      <c r="X651" s="31" t="s">
        <v>67</v>
      </c>
      <c r="Y651" s="53" t="n">
        <f aca="false">IF(COUNTIF($A$2:$A651,A651)=1,1,0)</f>
        <v>1</v>
      </c>
    </row>
    <row r="652" customFormat="false" ht="15" hidden="false" customHeight="false" outlineLevel="0" collapsed="false">
      <c r="A652" s="31" t="s">
        <v>585</v>
      </c>
      <c r="B652" s="36" t="n">
        <v>45873</v>
      </c>
      <c r="C652" s="49" t="n">
        <f aca="false">DATE(YEAR(B652),MONTH(B652),1)</f>
        <v>45870</v>
      </c>
      <c r="D652" s="31" t="s">
        <v>222</v>
      </c>
      <c r="E652" s="31" t="s">
        <v>43</v>
      </c>
      <c r="F652" s="31" t="s">
        <v>45</v>
      </c>
      <c r="G652" s="31" t="s">
        <v>59</v>
      </c>
      <c r="H652" s="31" t="s">
        <v>167</v>
      </c>
      <c r="I652" s="32" t="str">
        <f aca="false">INDEX(Productos!$B$2:$B$13,MATCH($H652,Productos!$A$2:$A$13,0))</f>
        <v>Tornillo DIN 912 M6x25 Allen zincado</v>
      </c>
      <c r="J652" s="32" t="str">
        <f aca="false">INDEX(Productos!$C$2:$C$13,MATCH($H652,Productos!$A$2:$A$13,0))</f>
        <v>Métrica</v>
      </c>
      <c r="K652" s="31" t="s">
        <v>246</v>
      </c>
      <c r="L652" s="46" t="n">
        <v>28</v>
      </c>
      <c r="M652" s="50" t="n">
        <f aca="false">INDEX(Productos!$F$2:$F$13,MATCH($H652,Productos!$A$2:$A$13,0))</f>
        <v>42</v>
      </c>
      <c r="N652" s="51" t="n">
        <v>0.206</v>
      </c>
      <c r="O652" s="52" t="n">
        <f aca="false">M652*(1-N652)</f>
        <v>33.348</v>
      </c>
      <c r="P652" s="21" t="n">
        <f aca="false">L652*O652</f>
        <v>933.744</v>
      </c>
      <c r="Q652" s="50" t="n">
        <f aca="false">INDEX(Productos!$E$2:$E$13,MATCH($H652,Productos!$A$2:$A$13,0))*INDEX(Parametros!$B$26:$B$43,MATCH($C652,Parametros!$A$26:$A$43,0))</f>
        <v>22.2142</v>
      </c>
      <c r="R652" s="21" t="n">
        <f aca="false">L652*Q652</f>
        <v>621.9976</v>
      </c>
      <c r="S652" s="18" t="n">
        <f aca="false">L652*INDEX(Parametros!$B$20:$B$22,MATCH($E652,Parametros!$A$20:$A$22,0))</f>
        <v>53.2</v>
      </c>
      <c r="T652" s="18" t="n">
        <f aca="false">P652*INDEX(Parametros!$B$13:$B$16,MATCH($F652,Parametros!$A$13:$A$16,0))</f>
        <v>28.01232</v>
      </c>
      <c r="U652" s="21" t="n">
        <f aca="false">P652-R652-S652-T652</f>
        <v>230.53408</v>
      </c>
      <c r="V652" s="19" t="n">
        <f aca="false">IFERROR(U652/P652,0)</f>
        <v>0.246892167446324</v>
      </c>
      <c r="W652" s="48" t="n">
        <f aca="false">B652+INDEX(Parametros!$C$13:$C$16,MATCH($F652,Parametros!$A$13:$A$16,0))</f>
        <v>45933</v>
      </c>
      <c r="X652" s="31" t="s">
        <v>67</v>
      </c>
      <c r="Y652" s="53" t="n">
        <f aca="false">IF(COUNTIF($A$2:$A652,A652)=1,1,0)</f>
        <v>0</v>
      </c>
    </row>
    <row r="653" customFormat="false" ht="15" hidden="false" customHeight="false" outlineLevel="0" collapsed="false">
      <c r="A653" s="31" t="s">
        <v>586</v>
      </c>
      <c r="B653" s="36" t="n">
        <v>45873</v>
      </c>
      <c r="C653" s="49" t="n">
        <f aca="false">DATE(YEAR(B653),MONTH(B653),1)</f>
        <v>45870</v>
      </c>
      <c r="D653" s="31" t="s">
        <v>222</v>
      </c>
      <c r="E653" s="31" t="s">
        <v>43</v>
      </c>
      <c r="F653" s="31" t="s">
        <v>45</v>
      </c>
      <c r="G653" s="31" t="s">
        <v>59</v>
      </c>
      <c r="H653" s="31" t="s">
        <v>181</v>
      </c>
      <c r="I653" s="32" t="str">
        <f aca="false">INDEX(Productos!$B$2:$B$13,MATCH($H653,Productos!$A$2:$A$13,0))</f>
        <v>Autotaladrante 5,5x55 punta broca</v>
      </c>
      <c r="J653" s="32" t="str">
        <f aca="false">INDEX(Productos!$C$2:$C$13,MATCH($H653,Productos!$A$2:$A$13,0))</f>
        <v>Autotaladrante</v>
      </c>
      <c r="K653" s="31" t="s">
        <v>246</v>
      </c>
      <c r="L653" s="46" t="n">
        <v>44</v>
      </c>
      <c r="M653" s="50" t="n">
        <f aca="false">INDEX(Productos!$F$2:$F$13,MATCH($H653,Productos!$A$2:$A$13,0))</f>
        <v>39</v>
      </c>
      <c r="N653" s="51" t="n">
        <v>0.194</v>
      </c>
      <c r="O653" s="52" t="n">
        <f aca="false">M653*(1-N653)</f>
        <v>31.434</v>
      </c>
      <c r="P653" s="21" t="n">
        <f aca="false">L653*O653</f>
        <v>1383.096</v>
      </c>
      <c r="Q653" s="50" t="n">
        <f aca="false">INDEX(Productos!$E$2:$E$13,MATCH($H653,Productos!$A$2:$A$13,0))*INDEX(Parametros!$B$26:$B$43,MATCH($C653,Parametros!$A$26:$A$43,0))</f>
        <v>20.6857</v>
      </c>
      <c r="R653" s="21" t="n">
        <f aca="false">L653*Q653</f>
        <v>910.1708</v>
      </c>
      <c r="S653" s="18" t="n">
        <f aca="false">L653*INDEX(Parametros!$B$20:$B$22,MATCH($E653,Parametros!$A$20:$A$22,0))</f>
        <v>83.6</v>
      </c>
      <c r="T653" s="18" t="n">
        <f aca="false">P653*INDEX(Parametros!$B$13:$B$16,MATCH($F653,Parametros!$A$13:$A$16,0))</f>
        <v>41.49288</v>
      </c>
      <c r="U653" s="21" t="n">
        <f aca="false">P653-R653-S653-T653</f>
        <v>347.83232</v>
      </c>
      <c r="V653" s="19" t="n">
        <f aca="false">IFERROR(U653/P653,0)</f>
        <v>0.25148819749316</v>
      </c>
      <c r="W653" s="48" t="n">
        <f aca="false">B653+INDEX(Parametros!$C$13:$C$16,MATCH($F653,Parametros!$A$13:$A$16,0))</f>
        <v>45933</v>
      </c>
      <c r="X653" s="31" t="s">
        <v>67</v>
      </c>
      <c r="Y653" s="53" t="n">
        <f aca="false">IF(COUNTIF($A$2:$A653,A653)=1,1,0)</f>
        <v>1</v>
      </c>
    </row>
    <row r="654" customFormat="false" ht="15" hidden="false" customHeight="false" outlineLevel="0" collapsed="false">
      <c r="A654" s="31" t="s">
        <v>587</v>
      </c>
      <c r="B654" s="36" t="n">
        <v>45874</v>
      </c>
      <c r="C654" s="49" t="n">
        <f aca="false">DATE(YEAR(B654),MONTH(B654),1)</f>
        <v>45870</v>
      </c>
      <c r="D654" s="31" t="s">
        <v>209</v>
      </c>
      <c r="E654" s="31" t="s">
        <v>41</v>
      </c>
      <c r="F654" s="31" t="s">
        <v>45</v>
      </c>
      <c r="G654" s="31" t="s">
        <v>62</v>
      </c>
      <c r="H654" s="31" t="s">
        <v>181</v>
      </c>
      <c r="I654" s="32" t="str">
        <f aca="false">INDEX(Productos!$B$2:$B$13,MATCH($H654,Productos!$A$2:$A$13,0))</f>
        <v>Autotaladrante 5,5x55 punta broca</v>
      </c>
      <c r="J654" s="32" t="str">
        <f aca="false">INDEX(Productos!$C$2:$C$13,MATCH($H654,Productos!$A$2:$A$13,0))</f>
        <v>Autotaladrante</v>
      </c>
      <c r="K654" s="31" t="s">
        <v>246</v>
      </c>
      <c r="L654" s="46" t="n">
        <v>40</v>
      </c>
      <c r="M654" s="50" t="n">
        <f aca="false">INDEX(Productos!$F$2:$F$13,MATCH($H654,Productos!$A$2:$A$13,0))</f>
        <v>39</v>
      </c>
      <c r="N654" s="51" t="n">
        <v>0.176</v>
      </c>
      <c r="O654" s="52" t="n">
        <f aca="false">M654*(1-N654)</f>
        <v>32.136</v>
      </c>
      <c r="P654" s="21" t="n">
        <f aca="false">L654*O654</f>
        <v>1285.44</v>
      </c>
      <c r="Q654" s="50" t="n">
        <f aca="false">INDEX(Productos!$E$2:$E$13,MATCH($H654,Productos!$A$2:$A$13,0))*INDEX(Parametros!$B$26:$B$43,MATCH($C654,Parametros!$A$26:$A$43,0))</f>
        <v>20.6857</v>
      </c>
      <c r="R654" s="21" t="n">
        <f aca="false">L654*Q654</f>
        <v>827.428</v>
      </c>
      <c r="S654" s="18" t="n">
        <f aca="false">L654*INDEX(Parametros!$B$20:$B$22,MATCH($E654,Parametros!$A$20:$A$22,0))</f>
        <v>34</v>
      </c>
      <c r="T654" s="18" t="n">
        <f aca="false">P654*INDEX(Parametros!$B$13:$B$16,MATCH($F654,Parametros!$A$13:$A$16,0))</f>
        <v>38.5632</v>
      </c>
      <c r="U654" s="21" t="n">
        <f aca="false">P654-R654-S654-T654</f>
        <v>385.4488</v>
      </c>
      <c r="V654" s="19" t="n">
        <f aca="false">IFERROR(U654/P654,0)</f>
        <v>0.299857480706995</v>
      </c>
      <c r="W654" s="48" t="n">
        <f aca="false">B654+INDEX(Parametros!$C$13:$C$16,MATCH($F654,Parametros!$A$13:$A$16,0))</f>
        <v>45934</v>
      </c>
      <c r="X654" s="31" t="s">
        <v>67</v>
      </c>
      <c r="Y654" s="53" t="n">
        <f aca="false">IF(COUNTIF($A$2:$A654,A654)=1,1,0)</f>
        <v>1</v>
      </c>
    </row>
    <row r="655" customFormat="false" ht="15" hidden="false" customHeight="false" outlineLevel="0" collapsed="false">
      <c r="A655" s="31" t="s">
        <v>588</v>
      </c>
      <c r="B655" s="36" t="n">
        <v>45874</v>
      </c>
      <c r="C655" s="49" t="n">
        <f aca="false">DATE(YEAR(B655),MONTH(B655),1)</f>
        <v>45870</v>
      </c>
      <c r="D655" s="31" t="s">
        <v>212</v>
      </c>
      <c r="E655" s="31" t="s">
        <v>42</v>
      </c>
      <c r="F655" s="31" t="s">
        <v>45</v>
      </c>
      <c r="G655" s="31" t="s">
        <v>61</v>
      </c>
      <c r="H655" s="31" t="s">
        <v>171</v>
      </c>
      <c r="I655" s="32" t="str">
        <f aca="false">INDEX(Productos!$B$2:$B$13,MATCH($H655,Productos!$A$2:$A$13,0))</f>
        <v>Tornillo DIN 7991 M8x30 avellanado inox A2</v>
      </c>
      <c r="J655" s="32" t="str">
        <f aca="false">INDEX(Productos!$C$2:$C$13,MATCH($H655,Productos!$A$2:$A$13,0))</f>
        <v>Inoxidable</v>
      </c>
      <c r="K655" s="31" t="s">
        <v>246</v>
      </c>
      <c r="L655" s="46" t="n">
        <v>28</v>
      </c>
      <c r="M655" s="50" t="n">
        <f aca="false">INDEX(Productos!$F$2:$F$13,MATCH($H655,Productos!$A$2:$A$13,0))</f>
        <v>88</v>
      </c>
      <c r="N655" s="51" t="n">
        <v>0.147</v>
      </c>
      <c r="O655" s="52" t="n">
        <f aca="false">M655*(1-N655)</f>
        <v>75.064</v>
      </c>
      <c r="P655" s="21" t="n">
        <f aca="false">L655*O655</f>
        <v>2101.792</v>
      </c>
      <c r="Q655" s="50" t="n">
        <f aca="false">INDEX(Productos!$E$2:$E$13,MATCH($H655,Productos!$A$2:$A$13,0))*INDEX(Parametros!$B$26:$B$43,MATCH($C655,Parametros!$A$26:$A$43,0))</f>
        <v>47.3835</v>
      </c>
      <c r="R655" s="21" t="n">
        <f aca="false">L655*Q655</f>
        <v>1326.738</v>
      </c>
      <c r="S655" s="18" t="n">
        <f aca="false">L655*INDEX(Parametros!$B$20:$B$22,MATCH($E655,Parametros!$A$20:$A$22,0))</f>
        <v>67.2</v>
      </c>
      <c r="T655" s="18" t="n">
        <f aca="false">P655*INDEX(Parametros!$B$13:$B$16,MATCH($F655,Parametros!$A$13:$A$16,0))</f>
        <v>63.05376</v>
      </c>
      <c r="U655" s="21" t="n">
        <f aca="false">P655-R655-S655-T655</f>
        <v>644.80024</v>
      </c>
      <c r="V655" s="19" t="n">
        <f aca="false">IFERROR(U655/P655,0)</f>
        <v>0.306785942662262</v>
      </c>
      <c r="W655" s="48" t="n">
        <f aca="false">B655+INDEX(Parametros!$C$13:$C$16,MATCH($F655,Parametros!$A$13:$A$16,0))</f>
        <v>45934</v>
      </c>
      <c r="X655" s="31" t="s">
        <v>67</v>
      </c>
      <c r="Y655" s="53" t="n">
        <f aca="false">IF(COUNTIF($A$2:$A655,A655)=1,1,0)</f>
        <v>1</v>
      </c>
    </row>
    <row r="656" customFormat="false" ht="15" hidden="false" customHeight="false" outlineLevel="0" collapsed="false">
      <c r="A656" s="31" t="s">
        <v>589</v>
      </c>
      <c r="B656" s="36" t="n">
        <v>45874</v>
      </c>
      <c r="C656" s="49" t="n">
        <f aca="false">DATE(YEAR(B656),MONTH(B656),1)</f>
        <v>45870</v>
      </c>
      <c r="D656" s="31" t="s">
        <v>221</v>
      </c>
      <c r="E656" s="31" t="s">
        <v>43</v>
      </c>
      <c r="F656" s="31" t="s">
        <v>45</v>
      </c>
      <c r="G656" s="31" t="s">
        <v>59</v>
      </c>
      <c r="H656" s="31" t="s">
        <v>181</v>
      </c>
      <c r="I656" s="32" t="str">
        <f aca="false">INDEX(Productos!$B$2:$B$13,MATCH($H656,Productos!$A$2:$A$13,0))</f>
        <v>Autotaladrante 5,5x55 punta broca</v>
      </c>
      <c r="J656" s="32" t="str">
        <f aca="false">INDEX(Productos!$C$2:$C$13,MATCH($H656,Productos!$A$2:$A$13,0))</f>
        <v>Autotaladrante</v>
      </c>
      <c r="K656" s="31" t="s">
        <v>246</v>
      </c>
      <c r="L656" s="46" t="n">
        <v>29</v>
      </c>
      <c r="M656" s="50" t="n">
        <f aca="false">INDEX(Productos!$F$2:$F$13,MATCH($H656,Productos!$A$2:$A$13,0))</f>
        <v>39</v>
      </c>
      <c r="N656" s="51" t="n">
        <v>0.173</v>
      </c>
      <c r="O656" s="52" t="n">
        <f aca="false">M656*(1-N656)</f>
        <v>32.253</v>
      </c>
      <c r="P656" s="21" t="n">
        <f aca="false">L656*O656</f>
        <v>935.337</v>
      </c>
      <c r="Q656" s="50" t="n">
        <f aca="false">INDEX(Productos!$E$2:$E$13,MATCH($H656,Productos!$A$2:$A$13,0))*INDEX(Parametros!$B$26:$B$43,MATCH($C656,Parametros!$A$26:$A$43,0))</f>
        <v>20.6857</v>
      </c>
      <c r="R656" s="21" t="n">
        <f aca="false">L656*Q656</f>
        <v>599.8853</v>
      </c>
      <c r="S656" s="18" t="n">
        <f aca="false">L656*INDEX(Parametros!$B$20:$B$22,MATCH($E656,Parametros!$A$20:$A$22,0))</f>
        <v>55.1</v>
      </c>
      <c r="T656" s="18" t="n">
        <f aca="false">P656*INDEX(Parametros!$B$13:$B$16,MATCH($F656,Parametros!$A$13:$A$16,0))</f>
        <v>28.06011</v>
      </c>
      <c r="U656" s="21" t="n">
        <f aca="false">P656-R656-S656-T656</f>
        <v>252.29159</v>
      </c>
      <c r="V656" s="19" t="n">
        <f aca="false">IFERROR(U656/P656,0)</f>
        <v>0.269733358137228</v>
      </c>
      <c r="W656" s="48" t="n">
        <f aca="false">B656+INDEX(Parametros!$C$13:$C$16,MATCH($F656,Parametros!$A$13:$A$16,0))</f>
        <v>45934</v>
      </c>
      <c r="X656" s="31" t="s">
        <v>67</v>
      </c>
      <c r="Y656" s="53" t="n">
        <f aca="false">IF(COUNTIF($A$2:$A656,A656)=1,1,0)</f>
        <v>1</v>
      </c>
    </row>
    <row r="657" customFormat="false" ht="15" hidden="false" customHeight="false" outlineLevel="0" collapsed="false">
      <c r="A657" s="31" t="s">
        <v>590</v>
      </c>
      <c r="B657" s="36" t="n">
        <v>45874</v>
      </c>
      <c r="C657" s="49" t="n">
        <f aca="false">DATE(YEAR(B657),MONTH(B657),1)</f>
        <v>45870</v>
      </c>
      <c r="D657" s="31" t="s">
        <v>214</v>
      </c>
      <c r="E657" s="31" t="s">
        <v>42</v>
      </c>
      <c r="F657" s="31" t="s">
        <v>46</v>
      </c>
      <c r="G657" s="31" t="s">
        <v>61</v>
      </c>
      <c r="H657" s="31" t="s">
        <v>179</v>
      </c>
      <c r="I657" s="32" t="str">
        <f aca="false">INDEX(Productos!$B$2:$B$13,MATCH($H657,Productos!$A$2:$A$13,0))</f>
        <v>Autotaladrante DIN 7504 4,8x38 zincado</v>
      </c>
      <c r="J657" s="32" t="str">
        <f aca="false">INDEX(Productos!$C$2:$C$13,MATCH($H657,Productos!$A$2:$A$13,0))</f>
        <v>Autotaladrante</v>
      </c>
      <c r="K657" s="31" t="s">
        <v>246</v>
      </c>
      <c r="L657" s="46" t="n">
        <v>32</v>
      </c>
      <c r="M657" s="50" t="n">
        <f aca="false">INDEX(Productos!$F$2:$F$13,MATCH($H657,Productos!$A$2:$A$13,0))</f>
        <v>29.5</v>
      </c>
      <c r="N657" s="51" t="n">
        <v>0.178</v>
      </c>
      <c r="O657" s="52" t="n">
        <f aca="false">M657*(1-N657)</f>
        <v>24.249</v>
      </c>
      <c r="P657" s="21" t="n">
        <f aca="false">L657*O657</f>
        <v>775.968</v>
      </c>
      <c r="Q657" s="50" t="n">
        <f aca="false">INDEX(Productos!$E$2:$E$13,MATCH($H657,Productos!$A$2:$A$13,0))*INDEX(Parametros!$B$26:$B$43,MATCH($C657,Parametros!$A$26:$A$43,0))</f>
        <v>15.4888</v>
      </c>
      <c r="R657" s="21" t="n">
        <f aca="false">L657*Q657</f>
        <v>495.6416</v>
      </c>
      <c r="S657" s="18" t="n">
        <f aca="false">L657*INDEX(Parametros!$B$20:$B$22,MATCH($E657,Parametros!$A$20:$A$22,0))</f>
        <v>76.8</v>
      </c>
      <c r="T657" s="18" t="n">
        <f aca="false">P657*INDEX(Parametros!$B$13:$B$16,MATCH($F657,Parametros!$A$13:$A$16,0))</f>
        <v>31.03872</v>
      </c>
      <c r="U657" s="21" t="n">
        <f aca="false">P657-R657-S657-T657</f>
        <v>172.48768</v>
      </c>
      <c r="V657" s="19" t="n">
        <f aca="false">IFERROR(U657/P657,0)</f>
        <v>0.222287104622871</v>
      </c>
      <c r="W657" s="48" t="n">
        <f aca="false">B657+INDEX(Parametros!$C$13:$C$16,MATCH($F657,Parametros!$A$13:$A$16,0))</f>
        <v>45949</v>
      </c>
      <c r="X657" s="31" t="s">
        <v>67</v>
      </c>
      <c r="Y657" s="53" t="n">
        <f aca="false">IF(COUNTIF($A$2:$A657,A657)=1,1,0)</f>
        <v>1</v>
      </c>
    </row>
    <row r="658" customFormat="false" ht="15" hidden="false" customHeight="false" outlineLevel="0" collapsed="false">
      <c r="A658" s="31" t="s">
        <v>590</v>
      </c>
      <c r="B658" s="36" t="n">
        <v>45874</v>
      </c>
      <c r="C658" s="49" t="n">
        <f aca="false">DATE(YEAR(B658),MONTH(B658),1)</f>
        <v>45870</v>
      </c>
      <c r="D658" s="31" t="s">
        <v>214</v>
      </c>
      <c r="E658" s="31" t="s">
        <v>42</v>
      </c>
      <c r="F658" s="31" t="s">
        <v>46</v>
      </c>
      <c r="G658" s="31" t="s">
        <v>61</v>
      </c>
      <c r="H658" s="31" t="s">
        <v>185</v>
      </c>
      <c r="I658" s="32" t="str">
        <f aca="false">INDEX(Productos!$B$2:$B$13,MATCH($H658,Productos!$A$2:$A$13,0))</f>
        <v>Varilla roscada M10 x 1 m zincada</v>
      </c>
      <c r="J658" s="32" t="str">
        <f aca="false">INDEX(Productos!$C$2:$C$13,MATCH($H658,Productos!$A$2:$A$13,0))</f>
        <v>Especial</v>
      </c>
      <c r="K658" s="31" t="s">
        <v>246</v>
      </c>
      <c r="L658" s="46" t="n">
        <v>56</v>
      </c>
      <c r="M658" s="50" t="n">
        <f aca="false">INDEX(Productos!$F$2:$F$13,MATCH($H658,Productos!$A$2:$A$13,0))</f>
        <v>54</v>
      </c>
      <c r="N658" s="51" t="n">
        <v>0.158</v>
      </c>
      <c r="O658" s="52" t="n">
        <f aca="false">M658*(1-N658)</f>
        <v>45.468</v>
      </c>
      <c r="P658" s="21" t="n">
        <f aca="false">L658*O658</f>
        <v>2546.208</v>
      </c>
      <c r="Q658" s="50" t="n">
        <f aca="false">INDEX(Productos!$E$2:$E$13,MATCH($H658,Productos!$A$2:$A$13,0))*INDEX(Parametros!$B$26:$B$43,MATCH($C658,Parametros!$A$26:$A$43,0))</f>
        <v>29.0415</v>
      </c>
      <c r="R658" s="21" t="n">
        <f aca="false">L658*Q658</f>
        <v>1626.324</v>
      </c>
      <c r="S658" s="18" t="n">
        <f aca="false">L658*INDEX(Parametros!$B$20:$B$22,MATCH($E658,Parametros!$A$20:$A$22,0))</f>
        <v>134.4</v>
      </c>
      <c r="T658" s="18" t="n">
        <f aca="false">P658*INDEX(Parametros!$B$13:$B$16,MATCH($F658,Parametros!$A$13:$A$16,0))</f>
        <v>101.84832</v>
      </c>
      <c r="U658" s="21" t="n">
        <f aca="false">P658-R658-S658-T658</f>
        <v>683.63568</v>
      </c>
      <c r="V658" s="19" t="n">
        <f aca="false">IFERROR(U658/P658,0)</f>
        <v>0.268491686460808</v>
      </c>
      <c r="W658" s="48" t="n">
        <f aca="false">B658+INDEX(Parametros!$C$13:$C$16,MATCH($F658,Parametros!$A$13:$A$16,0))</f>
        <v>45949</v>
      </c>
      <c r="X658" s="31" t="s">
        <v>67</v>
      </c>
      <c r="Y658" s="53" t="n">
        <f aca="false">IF(COUNTIF($A$2:$A658,A658)=1,1,0)</f>
        <v>0</v>
      </c>
    </row>
    <row r="659" customFormat="false" ht="15" hidden="false" customHeight="false" outlineLevel="0" collapsed="false">
      <c r="A659" s="31" t="s">
        <v>591</v>
      </c>
      <c r="B659" s="36" t="n">
        <v>45877</v>
      </c>
      <c r="C659" s="49" t="n">
        <f aca="false">DATE(YEAR(B659),MONTH(B659),1)</f>
        <v>45870</v>
      </c>
      <c r="D659" s="31" t="s">
        <v>216</v>
      </c>
      <c r="E659" s="31" t="s">
        <v>42</v>
      </c>
      <c r="F659" s="31" t="s">
        <v>45</v>
      </c>
      <c r="G659" s="31" t="s">
        <v>61</v>
      </c>
      <c r="H659" s="31" t="s">
        <v>181</v>
      </c>
      <c r="I659" s="32" t="str">
        <f aca="false">INDEX(Productos!$B$2:$B$13,MATCH($H659,Productos!$A$2:$A$13,0))</f>
        <v>Autotaladrante 5,5x55 punta broca</v>
      </c>
      <c r="J659" s="32" t="str">
        <f aca="false">INDEX(Productos!$C$2:$C$13,MATCH($H659,Productos!$A$2:$A$13,0))</f>
        <v>Autotaladrante</v>
      </c>
      <c r="K659" s="31" t="s">
        <v>246</v>
      </c>
      <c r="L659" s="46" t="n">
        <v>210</v>
      </c>
      <c r="M659" s="50" t="n">
        <f aca="false">INDEX(Productos!$F$2:$F$13,MATCH($H659,Productos!$A$2:$A$13,0))</f>
        <v>39</v>
      </c>
      <c r="N659" s="51" t="n">
        <v>0.195</v>
      </c>
      <c r="O659" s="52" t="n">
        <f aca="false">M659*(1-N659)</f>
        <v>31.395</v>
      </c>
      <c r="P659" s="21" t="n">
        <f aca="false">L659*O659</f>
        <v>6592.95</v>
      </c>
      <c r="Q659" s="50" t="n">
        <f aca="false">INDEX(Productos!$E$2:$E$13,MATCH($H659,Productos!$A$2:$A$13,0))*INDEX(Parametros!$B$26:$B$43,MATCH($C659,Parametros!$A$26:$A$43,0))</f>
        <v>20.6857</v>
      </c>
      <c r="R659" s="21" t="n">
        <f aca="false">L659*Q659</f>
        <v>4343.997</v>
      </c>
      <c r="S659" s="18" t="n">
        <f aca="false">L659*INDEX(Parametros!$B$20:$B$22,MATCH($E659,Parametros!$A$20:$A$22,0))</f>
        <v>504</v>
      </c>
      <c r="T659" s="18" t="n">
        <f aca="false">P659*INDEX(Parametros!$B$13:$B$16,MATCH($F659,Parametros!$A$13:$A$16,0))</f>
        <v>197.7885</v>
      </c>
      <c r="U659" s="21" t="n">
        <f aca="false">P659-R659-S659-T659</f>
        <v>1547.1645</v>
      </c>
      <c r="V659" s="19" t="n">
        <f aca="false">IFERROR(U659/P659,0)</f>
        <v>0.234669533365186</v>
      </c>
      <c r="W659" s="48" t="n">
        <f aca="false">B659+INDEX(Parametros!$C$13:$C$16,MATCH($F659,Parametros!$A$13:$A$16,0))</f>
        <v>45937</v>
      </c>
      <c r="X659" s="31" t="s">
        <v>67</v>
      </c>
      <c r="Y659" s="53" t="n">
        <f aca="false">IF(COUNTIF($A$2:$A659,A659)=1,1,0)</f>
        <v>1</v>
      </c>
    </row>
    <row r="660" customFormat="false" ht="15" hidden="false" customHeight="false" outlineLevel="0" collapsed="false">
      <c r="A660" s="31" t="s">
        <v>591</v>
      </c>
      <c r="B660" s="36" t="n">
        <v>45877</v>
      </c>
      <c r="C660" s="49" t="n">
        <f aca="false">DATE(YEAR(B660),MONTH(B660),1)</f>
        <v>45870</v>
      </c>
      <c r="D660" s="31" t="s">
        <v>216</v>
      </c>
      <c r="E660" s="31" t="s">
        <v>42</v>
      </c>
      <c r="F660" s="31" t="s">
        <v>45</v>
      </c>
      <c r="G660" s="31" t="s">
        <v>61</v>
      </c>
      <c r="H660" s="31" t="s">
        <v>183</v>
      </c>
      <c r="I660" s="32" t="str">
        <f aca="false">INDEX(Productos!$B$2:$B$13,MATCH($H660,Productos!$A$2:$A$13,0))</f>
        <v>Tornillo estructural M16x90 clase 10.9</v>
      </c>
      <c r="J660" s="32" t="str">
        <f aca="false">INDEX(Productos!$C$2:$C$13,MATCH($H660,Productos!$A$2:$A$13,0))</f>
        <v>Especial</v>
      </c>
      <c r="K660" s="31" t="s">
        <v>246</v>
      </c>
      <c r="L660" s="46" t="n">
        <v>30</v>
      </c>
      <c r="M660" s="50" t="n">
        <f aca="false">INDEX(Productos!$F$2:$F$13,MATCH($H660,Productos!$A$2:$A$13,0))</f>
        <v>112</v>
      </c>
      <c r="N660" s="51" t="n">
        <v>0.12</v>
      </c>
      <c r="O660" s="52" t="n">
        <f aca="false">M660*(1-N660)</f>
        <v>98.56</v>
      </c>
      <c r="P660" s="21" t="n">
        <f aca="false">L660*O660</f>
        <v>2956.8</v>
      </c>
      <c r="Q660" s="50" t="n">
        <f aca="false">INDEX(Productos!$E$2:$E$13,MATCH($H660,Productos!$A$2:$A$13,0))*INDEX(Parametros!$B$26:$B$43,MATCH($C660,Parametros!$A$26:$A$43,0))</f>
        <v>61.14</v>
      </c>
      <c r="R660" s="21" t="n">
        <f aca="false">L660*Q660</f>
        <v>1834.2</v>
      </c>
      <c r="S660" s="18" t="n">
        <f aca="false">L660*INDEX(Parametros!$B$20:$B$22,MATCH($E660,Parametros!$A$20:$A$22,0))</f>
        <v>72</v>
      </c>
      <c r="T660" s="18" t="n">
        <f aca="false">P660*INDEX(Parametros!$B$13:$B$16,MATCH($F660,Parametros!$A$13:$A$16,0))</f>
        <v>88.704</v>
      </c>
      <c r="U660" s="21" t="n">
        <f aca="false">P660-R660-S660-T660</f>
        <v>961.896</v>
      </c>
      <c r="V660" s="19" t="n">
        <f aca="false">IFERROR(U660/P660,0)</f>
        <v>0.325316558441559</v>
      </c>
      <c r="W660" s="48" t="n">
        <f aca="false">B660+INDEX(Parametros!$C$13:$C$16,MATCH($F660,Parametros!$A$13:$A$16,0))</f>
        <v>45937</v>
      </c>
      <c r="X660" s="31" t="s">
        <v>67</v>
      </c>
      <c r="Y660" s="53" t="n">
        <f aca="false">IF(COUNTIF($A$2:$A660,A660)=1,1,0)</f>
        <v>0</v>
      </c>
    </row>
    <row r="661" customFormat="false" ht="15" hidden="false" customHeight="false" outlineLevel="0" collapsed="false">
      <c r="A661" s="31" t="s">
        <v>591</v>
      </c>
      <c r="B661" s="36" t="n">
        <v>45877</v>
      </c>
      <c r="C661" s="49" t="n">
        <f aca="false">DATE(YEAR(B661),MONTH(B661),1)</f>
        <v>45870</v>
      </c>
      <c r="D661" s="31" t="s">
        <v>216</v>
      </c>
      <c r="E661" s="31" t="s">
        <v>42</v>
      </c>
      <c r="F661" s="31" t="s">
        <v>45</v>
      </c>
      <c r="G661" s="31" t="s">
        <v>61</v>
      </c>
      <c r="H661" s="31" t="s">
        <v>177</v>
      </c>
      <c r="I661" s="32" t="str">
        <f aca="false">INDEX(Productos!$B$2:$B$13,MATCH($H661,Productos!$A$2:$A$13,0))</f>
        <v>Tirafondo madera 6x100 cabeza plana Torx</v>
      </c>
      <c r="J661" s="32" t="str">
        <f aca="false">INDEX(Productos!$C$2:$C$13,MATCH($H661,Productos!$A$2:$A$13,0))</f>
        <v>Madera</v>
      </c>
      <c r="K661" s="31" t="s">
        <v>246</v>
      </c>
      <c r="L661" s="46" t="n">
        <v>81</v>
      </c>
      <c r="M661" s="50" t="n">
        <f aca="false">INDEX(Productos!$F$2:$F$13,MATCH($H661,Productos!$A$2:$A$13,0))</f>
        <v>34</v>
      </c>
      <c r="N661" s="51" t="n">
        <v>0.158</v>
      </c>
      <c r="O661" s="52" t="n">
        <f aca="false">M661*(1-N661)</f>
        <v>28.628</v>
      </c>
      <c r="P661" s="21" t="n">
        <f aca="false">L661*O661</f>
        <v>2318.868</v>
      </c>
      <c r="Q661" s="50" t="n">
        <f aca="false">INDEX(Productos!$E$2:$E$13,MATCH($H661,Productos!$A$2:$A$13,0))*INDEX(Parametros!$B$26:$B$43,MATCH($C661,Parametros!$A$26:$A$43,0))</f>
        <v>18.1382</v>
      </c>
      <c r="R661" s="21" t="n">
        <f aca="false">L661*Q661</f>
        <v>1469.1942</v>
      </c>
      <c r="S661" s="18" t="n">
        <f aca="false">L661*INDEX(Parametros!$B$20:$B$22,MATCH($E661,Parametros!$A$20:$A$22,0))</f>
        <v>194.4</v>
      </c>
      <c r="T661" s="18" t="n">
        <f aca="false">P661*INDEX(Parametros!$B$13:$B$16,MATCH($F661,Parametros!$A$13:$A$16,0))</f>
        <v>69.56604</v>
      </c>
      <c r="U661" s="21" t="n">
        <f aca="false">P661-R661-S661-T661</f>
        <v>585.70776</v>
      </c>
      <c r="V661" s="19" t="n">
        <f aca="false">IFERROR(U661/P661,0)</f>
        <v>0.252583484700293</v>
      </c>
      <c r="W661" s="48" t="n">
        <f aca="false">B661+INDEX(Parametros!$C$13:$C$16,MATCH($F661,Parametros!$A$13:$A$16,0))</f>
        <v>45937</v>
      </c>
      <c r="X661" s="31" t="s">
        <v>67</v>
      </c>
      <c r="Y661" s="53" t="n">
        <f aca="false">IF(COUNTIF($A$2:$A661,A661)=1,1,0)</f>
        <v>0</v>
      </c>
    </row>
    <row r="662" customFormat="false" ht="15" hidden="false" customHeight="false" outlineLevel="0" collapsed="false">
      <c r="A662" s="31" t="s">
        <v>591</v>
      </c>
      <c r="B662" s="36" t="n">
        <v>45877</v>
      </c>
      <c r="C662" s="49" t="n">
        <f aca="false">DATE(YEAR(B662),MONTH(B662),1)</f>
        <v>45870</v>
      </c>
      <c r="D662" s="31" t="s">
        <v>216</v>
      </c>
      <c r="E662" s="31" t="s">
        <v>42</v>
      </c>
      <c r="F662" s="31" t="s">
        <v>45</v>
      </c>
      <c r="G662" s="31" t="s">
        <v>61</v>
      </c>
      <c r="H662" s="31" t="s">
        <v>179</v>
      </c>
      <c r="I662" s="32" t="str">
        <f aca="false">INDEX(Productos!$B$2:$B$13,MATCH($H662,Productos!$A$2:$A$13,0))</f>
        <v>Autotaladrante DIN 7504 4,8x38 zincado</v>
      </c>
      <c r="J662" s="32" t="str">
        <f aca="false">INDEX(Productos!$C$2:$C$13,MATCH($H662,Productos!$A$2:$A$13,0))</f>
        <v>Autotaladrante</v>
      </c>
      <c r="K662" s="31" t="s">
        <v>246</v>
      </c>
      <c r="L662" s="46" t="n">
        <v>61</v>
      </c>
      <c r="M662" s="50" t="n">
        <f aca="false">INDEX(Productos!$F$2:$F$13,MATCH($H662,Productos!$A$2:$A$13,0))</f>
        <v>29.5</v>
      </c>
      <c r="N662" s="51" t="n">
        <v>0.211</v>
      </c>
      <c r="O662" s="52" t="n">
        <f aca="false">M662*(1-N662)</f>
        <v>23.2755</v>
      </c>
      <c r="P662" s="21" t="n">
        <f aca="false">L662*O662</f>
        <v>1419.8055</v>
      </c>
      <c r="Q662" s="50" t="n">
        <f aca="false">INDEX(Productos!$E$2:$E$13,MATCH($H662,Productos!$A$2:$A$13,0))*INDEX(Parametros!$B$26:$B$43,MATCH($C662,Parametros!$A$26:$A$43,0))</f>
        <v>15.4888</v>
      </c>
      <c r="R662" s="21" t="n">
        <f aca="false">L662*Q662</f>
        <v>944.8168</v>
      </c>
      <c r="S662" s="18" t="n">
        <f aca="false">L662*INDEX(Parametros!$B$20:$B$22,MATCH($E662,Parametros!$A$20:$A$22,0))</f>
        <v>146.4</v>
      </c>
      <c r="T662" s="18" t="n">
        <f aca="false">P662*INDEX(Parametros!$B$13:$B$16,MATCH($F662,Parametros!$A$13:$A$16,0))</f>
        <v>42.594165</v>
      </c>
      <c r="U662" s="21" t="n">
        <f aca="false">P662-R662-S662-T662</f>
        <v>285.994535</v>
      </c>
      <c r="V662" s="19" t="n">
        <f aca="false">IFERROR(U662/P662,0)</f>
        <v>0.201432192648923</v>
      </c>
      <c r="W662" s="48" t="n">
        <f aca="false">B662+INDEX(Parametros!$C$13:$C$16,MATCH($F662,Parametros!$A$13:$A$16,0))</f>
        <v>45937</v>
      </c>
      <c r="X662" s="31" t="s">
        <v>67</v>
      </c>
      <c r="Y662" s="53" t="n">
        <f aca="false">IF(COUNTIF($A$2:$A662,A662)=1,1,0)</f>
        <v>0</v>
      </c>
    </row>
    <row r="663" customFormat="false" ht="15" hidden="false" customHeight="false" outlineLevel="0" collapsed="false">
      <c r="A663" s="31" t="s">
        <v>592</v>
      </c>
      <c r="B663" s="36" t="n">
        <v>45877</v>
      </c>
      <c r="C663" s="49" t="n">
        <f aca="false">DATE(YEAR(B663),MONTH(B663),1)</f>
        <v>45870</v>
      </c>
      <c r="D663" s="31" t="s">
        <v>212</v>
      </c>
      <c r="E663" s="31" t="s">
        <v>42</v>
      </c>
      <c r="F663" s="31" t="s">
        <v>45</v>
      </c>
      <c r="G663" s="31" t="s">
        <v>61</v>
      </c>
      <c r="H663" s="31" t="s">
        <v>163</v>
      </c>
      <c r="I663" s="32" t="str">
        <f aca="false">INDEX(Productos!$B$2:$B$13,MATCH($H663,Productos!$A$2:$A$13,0))</f>
        <v>Tornillo DIN 933 M6x30 rosca completa zincado</v>
      </c>
      <c r="J663" s="32" t="str">
        <f aca="false">INDEX(Productos!$C$2:$C$13,MATCH($H663,Productos!$A$2:$A$13,0))</f>
        <v>Métrica</v>
      </c>
      <c r="K663" s="31" t="s">
        <v>246</v>
      </c>
      <c r="L663" s="46" t="n">
        <v>36</v>
      </c>
      <c r="M663" s="50" t="n">
        <f aca="false">INDEX(Productos!$F$2:$F$13,MATCH($H663,Productos!$A$2:$A$13,0))</f>
        <v>32</v>
      </c>
      <c r="N663" s="51" t="n">
        <v>0.217</v>
      </c>
      <c r="O663" s="52" t="n">
        <f aca="false">M663*(1-N663)</f>
        <v>25.056</v>
      </c>
      <c r="P663" s="21" t="n">
        <f aca="false">L663*O663</f>
        <v>902.016</v>
      </c>
      <c r="Q663" s="50" t="n">
        <f aca="false">INDEX(Productos!$E$2:$E$13,MATCH($H663,Productos!$A$2:$A$13,0))*INDEX(Parametros!$B$26:$B$43,MATCH($C663,Parametros!$A$26:$A$43,0))</f>
        <v>16.9154</v>
      </c>
      <c r="R663" s="21" t="n">
        <f aca="false">L663*Q663</f>
        <v>608.9544</v>
      </c>
      <c r="S663" s="18" t="n">
        <f aca="false">L663*INDEX(Parametros!$B$20:$B$22,MATCH($E663,Parametros!$A$20:$A$22,0))</f>
        <v>86.4</v>
      </c>
      <c r="T663" s="18" t="n">
        <f aca="false">P663*INDEX(Parametros!$B$13:$B$16,MATCH($F663,Parametros!$A$13:$A$16,0))</f>
        <v>27.06048</v>
      </c>
      <c r="U663" s="21" t="n">
        <f aca="false">P663-R663-S663-T663</f>
        <v>179.60112</v>
      </c>
      <c r="V663" s="19" t="n">
        <f aca="false">IFERROR(U663/P663,0)</f>
        <v>0.199110791826309</v>
      </c>
      <c r="W663" s="48" t="n">
        <f aca="false">B663+INDEX(Parametros!$C$13:$C$16,MATCH($F663,Parametros!$A$13:$A$16,0))</f>
        <v>45937</v>
      </c>
      <c r="X663" s="31" t="s">
        <v>67</v>
      </c>
      <c r="Y663" s="53" t="n">
        <f aca="false">IF(COUNTIF($A$2:$A663,A663)=1,1,0)</f>
        <v>1</v>
      </c>
    </row>
    <row r="664" customFormat="false" ht="15" hidden="false" customHeight="false" outlineLevel="0" collapsed="false">
      <c r="A664" s="31" t="s">
        <v>593</v>
      </c>
      <c r="B664" s="36" t="n">
        <v>45880</v>
      </c>
      <c r="C664" s="49" t="n">
        <f aca="false">DATE(YEAR(B664),MONTH(B664),1)</f>
        <v>45870</v>
      </c>
      <c r="D664" s="31" t="s">
        <v>226</v>
      </c>
      <c r="E664" s="31" t="s">
        <v>43</v>
      </c>
      <c r="F664" s="31" t="s">
        <v>46</v>
      </c>
      <c r="G664" s="31" t="s">
        <v>59</v>
      </c>
      <c r="H664" s="31" t="s">
        <v>171</v>
      </c>
      <c r="I664" s="32" t="str">
        <f aca="false">INDEX(Productos!$B$2:$B$13,MATCH($H664,Productos!$A$2:$A$13,0))</f>
        <v>Tornillo DIN 7991 M8x30 avellanado inox A2</v>
      </c>
      <c r="J664" s="32" t="str">
        <f aca="false">INDEX(Productos!$C$2:$C$13,MATCH($H664,Productos!$A$2:$A$13,0))</f>
        <v>Inoxidable</v>
      </c>
      <c r="K664" s="31" t="s">
        <v>246</v>
      </c>
      <c r="L664" s="46" t="n">
        <v>104</v>
      </c>
      <c r="M664" s="50" t="n">
        <f aca="false">INDEX(Productos!$F$2:$F$13,MATCH($H664,Productos!$A$2:$A$13,0))</f>
        <v>88</v>
      </c>
      <c r="N664" s="51" t="n">
        <v>0.123</v>
      </c>
      <c r="O664" s="52" t="n">
        <f aca="false">M664*(1-N664)</f>
        <v>77.176</v>
      </c>
      <c r="P664" s="21" t="n">
        <f aca="false">L664*O664</f>
        <v>8026.304</v>
      </c>
      <c r="Q664" s="50" t="n">
        <f aca="false">INDEX(Productos!$E$2:$E$13,MATCH($H664,Productos!$A$2:$A$13,0))*INDEX(Parametros!$B$26:$B$43,MATCH($C664,Parametros!$A$26:$A$43,0))</f>
        <v>47.3835</v>
      </c>
      <c r="R664" s="21" t="n">
        <f aca="false">L664*Q664</f>
        <v>4927.884</v>
      </c>
      <c r="S664" s="18" t="n">
        <f aca="false">L664*INDEX(Parametros!$B$20:$B$22,MATCH($E664,Parametros!$A$20:$A$22,0))</f>
        <v>197.6</v>
      </c>
      <c r="T664" s="18" t="n">
        <f aca="false">P664*INDEX(Parametros!$B$13:$B$16,MATCH($F664,Parametros!$A$13:$A$16,0))</f>
        <v>321.05216</v>
      </c>
      <c r="U664" s="21" t="n">
        <f aca="false">P664-R664-S664-T664</f>
        <v>2579.76784</v>
      </c>
      <c r="V664" s="19" t="n">
        <f aca="false">IFERROR(U664/P664,0)</f>
        <v>0.321414170208355</v>
      </c>
      <c r="W664" s="48" t="n">
        <f aca="false">B664+INDEX(Parametros!$C$13:$C$16,MATCH($F664,Parametros!$A$13:$A$16,0))</f>
        <v>45955</v>
      </c>
      <c r="X664" s="31" t="s">
        <v>67</v>
      </c>
      <c r="Y664" s="53" t="n">
        <f aca="false">IF(COUNTIF($A$2:$A664,A664)=1,1,0)</f>
        <v>1</v>
      </c>
    </row>
    <row r="665" customFormat="false" ht="15" hidden="false" customHeight="false" outlineLevel="0" collapsed="false">
      <c r="A665" s="31" t="s">
        <v>593</v>
      </c>
      <c r="B665" s="36" t="n">
        <v>45880</v>
      </c>
      <c r="C665" s="49" t="n">
        <f aca="false">DATE(YEAR(B665),MONTH(B665),1)</f>
        <v>45870</v>
      </c>
      <c r="D665" s="31" t="s">
        <v>226</v>
      </c>
      <c r="E665" s="31" t="s">
        <v>43</v>
      </c>
      <c r="F665" s="31" t="s">
        <v>46</v>
      </c>
      <c r="G665" s="31" t="s">
        <v>59</v>
      </c>
      <c r="H665" s="31" t="s">
        <v>177</v>
      </c>
      <c r="I665" s="32" t="str">
        <f aca="false">INDEX(Productos!$B$2:$B$13,MATCH($H665,Productos!$A$2:$A$13,0))</f>
        <v>Tirafondo madera 6x100 cabeza plana Torx</v>
      </c>
      <c r="J665" s="32" t="str">
        <f aca="false">INDEX(Productos!$C$2:$C$13,MATCH($H665,Productos!$A$2:$A$13,0))</f>
        <v>Madera</v>
      </c>
      <c r="K665" s="31" t="s">
        <v>246</v>
      </c>
      <c r="L665" s="46" t="n">
        <v>120</v>
      </c>
      <c r="M665" s="50" t="n">
        <f aca="false">INDEX(Productos!$F$2:$F$13,MATCH($H665,Productos!$A$2:$A$13,0))</f>
        <v>34</v>
      </c>
      <c r="N665" s="51" t="n">
        <v>0.122</v>
      </c>
      <c r="O665" s="52" t="n">
        <f aca="false">M665*(1-N665)</f>
        <v>29.852</v>
      </c>
      <c r="P665" s="21" t="n">
        <f aca="false">L665*O665</f>
        <v>3582.24</v>
      </c>
      <c r="Q665" s="50" t="n">
        <f aca="false">INDEX(Productos!$E$2:$E$13,MATCH($H665,Productos!$A$2:$A$13,0))*INDEX(Parametros!$B$26:$B$43,MATCH($C665,Parametros!$A$26:$A$43,0))</f>
        <v>18.1382</v>
      </c>
      <c r="R665" s="21" t="n">
        <f aca="false">L665*Q665</f>
        <v>2176.584</v>
      </c>
      <c r="S665" s="18" t="n">
        <f aca="false">L665*INDEX(Parametros!$B$20:$B$22,MATCH($E665,Parametros!$A$20:$A$22,0))</f>
        <v>228</v>
      </c>
      <c r="T665" s="18" t="n">
        <f aca="false">P665*INDEX(Parametros!$B$13:$B$16,MATCH($F665,Parametros!$A$13:$A$16,0))</f>
        <v>143.2896</v>
      </c>
      <c r="U665" s="21" t="n">
        <f aca="false">P665-R665-S665-T665</f>
        <v>1034.3664</v>
      </c>
      <c r="V665" s="19" t="n">
        <f aca="false">IFERROR(U665/P665,0)</f>
        <v>0.288748492563312</v>
      </c>
      <c r="W665" s="48" t="n">
        <f aca="false">B665+INDEX(Parametros!$C$13:$C$16,MATCH($F665,Parametros!$A$13:$A$16,0))</f>
        <v>45955</v>
      </c>
      <c r="X665" s="31" t="s">
        <v>67</v>
      </c>
      <c r="Y665" s="53" t="n">
        <f aca="false">IF(COUNTIF($A$2:$A665,A665)=1,1,0)</f>
        <v>0</v>
      </c>
    </row>
    <row r="666" customFormat="false" ht="15" hidden="false" customHeight="false" outlineLevel="0" collapsed="false">
      <c r="A666" s="31" t="s">
        <v>593</v>
      </c>
      <c r="B666" s="36" t="n">
        <v>45880</v>
      </c>
      <c r="C666" s="49" t="n">
        <f aca="false">DATE(YEAR(B666),MONTH(B666),1)</f>
        <v>45870</v>
      </c>
      <c r="D666" s="31" t="s">
        <v>226</v>
      </c>
      <c r="E666" s="31" t="s">
        <v>43</v>
      </c>
      <c r="F666" s="31" t="s">
        <v>46</v>
      </c>
      <c r="G666" s="31" t="s">
        <v>59</v>
      </c>
      <c r="H666" s="31" t="s">
        <v>173</v>
      </c>
      <c r="I666" s="32" t="str">
        <f aca="false">INDEX(Productos!$B$2:$B$13,MATCH($H666,Productos!$A$2:$A$13,0))</f>
        <v>Tornillo DIN 933 M12x70 clase 8.8</v>
      </c>
      <c r="J666" s="32" t="str">
        <f aca="false">INDEX(Productos!$C$2:$C$13,MATCH($H666,Productos!$A$2:$A$13,0))</f>
        <v>Métrica</v>
      </c>
      <c r="K666" s="31" t="s">
        <v>246</v>
      </c>
      <c r="L666" s="46" t="n">
        <v>54</v>
      </c>
      <c r="M666" s="50" t="n">
        <f aca="false">INDEX(Productos!$F$2:$F$13,MATCH($H666,Productos!$A$2:$A$13,0))</f>
        <v>64</v>
      </c>
      <c r="N666" s="51" t="n">
        <v>0.145</v>
      </c>
      <c r="O666" s="52" t="n">
        <f aca="false">M666*(1-N666)</f>
        <v>54.72</v>
      </c>
      <c r="P666" s="21" t="n">
        <f aca="false">L666*O666</f>
        <v>2954.88</v>
      </c>
      <c r="Q666" s="50" t="n">
        <f aca="false">INDEX(Productos!$E$2:$E$13,MATCH($H666,Productos!$A$2:$A$13,0))*INDEX(Parametros!$B$26:$B$43,MATCH($C666,Parametros!$A$26:$A$43,0))</f>
        <v>34.1365</v>
      </c>
      <c r="R666" s="21" t="n">
        <f aca="false">L666*Q666</f>
        <v>1843.371</v>
      </c>
      <c r="S666" s="18" t="n">
        <f aca="false">L666*INDEX(Parametros!$B$20:$B$22,MATCH($E666,Parametros!$A$20:$A$22,0))</f>
        <v>102.6</v>
      </c>
      <c r="T666" s="18" t="n">
        <f aca="false">P666*INDEX(Parametros!$B$13:$B$16,MATCH($F666,Parametros!$A$13:$A$16,0))</f>
        <v>118.1952</v>
      </c>
      <c r="U666" s="21" t="n">
        <f aca="false">P666-R666-S666-T666</f>
        <v>890.7138</v>
      </c>
      <c r="V666" s="19" t="n">
        <f aca="false">IFERROR(U666/P666,0)</f>
        <v>0.301438230994152</v>
      </c>
      <c r="W666" s="48" t="n">
        <f aca="false">B666+INDEX(Parametros!$C$13:$C$16,MATCH($F666,Parametros!$A$13:$A$16,0))</f>
        <v>45955</v>
      </c>
      <c r="X666" s="31" t="s">
        <v>67</v>
      </c>
      <c r="Y666" s="53" t="n">
        <f aca="false">IF(COUNTIF($A$2:$A666,A666)=1,1,0)</f>
        <v>0</v>
      </c>
    </row>
    <row r="667" customFormat="false" ht="15" hidden="false" customHeight="false" outlineLevel="0" collapsed="false">
      <c r="A667" s="31" t="s">
        <v>593</v>
      </c>
      <c r="B667" s="36" t="n">
        <v>45880</v>
      </c>
      <c r="C667" s="49" t="n">
        <f aca="false">DATE(YEAR(B667),MONTH(B667),1)</f>
        <v>45870</v>
      </c>
      <c r="D667" s="31" t="s">
        <v>226</v>
      </c>
      <c r="E667" s="31" t="s">
        <v>43</v>
      </c>
      <c r="F667" s="31" t="s">
        <v>46</v>
      </c>
      <c r="G667" s="31" t="s">
        <v>59</v>
      </c>
      <c r="H667" s="31" t="s">
        <v>163</v>
      </c>
      <c r="I667" s="32" t="str">
        <f aca="false">INDEX(Productos!$B$2:$B$13,MATCH($H667,Productos!$A$2:$A$13,0))</f>
        <v>Tornillo DIN 933 M6x30 rosca completa zincado</v>
      </c>
      <c r="J667" s="32" t="str">
        <f aca="false">INDEX(Productos!$C$2:$C$13,MATCH($H667,Productos!$A$2:$A$13,0))</f>
        <v>Métrica</v>
      </c>
      <c r="K667" s="31" t="s">
        <v>246</v>
      </c>
      <c r="L667" s="46" t="n">
        <v>305</v>
      </c>
      <c r="M667" s="50" t="n">
        <f aca="false">INDEX(Productos!$F$2:$F$13,MATCH($H667,Productos!$A$2:$A$13,0))</f>
        <v>32</v>
      </c>
      <c r="N667" s="51" t="n">
        <v>0.129</v>
      </c>
      <c r="O667" s="52" t="n">
        <f aca="false">M667*(1-N667)</f>
        <v>27.872</v>
      </c>
      <c r="P667" s="21" t="n">
        <f aca="false">L667*O667</f>
        <v>8500.96</v>
      </c>
      <c r="Q667" s="50" t="n">
        <f aca="false">INDEX(Productos!$E$2:$E$13,MATCH($H667,Productos!$A$2:$A$13,0))*INDEX(Parametros!$B$26:$B$43,MATCH($C667,Parametros!$A$26:$A$43,0))</f>
        <v>16.9154</v>
      </c>
      <c r="R667" s="21" t="n">
        <f aca="false">L667*Q667</f>
        <v>5159.197</v>
      </c>
      <c r="S667" s="18" t="n">
        <f aca="false">L667*INDEX(Parametros!$B$20:$B$22,MATCH($E667,Parametros!$A$20:$A$22,0))</f>
        <v>579.5</v>
      </c>
      <c r="T667" s="18" t="n">
        <f aca="false">P667*INDEX(Parametros!$B$13:$B$16,MATCH($F667,Parametros!$A$13:$A$16,0))</f>
        <v>340.0384</v>
      </c>
      <c r="U667" s="21" t="n">
        <f aca="false">P667-R667-S667-T667</f>
        <v>2422.2246</v>
      </c>
      <c r="V667" s="19" t="n">
        <f aca="false">IFERROR(U667/P667,0)</f>
        <v>0.284935419058553</v>
      </c>
      <c r="W667" s="48" t="n">
        <f aca="false">B667+INDEX(Parametros!$C$13:$C$16,MATCH($F667,Parametros!$A$13:$A$16,0))</f>
        <v>45955</v>
      </c>
      <c r="X667" s="31" t="s">
        <v>67</v>
      </c>
      <c r="Y667" s="53" t="n">
        <f aca="false">IF(COUNTIF($A$2:$A667,A667)=1,1,0)</f>
        <v>0</v>
      </c>
    </row>
    <row r="668" customFormat="false" ht="15" hidden="false" customHeight="false" outlineLevel="0" collapsed="false">
      <c r="A668" s="31" t="s">
        <v>594</v>
      </c>
      <c r="B668" s="36" t="n">
        <v>45881</v>
      </c>
      <c r="C668" s="49" t="n">
        <f aca="false">DATE(YEAR(B668),MONTH(B668),1)</f>
        <v>45870</v>
      </c>
      <c r="D668" s="31" t="s">
        <v>204</v>
      </c>
      <c r="E668" s="31" t="s">
        <v>41</v>
      </c>
      <c r="F668" s="31" t="s">
        <v>47</v>
      </c>
      <c r="G668" s="31" t="s">
        <v>62</v>
      </c>
      <c r="H668" s="31" t="s">
        <v>171</v>
      </c>
      <c r="I668" s="32" t="str">
        <f aca="false">INDEX(Productos!$B$2:$B$13,MATCH($H668,Productos!$A$2:$A$13,0))</f>
        <v>Tornillo DIN 7991 M8x30 avellanado inox A2</v>
      </c>
      <c r="J668" s="32" t="str">
        <f aca="false">INDEX(Productos!$C$2:$C$13,MATCH($H668,Productos!$A$2:$A$13,0))</f>
        <v>Inoxidable</v>
      </c>
      <c r="K668" s="31" t="s">
        <v>246</v>
      </c>
      <c r="L668" s="46" t="n">
        <v>18</v>
      </c>
      <c r="M668" s="50" t="n">
        <f aca="false">INDEX(Productos!$F$2:$F$13,MATCH($H668,Productos!$A$2:$A$13,0))</f>
        <v>88</v>
      </c>
      <c r="N668" s="51" t="n">
        <v>0.097</v>
      </c>
      <c r="O668" s="52" t="n">
        <f aca="false">M668*(1-N668)</f>
        <v>79.464</v>
      </c>
      <c r="P668" s="21" t="n">
        <f aca="false">L668*O668</f>
        <v>1430.352</v>
      </c>
      <c r="Q668" s="50" t="n">
        <f aca="false">INDEX(Productos!$E$2:$E$13,MATCH($H668,Productos!$A$2:$A$13,0))*INDEX(Parametros!$B$26:$B$43,MATCH($C668,Parametros!$A$26:$A$43,0))</f>
        <v>47.3835</v>
      </c>
      <c r="R668" s="21" t="n">
        <f aca="false">L668*Q668</f>
        <v>852.903</v>
      </c>
      <c r="S668" s="18" t="n">
        <f aca="false">L668*INDEX(Parametros!$B$20:$B$22,MATCH($E668,Parametros!$A$20:$A$22,0))</f>
        <v>15.3</v>
      </c>
      <c r="T668" s="18" t="n">
        <f aca="false">P668*INDEX(Parametros!$B$13:$B$16,MATCH($F668,Parametros!$A$13:$A$16,0))</f>
        <v>50.06232</v>
      </c>
      <c r="U668" s="21" t="n">
        <f aca="false">P668-R668-S668-T668</f>
        <v>512.08668</v>
      </c>
      <c r="V668" s="19" t="n">
        <f aca="false">IFERROR(U668/P668,0)</f>
        <v>0.358014446793517</v>
      </c>
      <c r="W668" s="48" t="n">
        <f aca="false">B668+INDEX(Parametros!$C$13:$C$16,MATCH($F668,Parametros!$A$13:$A$16,0))</f>
        <v>45926</v>
      </c>
      <c r="X668" s="31" t="s">
        <v>67</v>
      </c>
      <c r="Y668" s="53" t="n">
        <f aca="false">IF(COUNTIF($A$2:$A668,A668)=1,1,0)</f>
        <v>1</v>
      </c>
    </row>
    <row r="669" customFormat="false" ht="15" hidden="false" customHeight="false" outlineLevel="0" collapsed="false">
      <c r="A669" s="31" t="s">
        <v>595</v>
      </c>
      <c r="B669" s="36" t="n">
        <v>45881</v>
      </c>
      <c r="C669" s="49" t="n">
        <f aca="false">DATE(YEAR(B669),MONTH(B669),1)</f>
        <v>45870</v>
      </c>
      <c r="D669" s="31" t="s">
        <v>202</v>
      </c>
      <c r="E669" s="31" t="s">
        <v>41</v>
      </c>
      <c r="F669" s="31" t="s">
        <v>46</v>
      </c>
      <c r="G669" s="31" t="s">
        <v>62</v>
      </c>
      <c r="H669" s="31" t="s">
        <v>177</v>
      </c>
      <c r="I669" s="32" t="str">
        <f aca="false">INDEX(Productos!$B$2:$B$13,MATCH($H669,Productos!$A$2:$A$13,0))</f>
        <v>Tirafondo madera 6x100 cabeza plana Torx</v>
      </c>
      <c r="J669" s="32" t="str">
        <f aca="false">INDEX(Productos!$C$2:$C$13,MATCH($H669,Productos!$A$2:$A$13,0))</f>
        <v>Madera</v>
      </c>
      <c r="K669" s="31" t="s">
        <v>246</v>
      </c>
      <c r="L669" s="46" t="n">
        <v>75</v>
      </c>
      <c r="M669" s="50" t="n">
        <f aca="false">INDEX(Productos!$F$2:$F$13,MATCH($H669,Productos!$A$2:$A$13,0))</f>
        <v>34</v>
      </c>
      <c r="N669" s="51" t="n">
        <v>0.174</v>
      </c>
      <c r="O669" s="52" t="n">
        <f aca="false">M669*(1-N669)</f>
        <v>28.084</v>
      </c>
      <c r="P669" s="21" t="n">
        <f aca="false">L669*O669</f>
        <v>2106.3</v>
      </c>
      <c r="Q669" s="50" t="n">
        <f aca="false">INDEX(Productos!$E$2:$E$13,MATCH($H669,Productos!$A$2:$A$13,0))*INDEX(Parametros!$B$26:$B$43,MATCH($C669,Parametros!$A$26:$A$43,0))</f>
        <v>18.1382</v>
      </c>
      <c r="R669" s="21" t="n">
        <f aca="false">L669*Q669</f>
        <v>1360.365</v>
      </c>
      <c r="S669" s="18" t="n">
        <f aca="false">L669*INDEX(Parametros!$B$20:$B$22,MATCH($E669,Parametros!$A$20:$A$22,0))</f>
        <v>63.75</v>
      </c>
      <c r="T669" s="18" t="n">
        <f aca="false">P669*INDEX(Parametros!$B$13:$B$16,MATCH($F669,Parametros!$A$13:$A$16,0))</f>
        <v>84.252</v>
      </c>
      <c r="U669" s="21" t="n">
        <f aca="false">P669-R669-S669-T669</f>
        <v>597.933</v>
      </c>
      <c r="V669" s="19" t="n">
        <f aca="false">IFERROR(U669/P669,0)</f>
        <v>0.283878364905284</v>
      </c>
      <c r="W669" s="48" t="n">
        <f aca="false">B669+INDEX(Parametros!$C$13:$C$16,MATCH($F669,Parametros!$A$13:$A$16,0))</f>
        <v>45956</v>
      </c>
      <c r="X669" s="31" t="s">
        <v>67</v>
      </c>
      <c r="Y669" s="53" t="n">
        <f aca="false">IF(COUNTIF($A$2:$A669,A669)=1,1,0)</f>
        <v>1</v>
      </c>
    </row>
    <row r="670" customFormat="false" ht="15" hidden="false" customHeight="false" outlineLevel="0" collapsed="false">
      <c r="A670" s="31" t="s">
        <v>596</v>
      </c>
      <c r="B670" s="36" t="n">
        <v>45881</v>
      </c>
      <c r="C670" s="49" t="n">
        <f aca="false">DATE(YEAR(B670),MONTH(B670),1)</f>
        <v>45870</v>
      </c>
      <c r="D670" s="31" t="s">
        <v>215</v>
      </c>
      <c r="E670" s="31" t="s">
        <v>42</v>
      </c>
      <c r="F670" s="31" t="s">
        <v>46</v>
      </c>
      <c r="G670" s="31" t="s">
        <v>61</v>
      </c>
      <c r="H670" s="31" t="s">
        <v>169</v>
      </c>
      <c r="I670" s="32" t="str">
        <f aca="false">INDEX(Productos!$B$2:$B$13,MATCH($H670,Productos!$A$2:$A$13,0))</f>
        <v>Tornillo DIN 912 M10x60 Allen inox A2</v>
      </c>
      <c r="J670" s="32" t="str">
        <f aca="false">INDEX(Productos!$C$2:$C$13,MATCH($H670,Productos!$A$2:$A$13,0))</f>
        <v>Inoxidable</v>
      </c>
      <c r="K670" s="31" t="s">
        <v>246</v>
      </c>
      <c r="L670" s="46" t="n">
        <v>64</v>
      </c>
      <c r="M670" s="50" t="n">
        <f aca="false">INDEX(Productos!$F$2:$F$13,MATCH($H670,Productos!$A$2:$A$13,0))</f>
        <v>79</v>
      </c>
      <c r="N670" s="51" t="n">
        <v>0.093</v>
      </c>
      <c r="O670" s="52" t="n">
        <f aca="false">M670*(1-N670)</f>
        <v>71.653</v>
      </c>
      <c r="P670" s="21" t="n">
        <f aca="false">L670*O670</f>
        <v>4585.792</v>
      </c>
      <c r="Q670" s="50" t="n">
        <f aca="false">INDEX(Productos!$E$2:$E$13,MATCH($H670,Productos!$A$2:$A$13,0))*INDEX(Parametros!$B$26:$B$43,MATCH($C670,Parametros!$A$26:$A$43,0))</f>
        <v>42.798</v>
      </c>
      <c r="R670" s="21" t="n">
        <f aca="false">L670*Q670</f>
        <v>2739.072</v>
      </c>
      <c r="S670" s="18" t="n">
        <f aca="false">L670*INDEX(Parametros!$B$20:$B$22,MATCH($E670,Parametros!$A$20:$A$22,0))</f>
        <v>153.6</v>
      </c>
      <c r="T670" s="18" t="n">
        <f aca="false">P670*INDEX(Parametros!$B$13:$B$16,MATCH($F670,Parametros!$A$13:$A$16,0))</f>
        <v>183.43168</v>
      </c>
      <c r="U670" s="21" t="n">
        <f aca="false">P670-R670-S670-T670</f>
        <v>1509.68832</v>
      </c>
      <c r="V670" s="19" t="n">
        <f aca="false">IFERROR(U670/P670,0)</f>
        <v>0.329209942361102</v>
      </c>
      <c r="W670" s="48" t="n">
        <f aca="false">B670+INDEX(Parametros!$C$13:$C$16,MATCH($F670,Parametros!$A$13:$A$16,0))</f>
        <v>45956</v>
      </c>
      <c r="X670" s="31" t="s">
        <v>67</v>
      </c>
      <c r="Y670" s="53" t="n">
        <f aca="false">IF(COUNTIF($A$2:$A670,A670)=1,1,0)</f>
        <v>1</v>
      </c>
    </row>
    <row r="671" customFormat="false" ht="15" hidden="false" customHeight="false" outlineLevel="0" collapsed="false">
      <c r="A671" s="31" t="s">
        <v>597</v>
      </c>
      <c r="B671" s="36" t="n">
        <v>45882</v>
      </c>
      <c r="C671" s="49" t="n">
        <f aca="false">DATE(YEAR(B671),MONTH(B671),1)</f>
        <v>45870</v>
      </c>
      <c r="D671" s="31" t="s">
        <v>197</v>
      </c>
      <c r="E671" s="31" t="s">
        <v>41</v>
      </c>
      <c r="F671" s="31" t="s">
        <v>46</v>
      </c>
      <c r="G671" s="31" t="s">
        <v>58</v>
      </c>
      <c r="H671" s="31" t="s">
        <v>185</v>
      </c>
      <c r="I671" s="32" t="str">
        <f aca="false">INDEX(Productos!$B$2:$B$13,MATCH($H671,Productos!$A$2:$A$13,0))</f>
        <v>Varilla roscada M10 x 1 m zincada</v>
      </c>
      <c r="J671" s="32" t="str">
        <f aca="false">INDEX(Productos!$C$2:$C$13,MATCH($H671,Productos!$A$2:$A$13,0))</f>
        <v>Especial</v>
      </c>
      <c r="K671" s="31" t="s">
        <v>246</v>
      </c>
      <c r="L671" s="46" t="n">
        <v>34</v>
      </c>
      <c r="M671" s="50" t="n">
        <f aca="false">INDEX(Productos!$F$2:$F$13,MATCH($H671,Productos!$A$2:$A$13,0))</f>
        <v>54</v>
      </c>
      <c r="N671" s="51" t="n">
        <v>0.165</v>
      </c>
      <c r="O671" s="52" t="n">
        <f aca="false">M671*(1-N671)</f>
        <v>45.09</v>
      </c>
      <c r="P671" s="21" t="n">
        <f aca="false">L671*O671</f>
        <v>1533.06</v>
      </c>
      <c r="Q671" s="50" t="n">
        <f aca="false">INDEX(Productos!$E$2:$E$13,MATCH($H671,Productos!$A$2:$A$13,0))*INDEX(Parametros!$B$26:$B$43,MATCH($C671,Parametros!$A$26:$A$43,0))</f>
        <v>29.0415</v>
      </c>
      <c r="R671" s="21" t="n">
        <f aca="false">L671*Q671</f>
        <v>987.411</v>
      </c>
      <c r="S671" s="18" t="n">
        <f aca="false">L671*INDEX(Parametros!$B$20:$B$22,MATCH($E671,Parametros!$A$20:$A$22,0))</f>
        <v>28.9</v>
      </c>
      <c r="T671" s="18" t="n">
        <f aca="false">P671*INDEX(Parametros!$B$13:$B$16,MATCH($F671,Parametros!$A$13:$A$16,0))</f>
        <v>61.3224</v>
      </c>
      <c r="U671" s="21" t="n">
        <f aca="false">P671-R671-S671-T671</f>
        <v>455.4266</v>
      </c>
      <c r="V671" s="19" t="n">
        <f aca="false">IFERROR(U671/P671,0)</f>
        <v>0.297070303836771</v>
      </c>
      <c r="W671" s="48" t="n">
        <f aca="false">B671+INDEX(Parametros!$C$13:$C$16,MATCH($F671,Parametros!$A$13:$A$16,0))</f>
        <v>45957</v>
      </c>
      <c r="X671" s="31" t="s">
        <v>67</v>
      </c>
      <c r="Y671" s="53" t="n">
        <f aca="false">IF(COUNTIF($A$2:$A671,A671)=1,1,0)</f>
        <v>1</v>
      </c>
    </row>
    <row r="672" customFormat="false" ht="15" hidden="false" customHeight="false" outlineLevel="0" collapsed="false">
      <c r="A672" s="31" t="s">
        <v>598</v>
      </c>
      <c r="B672" s="36" t="n">
        <v>45882</v>
      </c>
      <c r="C672" s="49" t="n">
        <f aca="false">DATE(YEAR(B672),MONTH(B672),1)</f>
        <v>45870</v>
      </c>
      <c r="D672" s="31" t="s">
        <v>228</v>
      </c>
      <c r="E672" s="31" t="s">
        <v>43</v>
      </c>
      <c r="F672" s="31" t="s">
        <v>47</v>
      </c>
      <c r="G672" s="31" t="s">
        <v>59</v>
      </c>
      <c r="H672" s="31" t="s">
        <v>173</v>
      </c>
      <c r="I672" s="32" t="str">
        <f aca="false">INDEX(Productos!$B$2:$B$13,MATCH($H672,Productos!$A$2:$A$13,0))</f>
        <v>Tornillo DIN 933 M12x70 clase 8.8</v>
      </c>
      <c r="J672" s="32" t="str">
        <f aca="false">INDEX(Productos!$C$2:$C$13,MATCH($H672,Productos!$A$2:$A$13,0))</f>
        <v>Métrica</v>
      </c>
      <c r="K672" s="31" t="s">
        <v>246</v>
      </c>
      <c r="L672" s="46" t="n">
        <v>38</v>
      </c>
      <c r="M672" s="50" t="n">
        <f aca="false">INDEX(Productos!$F$2:$F$13,MATCH($H672,Productos!$A$2:$A$13,0))</f>
        <v>64</v>
      </c>
      <c r="N672" s="51" t="n">
        <v>0.036</v>
      </c>
      <c r="O672" s="52" t="n">
        <f aca="false">M672*(1-N672)</f>
        <v>61.696</v>
      </c>
      <c r="P672" s="21" t="n">
        <f aca="false">L672*O672</f>
        <v>2344.448</v>
      </c>
      <c r="Q672" s="50" t="n">
        <f aca="false">INDEX(Productos!$E$2:$E$13,MATCH($H672,Productos!$A$2:$A$13,0))*INDEX(Parametros!$B$26:$B$43,MATCH($C672,Parametros!$A$26:$A$43,0))</f>
        <v>34.1365</v>
      </c>
      <c r="R672" s="21" t="n">
        <f aca="false">L672*Q672</f>
        <v>1297.187</v>
      </c>
      <c r="S672" s="18" t="n">
        <f aca="false">L672*INDEX(Parametros!$B$20:$B$22,MATCH($E672,Parametros!$A$20:$A$22,0))</f>
        <v>72.2</v>
      </c>
      <c r="T672" s="18" t="n">
        <f aca="false">P672*INDEX(Parametros!$B$13:$B$16,MATCH($F672,Parametros!$A$13:$A$16,0))</f>
        <v>82.05568</v>
      </c>
      <c r="U672" s="21" t="n">
        <f aca="false">P672-R672-S672-T672</f>
        <v>893.00532</v>
      </c>
      <c r="V672" s="19" t="n">
        <f aca="false">IFERROR(U672/P672,0)</f>
        <v>0.380902165456432</v>
      </c>
      <c r="W672" s="48" t="n">
        <f aca="false">B672+INDEX(Parametros!$C$13:$C$16,MATCH($F672,Parametros!$A$13:$A$16,0))</f>
        <v>45927</v>
      </c>
      <c r="X672" s="31" t="s">
        <v>67</v>
      </c>
      <c r="Y672" s="53" t="n">
        <f aca="false">IF(COUNTIF($A$2:$A672,A672)=1,1,0)</f>
        <v>1</v>
      </c>
    </row>
    <row r="673" customFormat="false" ht="15" hidden="false" customHeight="false" outlineLevel="0" collapsed="false">
      <c r="A673" s="31" t="s">
        <v>598</v>
      </c>
      <c r="B673" s="36" t="n">
        <v>45882</v>
      </c>
      <c r="C673" s="49" t="n">
        <f aca="false">DATE(YEAR(B673),MONTH(B673),1)</f>
        <v>45870</v>
      </c>
      <c r="D673" s="31" t="s">
        <v>228</v>
      </c>
      <c r="E673" s="31" t="s">
        <v>43</v>
      </c>
      <c r="F673" s="31" t="s">
        <v>47</v>
      </c>
      <c r="G673" s="31" t="s">
        <v>59</v>
      </c>
      <c r="H673" s="31" t="s">
        <v>167</v>
      </c>
      <c r="I673" s="32" t="str">
        <f aca="false">INDEX(Productos!$B$2:$B$13,MATCH($H673,Productos!$A$2:$A$13,0))</f>
        <v>Tornillo DIN 912 M6x25 Allen zincado</v>
      </c>
      <c r="J673" s="32" t="str">
        <f aca="false">INDEX(Productos!$C$2:$C$13,MATCH($H673,Productos!$A$2:$A$13,0))</f>
        <v>Métrica</v>
      </c>
      <c r="K673" s="31" t="s">
        <v>246</v>
      </c>
      <c r="L673" s="46" t="n">
        <v>105</v>
      </c>
      <c r="M673" s="50" t="n">
        <f aca="false">INDEX(Productos!$F$2:$F$13,MATCH($H673,Productos!$A$2:$A$13,0))</f>
        <v>42</v>
      </c>
      <c r="N673" s="51" t="n">
        <v>0.098</v>
      </c>
      <c r="O673" s="52" t="n">
        <f aca="false">M673*(1-N673)</f>
        <v>37.884</v>
      </c>
      <c r="P673" s="21" t="n">
        <f aca="false">L673*O673</f>
        <v>3977.82</v>
      </c>
      <c r="Q673" s="50" t="n">
        <f aca="false">INDEX(Productos!$E$2:$E$13,MATCH($H673,Productos!$A$2:$A$13,0))*INDEX(Parametros!$B$26:$B$43,MATCH($C673,Parametros!$A$26:$A$43,0))</f>
        <v>22.2142</v>
      </c>
      <c r="R673" s="21" t="n">
        <f aca="false">L673*Q673</f>
        <v>2332.491</v>
      </c>
      <c r="S673" s="18" t="n">
        <f aca="false">L673*INDEX(Parametros!$B$20:$B$22,MATCH($E673,Parametros!$A$20:$A$22,0))</f>
        <v>199.5</v>
      </c>
      <c r="T673" s="18" t="n">
        <f aca="false">P673*INDEX(Parametros!$B$13:$B$16,MATCH($F673,Parametros!$A$13:$A$16,0))</f>
        <v>139.2237</v>
      </c>
      <c r="U673" s="21" t="n">
        <f aca="false">P673-R673-S673-T673</f>
        <v>1306.6053</v>
      </c>
      <c r="V673" s="19" t="n">
        <f aca="false">IFERROR(U673/P673,0)</f>
        <v>0.328472706155633</v>
      </c>
      <c r="W673" s="48" t="n">
        <f aca="false">B673+INDEX(Parametros!$C$13:$C$16,MATCH($F673,Parametros!$A$13:$A$16,0))</f>
        <v>45927</v>
      </c>
      <c r="X673" s="31" t="s">
        <v>69</v>
      </c>
      <c r="Y673" s="53" t="n">
        <f aca="false">IF(COUNTIF($A$2:$A673,A673)=1,1,0)</f>
        <v>0</v>
      </c>
    </row>
    <row r="674" customFormat="false" ht="15" hidden="false" customHeight="false" outlineLevel="0" collapsed="false">
      <c r="A674" s="31" t="s">
        <v>598</v>
      </c>
      <c r="B674" s="36" t="n">
        <v>45882</v>
      </c>
      <c r="C674" s="49" t="n">
        <f aca="false">DATE(YEAR(B674),MONTH(B674),1)</f>
        <v>45870</v>
      </c>
      <c r="D674" s="31" t="s">
        <v>228</v>
      </c>
      <c r="E674" s="31" t="s">
        <v>43</v>
      </c>
      <c r="F674" s="31" t="s">
        <v>47</v>
      </c>
      <c r="G674" s="31" t="s">
        <v>59</v>
      </c>
      <c r="H674" s="31" t="s">
        <v>179</v>
      </c>
      <c r="I674" s="32" t="str">
        <f aca="false">INDEX(Productos!$B$2:$B$13,MATCH($H674,Productos!$A$2:$A$13,0))</f>
        <v>Autotaladrante DIN 7504 4,8x38 zincado</v>
      </c>
      <c r="J674" s="32" t="str">
        <f aca="false">INDEX(Productos!$C$2:$C$13,MATCH($H674,Productos!$A$2:$A$13,0))</f>
        <v>Autotaladrante</v>
      </c>
      <c r="K674" s="31" t="s">
        <v>246</v>
      </c>
      <c r="L674" s="46" t="n">
        <v>118</v>
      </c>
      <c r="M674" s="50" t="n">
        <f aca="false">INDEX(Productos!$F$2:$F$13,MATCH($H674,Productos!$A$2:$A$13,0))</f>
        <v>29.5</v>
      </c>
      <c r="N674" s="51" t="n">
        <v>0.059</v>
      </c>
      <c r="O674" s="52" t="n">
        <f aca="false">M674*(1-N674)</f>
        <v>27.7595</v>
      </c>
      <c r="P674" s="21" t="n">
        <f aca="false">L674*O674</f>
        <v>3275.621</v>
      </c>
      <c r="Q674" s="50" t="n">
        <f aca="false">INDEX(Productos!$E$2:$E$13,MATCH($H674,Productos!$A$2:$A$13,0))*INDEX(Parametros!$B$26:$B$43,MATCH($C674,Parametros!$A$26:$A$43,0))</f>
        <v>15.4888</v>
      </c>
      <c r="R674" s="21" t="n">
        <f aca="false">L674*Q674</f>
        <v>1827.6784</v>
      </c>
      <c r="S674" s="18" t="n">
        <f aca="false">L674*INDEX(Parametros!$B$20:$B$22,MATCH($E674,Parametros!$A$20:$A$22,0))</f>
        <v>224.2</v>
      </c>
      <c r="T674" s="18" t="n">
        <f aca="false">P674*INDEX(Parametros!$B$13:$B$16,MATCH($F674,Parametros!$A$13:$A$16,0))</f>
        <v>114.646735</v>
      </c>
      <c r="U674" s="21" t="n">
        <f aca="false">P674-R674-S674-T674</f>
        <v>1109.095865</v>
      </c>
      <c r="V674" s="19" t="n">
        <f aca="false">IFERROR(U674/P674,0)</f>
        <v>0.338591022893064</v>
      </c>
      <c r="W674" s="48" t="n">
        <f aca="false">B674+INDEX(Parametros!$C$13:$C$16,MATCH($F674,Parametros!$A$13:$A$16,0))</f>
        <v>45927</v>
      </c>
      <c r="X674" s="31" t="s">
        <v>69</v>
      </c>
      <c r="Y674" s="53" t="n">
        <f aca="false">IF(COUNTIF($A$2:$A674,A674)=1,1,0)</f>
        <v>0</v>
      </c>
    </row>
    <row r="675" customFormat="false" ht="15" hidden="false" customHeight="false" outlineLevel="0" collapsed="false">
      <c r="A675" s="31" t="s">
        <v>598</v>
      </c>
      <c r="B675" s="36" t="n">
        <v>45882</v>
      </c>
      <c r="C675" s="49" t="n">
        <f aca="false">DATE(YEAR(B675),MONTH(B675),1)</f>
        <v>45870</v>
      </c>
      <c r="D675" s="31" t="s">
        <v>228</v>
      </c>
      <c r="E675" s="31" t="s">
        <v>43</v>
      </c>
      <c r="F675" s="31" t="s">
        <v>47</v>
      </c>
      <c r="G675" s="31" t="s">
        <v>59</v>
      </c>
      <c r="H675" s="31" t="s">
        <v>183</v>
      </c>
      <c r="I675" s="32" t="str">
        <f aca="false">INDEX(Productos!$B$2:$B$13,MATCH($H675,Productos!$A$2:$A$13,0))</f>
        <v>Tornillo estructural M16x90 clase 10.9</v>
      </c>
      <c r="J675" s="32" t="str">
        <f aca="false">INDEX(Productos!$C$2:$C$13,MATCH($H675,Productos!$A$2:$A$13,0))</f>
        <v>Especial</v>
      </c>
      <c r="K675" s="31" t="s">
        <v>246</v>
      </c>
      <c r="L675" s="46" t="n">
        <v>70</v>
      </c>
      <c r="M675" s="50" t="n">
        <f aca="false">INDEX(Productos!$F$2:$F$13,MATCH($H675,Productos!$A$2:$A$13,0))</f>
        <v>112</v>
      </c>
      <c r="N675" s="51" t="n">
        <v>0.06</v>
      </c>
      <c r="O675" s="52" t="n">
        <f aca="false">M675*(1-N675)</f>
        <v>105.28</v>
      </c>
      <c r="P675" s="21" t="n">
        <f aca="false">L675*O675</f>
        <v>7369.6</v>
      </c>
      <c r="Q675" s="50" t="n">
        <f aca="false">INDEX(Productos!$E$2:$E$13,MATCH($H675,Productos!$A$2:$A$13,0))*INDEX(Parametros!$B$26:$B$43,MATCH($C675,Parametros!$A$26:$A$43,0))</f>
        <v>61.14</v>
      </c>
      <c r="R675" s="21" t="n">
        <f aca="false">L675*Q675</f>
        <v>4279.8</v>
      </c>
      <c r="S675" s="18" t="n">
        <f aca="false">L675*INDEX(Parametros!$B$20:$B$22,MATCH($E675,Parametros!$A$20:$A$22,0))</f>
        <v>133</v>
      </c>
      <c r="T675" s="18" t="n">
        <f aca="false">P675*INDEX(Parametros!$B$13:$B$16,MATCH($F675,Parametros!$A$13:$A$16,0))</f>
        <v>257.936</v>
      </c>
      <c r="U675" s="21" t="n">
        <f aca="false">P675-R675-S675-T675</f>
        <v>2698.864</v>
      </c>
      <c r="V675" s="19" t="n">
        <f aca="false">IFERROR(U675/P675,0)</f>
        <v>0.366215805471125</v>
      </c>
      <c r="W675" s="48" t="n">
        <f aca="false">B675+INDEX(Parametros!$C$13:$C$16,MATCH($F675,Parametros!$A$13:$A$16,0))</f>
        <v>45927</v>
      </c>
      <c r="X675" s="31" t="s">
        <v>67</v>
      </c>
      <c r="Y675" s="53" t="n">
        <f aca="false">IF(COUNTIF($A$2:$A675,A675)=1,1,0)</f>
        <v>0</v>
      </c>
    </row>
    <row r="676" customFormat="false" ht="15" hidden="false" customHeight="false" outlineLevel="0" collapsed="false">
      <c r="A676" s="31" t="s">
        <v>599</v>
      </c>
      <c r="B676" s="36" t="n">
        <v>45882</v>
      </c>
      <c r="C676" s="49" t="n">
        <f aca="false">DATE(YEAR(B676),MONTH(B676),1)</f>
        <v>45870</v>
      </c>
      <c r="D676" s="31" t="s">
        <v>195</v>
      </c>
      <c r="E676" s="31" t="s">
        <v>41</v>
      </c>
      <c r="F676" s="31" t="s">
        <v>45</v>
      </c>
      <c r="G676" s="31" t="s">
        <v>58</v>
      </c>
      <c r="H676" s="31" t="s">
        <v>179</v>
      </c>
      <c r="I676" s="32" t="str">
        <f aca="false">INDEX(Productos!$B$2:$B$13,MATCH($H676,Productos!$A$2:$A$13,0))</f>
        <v>Autotaladrante DIN 7504 4,8x38 zincado</v>
      </c>
      <c r="J676" s="32" t="str">
        <f aca="false">INDEX(Productos!$C$2:$C$13,MATCH($H676,Productos!$A$2:$A$13,0))</f>
        <v>Autotaladrante</v>
      </c>
      <c r="K676" s="31" t="s">
        <v>246</v>
      </c>
      <c r="L676" s="46" t="n">
        <v>45</v>
      </c>
      <c r="M676" s="50" t="n">
        <f aca="false">INDEX(Productos!$F$2:$F$13,MATCH($H676,Productos!$A$2:$A$13,0))</f>
        <v>29.5</v>
      </c>
      <c r="N676" s="51" t="n">
        <v>0.219</v>
      </c>
      <c r="O676" s="52" t="n">
        <f aca="false">M676*(1-N676)</f>
        <v>23.0395</v>
      </c>
      <c r="P676" s="21" t="n">
        <f aca="false">L676*O676</f>
        <v>1036.7775</v>
      </c>
      <c r="Q676" s="50" t="n">
        <f aca="false">INDEX(Productos!$E$2:$E$13,MATCH($H676,Productos!$A$2:$A$13,0))*INDEX(Parametros!$B$26:$B$43,MATCH($C676,Parametros!$A$26:$A$43,0))</f>
        <v>15.4888</v>
      </c>
      <c r="R676" s="21" t="n">
        <f aca="false">L676*Q676</f>
        <v>696.996</v>
      </c>
      <c r="S676" s="18" t="n">
        <f aca="false">L676*INDEX(Parametros!$B$20:$B$22,MATCH($E676,Parametros!$A$20:$A$22,0))</f>
        <v>38.25</v>
      </c>
      <c r="T676" s="18" t="n">
        <f aca="false">P676*INDEX(Parametros!$B$13:$B$16,MATCH($F676,Parametros!$A$13:$A$16,0))</f>
        <v>31.103325</v>
      </c>
      <c r="U676" s="21" t="n">
        <f aca="false">P676-R676-S676-T676</f>
        <v>270.428175</v>
      </c>
      <c r="V676" s="19" t="n">
        <f aca="false">IFERROR(U676/P676,0)</f>
        <v>0.260835304585603</v>
      </c>
      <c r="W676" s="48" t="n">
        <f aca="false">B676+INDEX(Parametros!$C$13:$C$16,MATCH($F676,Parametros!$A$13:$A$16,0))</f>
        <v>45942</v>
      </c>
      <c r="X676" s="31" t="s">
        <v>67</v>
      </c>
      <c r="Y676" s="53" t="n">
        <f aca="false">IF(COUNTIF($A$2:$A676,A676)=1,1,0)</f>
        <v>1</v>
      </c>
    </row>
    <row r="677" customFormat="false" ht="15" hidden="false" customHeight="false" outlineLevel="0" collapsed="false">
      <c r="A677" s="31" t="s">
        <v>599</v>
      </c>
      <c r="B677" s="36" t="n">
        <v>45882</v>
      </c>
      <c r="C677" s="49" t="n">
        <f aca="false">DATE(YEAR(B677),MONTH(B677),1)</f>
        <v>45870</v>
      </c>
      <c r="D677" s="31" t="s">
        <v>195</v>
      </c>
      <c r="E677" s="31" t="s">
        <v>41</v>
      </c>
      <c r="F677" s="31" t="s">
        <v>45</v>
      </c>
      <c r="G677" s="31" t="s">
        <v>58</v>
      </c>
      <c r="H677" s="31" t="s">
        <v>175</v>
      </c>
      <c r="I677" s="32" t="str">
        <f aca="false">INDEX(Productos!$B$2:$B$13,MATCH($H677,Productos!$A$2:$A$13,0))</f>
        <v>Tirafondo madera 5x60 cabeza plana Torx</v>
      </c>
      <c r="J677" s="32" t="str">
        <f aca="false">INDEX(Productos!$C$2:$C$13,MATCH($H677,Productos!$A$2:$A$13,0))</f>
        <v>Madera</v>
      </c>
      <c r="K677" s="31" t="s">
        <v>246</v>
      </c>
      <c r="L677" s="46" t="n">
        <v>44</v>
      </c>
      <c r="M677" s="50" t="n">
        <f aca="false">INDEX(Productos!$F$2:$F$13,MATCH($H677,Productos!$A$2:$A$13,0))</f>
        <v>26</v>
      </c>
      <c r="N677" s="51" t="n">
        <v>0.121</v>
      </c>
      <c r="O677" s="52" t="n">
        <f aca="false">M677*(1-N677)</f>
        <v>22.854</v>
      </c>
      <c r="P677" s="21" t="n">
        <f aca="false">L677*O677</f>
        <v>1005.576</v>
      </c>
      <c r="Q677" s="50" t="n">
        <f aca="false">INDEX(Productos!$E$2:$E$13,MATCH($H677,Productos!$A$2:$A$13,0))*INDEX(Parametros!$B$26:$B$43,MATCH($C677,Parametros!$A$26:$A$43,0))</f>
        <v>13.6546</v>
      </c>
      <c r="R677" s="21" t="n">
        <f aca="false">L677*Q677</f>
        <v>600.8024</v>
      </c>
      <c r="S677" s="18" t="n">
        <f aca="false">L677*INDEX(Parametros!$B$20:$B$22,MATCH($E677,Parametros!$A$20:$A$22,0))</f>
        <v>37.4</v>
      </c>
      <c r="T677" s="18" t="n">
        <f aca="false">P677*INDEX(Parametros!$B$13:$B$16,MATCH($F677,Parametros!$A$13:$A$16,0))</f>
        <v>30.16728</v>
      </c>
      <c r="U677" s="21" t="n">
        <f aca="false">P677-R677-S677-T677</f>
        <v>337.20632</v>
      </c>
      <c r="V677" s="19" t="n">
        <f aca="false">IFERROR(U677/P677,0)</f>
        <v>0.335336483766518</v>
      </c>
      <c r="W677" s="48" t="n">
        <f aca="false">B677+INDEX(Parametros!$C$13:$C$16,MATCH($F677,Parametros!$A$13:$A$16,0))</f>
        <v>45942</v>
      </c>
      <c r="X677" s="31" t="s">
        <v>69</v>
      </c>
      <c r="Y677" s="53" t="n">
        <f aca="false">IF(COUNTIF($A$2:$A677,A677)=1,1,0)</f>
        <v>0</v>
      </c>
    </row>
    <row r="678" customFormat="false" ht="15" hidden="false" customHeight="false" outlineLevel="0" collapsed="false">
      <c r="A678" s="31" t="s">
        <v>599</v>
      </c>
      <c r="B678" s="36" t="n">
        <v>45882</v>
      </c>
      <c r="C678" s="49" t="n">
        <f aca="false">DATE(YEAR(B678),MONTH(B678),1)</f>
        <v>45870</v>
      </c>
      <c r="D678" s="31" t="s">
        <v>195</v>
      </c>
      <c r="E678" s="31" t="s">
        <v>41</v>
      </c>
      <c r="F678" s="31" t="s">
        <v>45</v>
      </c>
      <c r="G678" s="31" t="s">
        <v>58</v>
      </c>
      <c r="H678" s="31" t="s">
        <v>173</v>
      </c>
      <c r="I678" s="32" t="str">
        <f aca="false">INDEX(Productos!$B$2:$B$13,MATCH($H678,Productos!$A$2:$A$13,0))</f>
        <v>Tornillo DIN 933 M12x70 clase 8.8</v>
      </c>
      <c r="J678" s="32" t="str">
        <f aca="false">INDEX(Productos!$C$2:$C$13,MATCH($H678,Productos!$A$2:$A$13,0))</f>
        <v>Métrica</v>
      </c>
      <c r="K678" s="31" t="s">
        <v>246</v>
      </c>
      <c r="L678" s="46" t="n">
        <v>50</v>
      </c>
      <c r="M678" s="50" t="n">
        <f aca="false">INDEX(Productos!$F$2:$F$13,MATCH($H678,Productos!$A$2:$A$13,0))</f>
        <v>64</v>
      </c>
      <c r="N678" s="51" t="n">
        <v>0.214</v>
      </c>
      <c r="O678" s="52" t="n">
        <f aca="false">M678*(1-N678)</f>
        <v>50.304</v>
      </c>
      <c r="P678" s="21" t="n">
        <f aca="false">L678*O678</f>
        <v>2515.2</v>
      </c>
      <c r="Q678" s="50" t="n">
        <f aca="false">INDEX(Productos!$E$2:$E$13,MATCH($H678,Productos!$A$2:$A$13,0))*INDEX(Parametros!$B$26:$B$43,MATCH($C678,Parametros!$A$26:$A$43,0))</f>
        <v>34.1365</v>
      </c>
      <c r="R678" s="21" t="n">
        <f aca="false">L678*Q678</f>
        <v>1706.825</v>
      </c>
      <c r="S678" s="18" t="n">
        <f aca="false">L678*INDEX(Parametros!$B$20:$B$22,MATCH($E678,Parametros!$A$20:$A$22,0))</f>
        <v>42.5</v>
      </c>
      <c r="T678" s="18" t="n">
        <f aca="false">P678*INDEX(Parametros!$B$13:$B$16,MATCH($F678,Parametros!$A$13:$A$16,0))</f>
        <v>75.456</v>
      </c>
      <c r="U678" s="21" t="n">
        <f aca="false">P678-R678-S678-T678</f>
        <v>690.419</v>
      </c>
      <c r="V678" s="19" t="n">
        <f aca="false">IFERROR(U678/P678,0)</f>
        <v>0.27449864821883</v>
      </c>
      <c r="W678" s="48" t="n">
        <f aca="false">B678+INDEX(Parametros!$C$13:$C$16,MATCH($F678,Parametros!$A$13:$A$16,0))</f>
        <v>45942</v>
      </c>
      <c r="X678" s="31" t="s">
        <v>67</v>
      </c>
      <c r="Y678" s="53" t="n">
        <f aca="false">IF(COUNTIF($A$2:$A678,A678)=1,1,0)</f>
        <v>0</v>
      </c>
    </row>
    <row r="679" customFormat="false" ht="15" hidden="false" customHeight="false" outlineLevel="0" collapsed="false">
      <c r="A679" s="31" t="s">
        <v>599</v>
      </c>
      <c r="B679" s="36" t="n">
        <v>45882</v>
      </c>
      <c r="C679" s="49" t="n">
        <f aca="false">DATE(YEAR(B679),MONTH(B679),1)</f>
        <v>45870</v>
      </c>
      <c r="D679" s="31" t="s">
        <v>195</v>
      </c>
      <c r="E679" s="31" t="s">
        <v>41</v>
      </c>
      <c r="F679" s="31" t="s">
        <v>45</v>
      </c>
      <c r="G679" s="31" t="s">
        <v>58</v>
      </c>
      <c r="H679" s="31" t="s">
        <v>183</v>
      </c>
      <c r="I679" s="32" t="str">
        <f aca="false">INDEX(Productos!$B$2:$B$13,MATCH($H679,Productos!$A$2:$A$13,0))</f>
        <v>Tornillo estructural M16x90 clase 10.9</v>
      </c>
      <c r="J679" s="32" t="str">
        <f aca="false">INDEX(Productos!$C$2:$C$13,MATCH($H679,Productos!$A$2:$A$13,0))</f>
        <v>Especial</v>
      </c>
      <c r="K679" s="31" t="s">
        <v>246</v>
      </c>
      <c r="L679" s="46" t="n">
        <v>94</v>
      </c>
      <c r="M679" s="50" t="n">
        <f aca="false">INDEX(Productos!$F$2:$F$13,MATCH($H679,Productos!$A$2:$A$13,0))</f>
        <v>112</v>
      </c>
      <c r="N679" s="51" t="n">
        <v>0.145</v>
      </c>
      <c r="O679" s="52" t="n">
        <f aca="false">M679*(1-N679)</f>
        <v>95.76</v>
      </c>
      <c r="P679" s="21" t="n">
        <f aca="false">L679*O679</f>
        <v>9001.44</v>
      </c>
      <c r="Q679" s="50" t="n">
        <f aca="false">INDEX(Productos!$E$2:$E$13,MATCH($H679,Productos!$A$2:$A$13,0))*INDEX(Parametros!$B$26:$B$43,MATCH($C679,Parametros!$A$26:$A$43,0))</f>
        <v>61.14</v>
      </c>
      <c r="R679" s="21" t="n">
        <f aca="false">L679*Q679</f>
        <v>5747.16</v>
      </c>
      <c r="S679" s="18" t="n">
        <f aca="false">L679*INDEX(Parametros!$B$20:$B$22,MATCH($E679,Parametros!$A$20:$A$22,0))</f>
        <v>79.9</v>
      </c>
      <c r="T679" s="18" t="n">
        <f aca="false">P679*INDEX(Parametros!$B$13:$B$16,MATCH($F679,Parametros!$A$13:$A$16,0))</f>
        <v>270.0432</v>
      </c>
      <c r="U679" s="21" t="n">
        <f aca="false">P679-R679-S679-T679</f>
        <v>2904.3368</v>
      </c>
      <c r="V679" s="19" t="n">
        <f aca="false">IFERROR(U679/P679,0)</f>
        <v>0.32265246449457</v>
      </c>
      <c r="W679" s="48" t="n">
        <f aca="false">B679+INDEX(Parametros!$C$13:$C$16,MATCH($F679,Parametros!$A$13:$A$16,0))</f>
        <v>45942</v>
      </c>
      <c r="X679" s="31" t="s">
        <v>67</v>
      </c>
      <c r="Y679" s="53" t="n">
        <f aca="false">IF(COUNTIF($A$2:$A679,A679)=1,1,0)</f>
        <v>0</v>
      </c>
    </row>
    <row r="680" customFormat="false" ht="15" hidden="false" customHeight="false" outlineLevel="0" collapsed="false">
      <c r="A680" s="31" t="s">
        <v>600</v>
      </c>
      <c r="B680" s="36" t="n">
        <v>45883</v>
      </c>
      <c r="C680" s="49" t="n">
        <f aca="false">DATE(YEAR(B680),MONTH(B680),1)</f>
        <v>45870</v>
      </c>
      <c r="D680" s="31" t="s">
        <v>217</v>
      </c>
      <c r="E680" s="31" t="s">
        <v>42</v>
      </c>
      <c r="F680" s="31" t="s">
        <v>47</v>
      </c>
      <c r="G680" s="31" t="s">
        <v>61</v>
      </c>
      <c r="H680" s="31" t="s">
        <v>177</v>
      </c>
      <c r="I680" s="32" t="str">
        <f aca="false">INDEX(Productos!$B$2:$B$13,MATCH($H680,Productos!$A$2:$A$13,0))</f>
        <v>Tirafondo madera 6x100 cabeza plana Torx</v>
      </c>
      <c r="J680" s="32" t="str">
        <f aca="false">INDEX(Productos!$C$2:$C$13,MATCH($H680,Productos!$A$2:$A$13,0))</f>
        <v>Madera</v>
      </c>
      <c r="K680" s="31" t="s">
        <v>246</v>
      </c>
      <c r="L680" s="46" t="n">
        <v>69</v>
      </c>
      <c r="M680" s="50" t="n">
        <f aca="false">INDEX(Productos!$F$2:$F$13,MATCH($H680,Productos!$A$2:$A$13,0))</f>
        <v>34</v>
      </c>
      <c r="N680" s="51" t="n">
        <v>0.066</v>
      </c>
      <c r="O680" s="52" t="n">
        <f aca="false">M680*(1-N680)</f>
        <v>31.756</v>
      </c>
      <c r="P680" s="21" t="n">
        <f aca="false">L680*O680</f>
        <v>2191.164</v>
      </c>
      <c r="Q680" s="50" t="n">
        <f aca="false">INDEX(Productos!$E$2:$E$13,MATCH($H680,Productos!$A$2:$A$13,0))*INDEX(Parametros!$B$26:$B$43,MATCH($C680,Parametros!$A$26:$A$43,0))</f>
        <v>18.1382</v>
      </c>
      <c r="R680" s="21" t="n">
        <f aca="false">L680*Q680</f>
        <v>1251.5358</v>
      </c>
      <c r="S680" s="18" t="n">
        <f aca="false">L680*INDEX(Parametros!$B$20:$B$22,MATCH($E680,Parametros!$A$20:$A$22,0))</f>
        <v>165.6</v>
      </c>
      <c r="T680" s="18" t="n">
        <f aca="false">P680*INDEX(Parametros!$B$13:$B$16,MATCH($F680,Parametros!$A$13:$A$16,0))</f>
        <v>76.69074</v>
      </c>
      <c r="U680" s="21" t="n">
        <f aca="false">P680-R680-S680-T680</f>
        <v>697.33746</v>
      </c>
      <c r="V680" s="19" t="n">
        <f aca="false">IFERROR(U680/P680,0)</f>
        <v>0.318249779569215</v>
      </c>
      <c r="W680" s="48" t="n">
        <f aca="false">B680+INDEX(Parametros!$C$13:$C$16,MATCH($F680,Parametros!$A$13:$A$16,0))</f>
        <v>45928</v>
      </c>
      <c r="X680" s="31" t="s">
        <v>67</v>
      </c>
      <c r="Y680" s="53" t="n">
        <f aca="false">IF(COUNTIF($A$2:$A680,A680)=1,1,0)</f>
        <v>1</v>
      </c>
    </row>
    <row r="681" customFormat="false" ht="15" hidden="false" customHeight="false" outlineLevel="0" collapsed="false">
      <c r="A681" s="31" t="s">
        <v>600</v>
      </c>
      <c r="B681" s="36" t="n">
        <v>45883</v>
      </c>
      <c r="C681" s="49" t="n">
        <f aca="false">DATE(YEAR(B681),MONTH(B681),1)</f>
        <v>45870</v>
      </c>
      <c r="D681" s="31" t="s">
        <v>217</v>
      </c>
      <c r="E681" s="31" t="s">
        <v>42</v>
      </c>
      <c r="F681" s="31" t="s">
        <v>47</v>
      </c>
      <c r="G681" s="31" t="s">
        <v>61</v>
      </c>
      <c r="H681" s="31" t="s">
        <v>169</v>
      </c>
      <c r="I681" s="32" t="str">
        <f aca="false">INDEX(Productos!$B$2:$B$13,MATCH($H681,Productos!$A$2:$A$13,0))</f>
        <v>Tornillo DIN 912 M10x60 Allen inox A2</v>
      </c>
      <c r="J681" s="32" t="str">
        <f aca="false">INDEX(Productos!$C$2:$C$13,MATCH($H681,Productos!$A$2:$A$13,0))</f>
        <v>Inoxidable</v>
      </c>
      <c r="K681" s="31" t="s">
        <v>246</v>
      </c>
      <c r="L681" s="46" t="n">
        <v>24</v>
      </c>
      <c r="M681" s="50" t="n">
        <f aca="false">INDEX(Productos!$F$2:$F$13,MATCH($H681,Productos!$A$2:$A$13,0))</f>
        <v>79</v>
      </c>
      <c r="N681" s="51" t="n">
        <v>0.072</v>
      </c>
      <c r="O681" s="52" t="n">
        <f aca="false">M681*(1-N681)</f>
        <v>73.312</v>
      </c>
      <c r="P681" s="21" t="n">
        <f aca="false">L681*O681</f>
        <v>1759.488</v>
      </c>
      <c r="Q681" s="50" t="n">
        <f aca="false">INDEX(Productos!$E$2:$E$13,MATCH($H681,Productos!$A$2:$A$13,0))*INDEX(Parametros!$B$26:$B$43,MATCH($C681,Parametros!$A$26:$A$43,0))</f>
        <v>42.798</v>
      </c>
      <c r="R681" s="21" t="n">
        <f aca="false">L681*Q681</f>
        <v>1027.152</v>
      </c>
      <c r="S681" s="18" t="n">
        <f aca="false">L681*INDEX(Parametros!$B$20:$B$22,MATCH($E681,Parametros!$A$20:$A$22,0))</f>
        <v>57.6</v>
      </c>
      <c r="T681" s="18" t="n">
        <f aca="false">P681*INDEX(Parametros!$B$13:$B$16,MATCH($F681,Parametros!$A$13:$A$16,0))</f>
        <v>61.58208</v>
      </c>
      <c r="U681" s="21" t="n">
        <f aca="false">P681-R681-S681-T681</f>
        <v>613.15392</v>
      </c>
      <c r="V681" s="19" t="n">
        <f aca="false">IFERROR(U681/P681,0)</f>
        <v>0.348484286337844</v>
      </c>
      <c r="W681" s="48" t="n">
        <f aca="false">B681+INDEX(Parametros!$C$13:$C$16,MATCH($F681,Parametros!$A$13:$A$16,0))</f>
        <v>45928</v>
      </c>
      <c r="X681" s="31" t="s">
        <v>67</v>
      </c>
      <c r="Y681" s="53" t="n">
        <f aca="false">IF(COUNTIF($A$2:$A681,A681)=1,1,0)</f>
        <v>0</v>
      </c>
    </row>
    <row r="682" customFormat="false" ht="15" hidden="false" customHeight="false" outlineLevel="0" collapsed="false">
      <c r="A682" s="31" t="s">
        <v>601</v>
      </c>
      <c r="B682" s="36" t="n">
        <v>45883</v>
      </c>
      <c r="C682" s="49" t="n">
        <f aca="false">DATE(YEAR(B682),MONTH(B682),1)</f>
        <v>45870</v>
      </c>
      <c r="D682" s="31" t="s">
        <v>204</v>
      </c>
      <c r="E682" s="31" t="s">
        <v>41</v>
      </c>
      <c r="F682" s="31" t="s">
        <v>47</v>
      </c>
      <c r="G682" s="31" t="s">
        <v>62</v>
      </c>
      <c r="H682" s="31" t="s">
        <v>169</v>
      </c>
      <c r="I682" s="32" t="str">
        <f aca="false">INDEX(Productos!$B$2:$B$13,MATCH($H682,Productos!$A$2:$A$13,0))</f>
        <v>Tornillo DIN 912 M10x60 Allen inox A2</v>
      </c>
      <c r="J682" s="32" t="str">
        <f aca="false">INDEX(Productos!$C$2:$C$13,MATCH($H682,Productos!$A$2:$A$13,0))</f>
        <v>Inoxidable</v>
      </c>
      <c r="K682" s="31" t="s">
        <v>246</v>
      </c>
      <c r="L682" s="46" t="n">
        <v>61</v>
      </c>
      <c r="M682" s="50" t="n">
        <f aca="false">INDEX(Productos!$F$2:$F$13,MATCH($H682,Productos!$A$2:$A$13,0))</f>
        <v>79</v>
      </c>
      <c r="N682" s="51" t="n">
        <v>0.051</v>
      </c>
      <c r="O682" s="52" t="n">
        <f aca="false">M682*(1-N682)</f>
        <v>74.971</v>
      </c>
      <c r="P682" s="21" t="n">
        <f aca="false">L682*O682</f>
        <v>4573.231</v>
      </c>
      <c r="Q682" s="50" t="n">
        <f aca="false">INDEX(Productos!$E$2:$E$13,MATCH($H682,Productos!$A$2:$A$13,0))*INDEX(Parametros!$B$26:$B$43,MATCH($C682,Parametros!$A$26:$A$43,0))</f>
        <v>42.798</v>
      </c>
      <c r="R682" s="21" t="n">
        <f aca="false">L682*Q682</f>
        <v>2610.678</v>
      </c>
      <c r="S682" s="18" t="n">
        <f aca="false">L682*INDEX(Parametros!$B$20:$B$22,MATCH($E682,Parametros!$A$20:$A$22,0))</f>
        <v>51.85</v>
      </c>
      <c r="T682" s="18" t="n">
        <f aca="false">P682*INDEX(Parametros!$B$13:$B$16,MATCH($F682,Parametros!$A$13:$A$16,0))</f>
        <v>160.063085</v>
      </c>
      <c r="U682" s="21" t="n">
        <f aca="false">P682-R682-S682-T682</f>
        <v>1750.639915</v>
      </c>
      <c r="V682" s="19" t="n">
        <f aca="false">IFERROR(U682/P682,0)</f>
        <v>0.382801549932641</v>
      </c>
      <c r="W682" s="48" t="n">
        <f aca="false">B682+INDEX(Parametros!$C$13:$C$16,MATCH($F682,Parametros!$A$13:$A$16,0))</f>
        <v>45928</v>
      </c>
      <c r="X682" s="31" t="s">
        <v>67</v>
      </c>
      <c r="Y682" s="53" t="n">
        <f aca="false">IF(COUNTIF($A$2:$A682,A682)=1,1,0)</f>
        <v>1</v>
      </c>
    </row>
    <row r="683" customFormat="false" ht="15" hidden="false" customHeight="false" outlineLevel="0" collapsed="false">
      <c r="A683" s="31" t="s">
        <v>601</v>
      </c>
      <c r="B683" s="36" t="n">
        <v>45883</v>
      </c>
      <c r="C683" s="49" t="n">
        <f aca="false">DATE(YEAR(B683),MONTH(B683),1)</f>
        <v>45870</v>
      </c>
      <c r="D683" s="31" t="s">
        <v>204</v>
      </c>
      <c r="E683" s="31" t="s">
        <v>41</v>
      </c>
      <c r="F683" s="31" t="s">
        <v>47</v>
      </c>
      <c r="G683" s="31" t="s">
        <v>62</v>
      </c>
      <c r="H683" s="31" t="s">
        <v>167</v>
      </c>
      <c r="I683" s="32" t="str">
        <f aca="false">INDEX(Productos!$B$2:$B$13,MATCH($H683,Productos!$A$2:$A$13,0))</f>
        <v>Tornillo DIN 912 M6x25 Allen zincado</v>
      </c>
      <c r="J683" s="32" t="str">
        <f aca="false">INDEX(Productos!$C$2:$C$13,MATCH($H683,Productos!$A$2:$A$13,0))</f>
        <v>Métrica</v>
      </c>
      <c r="K683" s="31" t="s">
        <v>246</v>
      </c>
      <c r="L683" s="46" t="n">
        <v>47</v>
      </c>
      <c r="M683" s="50" t="n">
        <f aca="false">INDEX(Productos!$F$2:$F$13,MATCH($H683,Productos!$A$2:$A$13,0))</f>
        <v>42</v>
      </c>
      <c r="N683" s="51" t="n">
        <v>0.053</v>
      </c>
      <c r="O683" s="52" t="n">
        <f aca="false">M683*(1-N683)</f>
        <v>39.774</v>
      </c>
      <c r="P683" s="21" t="n">
        <f aca="false">L683*O683</f>
        <v>1869.378</v>
      </c>
      <c r="Q683" s="50" t="n">
        <f aca="false">INDEX(Productos!$E$2:$E$13,MATCH($H683,Productos!$A$2:$A$13,0))*INDEX(Parametros!$B$26:$B$43,MATCH($C683,Parametros!$A$26:$A$43,0))</f>
        <v>22.2142</v>
      </c>
      <c r="R683" s="21" t="n">
        <f aca="false">L683*Q683</f>
        <v>1044.0674</v>
      </c>
      <c r="S683" s="18" t="n">
        <f aca="false">L683*INDEX(Parametros!$B$20:$B$22,MATCH($E683,Parametros!$A$20:$A$22,0))</f>
        <v>39.95</v>
      </c>
      <c r="T683" s="18" t="n">
        <f aca="false">P683*INDEX(Parametros!$B$13:$B$16,MATCH($F683,Parametros!$A$13:$A$16,0))</f>
        <v>65.42823</v>
      </c>
      <c r="U683" s="21" t="n">
        <f aca="false">P683-R683-S683-T683</f>
        <v>719.93237</v>
      </c>
      <c r="V683" s="19" t="n">
        <f aca="false">IFERROR(U683/P683,0)</f>
        <v>0.385118670488259</v>
      </c>
      <c r="W683" s="48" t="n">
        <f aca="false">B683+INDEX(Parametros!$C$13:$C$16,MATCH($F683,Parametros!$A$13:$A$16,0))</f>
        <v>45928</v>
      </c>
      <c r="X683" s="31" t="s">
        <v>67</v>
      </c>
      <c r="Y683" s="53" t="n">
        <f aca="false">IF(COUNTIF($A$2:$A683,A683)=1,1,0)</f>
        <v>0</v>
      </c>
    </row>
    <row r="684" customFormat="false" ht="15" hidden="false" customHeight="false" outlineLevel="0" collapsed="false">
      <c r="A684" s="31" t="s">
        <v>601</v>
      </c>
      <c r="B684" s="36" t="n">
        <v>45883</v>
      </c>
      <c r="C684" s="49" t="n">
        <f aca="false">DATE(YEAR(B684),MONTH(B684),1)</f>
        <v>45870</v>
      </c>
      <c r="D684" s="31" t="s">
        <v>204</v>
      </c>
      <c r="E684" s="31" t="s">
        <v>41</v>
      </c>
      <c r="F684" s="31" t="s">
        <v>47</v>
      </c>
      <c r="G684" s="31" t="s">
        <v>62</v>
      </c>
      <c r="H684" s="31" t="s">
        <v>175</v>
      </c>
      <c r="I684" s="32" t="str">
        <f aca="false">INDEX(Productos!$B$2:$B$13,MATCH($H684,Productos!$A$2:$A$13,0))</f>
        <v>Tirafondo madera 5x60 cabeza plana Torx</v>
      </c>
      <c r="J684" s="32" t="str">
        <f aca="false">INDEX(Productos!$C$2:$C$13,MATCH($H684,Productos!$A$2:$A$13,0))</f>
        <v>Madera</v>
      </c>
      <c r="K684" s="31" t="s">
        <v>246</v>
      </c>
      <c r="L684" s="46" t="n">
        <v>71</v>
      </c>
      <c r="M684" s="50" t="n">
        <f aca="false">INDEX(Productos!$F$2:$F$13,MATCH($H684,Productos!$A$2:$A$13,0))</f>
        <v>26</v>
      </c>
      <c r="N684" s="51" t="n">
        <v>0.042</v>
      </c>
      <c r="O684" s="52" t="n">
        <f aca="false">M684*(1-N684)</f>
        <v>24.908</v>
      </c>
      <c r="P684" s="21" t="n">
        <f aca="false">L684*O684</f>
        <v>1768.468</v>
      </c>
      <c r="Q684" s="50" t="n">
        <f aca="false">INDEX(Productos!$E$2:$E$13,MATCH($H684,Productos!$A$2:$A$13,0))*INDEX(Parametros!$B$26:$B$43,MATCH($C684,Parametros!$A$26:$A$43,0))</f>
        <v>13.6546</v>
      </c>
      <c r="R684" s="21" t="n">
        <f aca="false">L684*Q684</f>
        <v>969.4766</v>
      </c>
      <c r="S684" s="18" t="n">
        <f aca="false">L684*INDEX(Parametros!$B$20:$B$22,MATCH($E684,Parametros!$A$20:$A$22,0))</f>
        <v>60.35</v>
      </c>
      <c r="T684" s="18" t="n">
        <f aca="false">P684*INDEX(Parametros!$B$13:$B$16,MATCH($F684,Parametros!$A$13:$A$16,0))</f>
        <v>61.89638</v>
      </c>
      <c r="U684" s="21" t="n">
        <f aca="false">P684-R684-S684-T684</f>
        <v>676.74502</v>
      </c>
      <c r="V684" s="19" t="n">
        <f aca="false">IFERROR(U684/P684,0)</f>
        <v>0.382673036775333</v>
      </c>
      <c r="W684" s="48" t="n">
        <f aca="false">B684+INDEX(Parametros!$C$13:$C$16,MATCH($F684,Parametros!$A$13:$A$16,0))</f>
        <v>45928</v>
      </c>
      <c r="X684" s="31" t="s">
        <v>67</v>
      </c>
      <c r="Y684" s="53" t="n">
        <f aca="false">IF(COUNTIF($A$2:$A684,A684)=1,1,0)</f>
        <v>0</v>
      </c>
    </row>
    <row r="685" customFormat="false" ht="15" hidden="false" customHeight="false" outlineLevel="0" collapsed="false">
      <c r="A685" s="31" t="s">
        <v>601</v>
      </c>
      <c r="B685" s="36" t="n">
        <v>45883</v>
      </c>
      <c r="C685" s="49" t="n">
        <f aca="false">DATE(YEAR(B685),MONTH(B685),1)</f>
        <v>45870</v>
      </c>
      <c r="D685" s="31" t="s">
        <v>204</v>
      </c>
      <c r="E685" s="31" t="s">
        <v>41</v>
      </c>
      <c r="F685" s="31" t="s">
        <v>47</v>
      </c>
      <c r="G685" s="31" t="s">
        <v>62</v>
      </c>
      <c r="H685" s="31" t="s">
        <v>171</v>
      </c>
      <c r="I685" s="32" t="str">
        <f aca="false">INDEX(Productos!$B$2:$B$13,MATCH($H685,Productos!$A$2:$A$13,0))</f>
        <v>Tornillo DIN 7991 M8x30 avellanado inox A2</v>
      </c>
      <c r="J685" s="32" t="str">
        <f aca="false">INDEX(Productos!$C$2:$C$13,MATCH($H685,Productos!$A$2:$A$13,0))</f>
        <v>Inoxidable</v>
      </c>
      <c r="K685" s="31" t="s">
        <v>246</v>
      </c>
      <c r="L685" s="46" t="n">
        <v>84</v>
      </c>
      <c r="M685" s="50" t="n">
        <f aca="false">INDEX(Productos!$F$2:$F$13,MATCH($H685,Productos!$A$2:$A$13,0))</f>
        <v>88</v>
      </c>
      <c r="N685" s="51" t="n">
        <v>0.07</v>
      </c>
      <c r="O685" s="52" t="n">
        <f aca="false">M685*(1-N685)</f>
        <v>81.84</v>
      </c>
      <c r="P685" s="21" t="n">
        <f aca="false">L685*O685</f>
        <v>6874.56</v>
      </c>
      <c r="Q685" s="50" t="n">
        <f aca="false">INDEX(Productos!$E$2:$E$13,MATCH($H685,Productos!$A$2:$A$13,0))*INDEX(Parametros!$B$26:$B$43,MATCH($C685,Parametros!$A$26:$A$43,0))</f>
        <v>47.3835</v>
      </c>
      <c r="R685" s="21" t="n">
        <f aca="false">L685*Q685</f>
        <v>3980.214</v>
      </c>
      <c r="S685" s="18" t="n">
        <f aca="false">L685*INDEX(Parametros!$B$20:$B$22,MATCH($E685,Parametros!$A$20:$A$22,0))</f>
        <v>71.4</v>
      </c>
      <c r="T685" s="18" t="n">
        <f aca="false">P685*INDEX(Parametros!$B$13:$B$16,MATCH($F685,Parametros!$A$13:$A$16,0))</f>
        <v>240.6096</v>
      </c>
      <c r="U685" s="21" t="n">
        <f aca="false">P685-R685-S685-T685</f>
        <v>2582.3364</v>
      </c>
      <c r="V685" s="19" t="n">
        <f aca="false">IFERROR(U685/P685,0)</f>
        <v>0.37563660801564</v>
      </c>
      <c r="W685" s="48" t="n">
        <f aca="false">B685+INDEX(Parametros!$C$13:$C$16,MATCH($F685,Parametros!$A$13:$A$16,0))</f>
        <v>45928</v>
      </c>
      <c r="X685" s="31" t="s">
        <v>67</v>
      </c>
      <c r="Y685" s="53" t="n">
        <f aca="false">IF(COUNTIF($A$2:$A685,A685)=1,1,0)</f>
        <v>0</v>
      </c>
    </row>
    <row r="686" customFormat="false" ht="15" hidden="false" customHeight="false" outlineLevel="0" collapsed="false">
      <c r="A686" s="31" t="s">
        <v>602</v>
      </c>
      <c r="B686" s="36" t="n">
        <v>45884</v>
      </c>
      <c r="C686" s="49" t="n">
        <f aca="false">DATE(YEAR(B686),MONTH(B686),1)</f>
        <v>45870</v>
      </c>
      <c r="D686" s="31" t="s">
        <v>224</v>
      </c>
      <c r="E686" s="31" t="s">
        <v>43</v>
      </c>
      <c r="F686" s="31" t="s">
        <v>45</v>
      </c>
      <c r="G686" s="31" t="s">
        <v>59</v>
      </c>
      <c r="H686" s="31" t="s">
        <v>181</v>
      </c>
      <c r="I686" s="32" t="str">
        <f aca="false">INDEX(Productos!$B$2:$B$13,MATCH($H686,Productos!$A$2:$A$13,0))</f>
        <v>Autotaladrante 5,5x55 punta broca</v>
      </c>
      <c r="J686" s="32" t="str">
        <f aca="false">INDEX(Productos!$C$2:$C$13,MATCH($H686,Productos!$A$2:$A$13,0))</f>
        <v>Autotaladrante</v>
      </c>
      <c r="K686" s="31" t="s">
        <v>246</v>
      </c>
      <c r="L686" s="46" t="n">
        <v>85</v>
      </c>
      <c r="M686" s="50" t="n">
        <f aca="false">INDEX(Productos!$F$2:$F$13,MATCH($H686,Productos!$A$2:$A$13,0))</f>
        <v>39</v>
      </c>
      <c r="N686" s="51" t="n">
        <v>0.173</v>
      </c>
      <c r="O686" s="52" t="n">
        <f aca="false">M686*(1-N686)</f>
        <v>32.253</v>
      </c>
      <c r="P686" s="21" t="n">
        <f aca="false">L686*O686</f>
        <v>2741.505</v>
      </c>
      <c r="Q686" s="50" t="n">
        <f aca="false">INDEX(Productos!$E$2:$E$13,MATCH($H686,Productos!$A$2:$A$13,0))*INDEX(Parametros!$B$26:$B$43,MATCH($C686,Parametros!$A$26:$A$43,0))</f>
        <v>20.6857</v>
      </c>
      <c r="R686" s="21" t="n">
        <f aca="false">L686*Q686</f>
        <v>1758.2845</v>
      </c>
      <c r="S686" s="18" t="n">
        <f aca="false">L686*INDEX(Parametros!$B$20:$B$22,MATCH($E686,Parametros!$A$20:$A$22,0))</f>
        <v>161.5</v>
      </c>
      <c r="T686" s="18" t="n">
        <f aca="false">P686*INDEX(Parametros!$B$13:$B$16,MATCH($F686,Parametros!$A$13:$A$16,0))</f>
        <v>82.24515</v>
      </c>
      <c r="U686" s="21" t="n">
        <f aca="false">P686-R686-S686-T686</f>
        <v>739.47535</v>
      </c>
      <c r="V686" s="19" t="n">
        <f aca="false">IFERROR(U686/P686,0)</f>
        <v>0.269733358137228</v>
      </c>
      <c r="W686" s="48" t="n">
        <f aca="false">B686+INDEX(Parametros!$C$13:$C$16,MATCH($F686,Parametros!$A$13:$A$16,0))</f>
        <v>45944</v>
      </c>
      <c r="X686" s="31" t="s">
        <v>67</v>
      </c>
      <c r="Y686" s="53" t="n">
        <f aca="false">IF(COUNTIF($A$2:$A686,A686)=1,1,0)</f>
        <v>1</v>
      </c>
    </row>
    <row r="687" customFormat="false" ht="15" hidden="false" customHeight="false" outlineLevel="0" collapsed="false">
      <c r="A687" s="31" t="s">
        <v>602</v>
      </c>
      <c r="B687" s="36" t="n">
        <v>45884</v>
      </c>
      <c r="C687" s="49" t="n">
        <f aca="false">DATE(YEAR(B687),MONTH(B687),1)</f>
        <v>45870</v>
      </c>
      <c r="D687" s="31" t="s">
        <v>224</v>
      </c>
      <c r="E687" s="31" t="s">
        <v>43</v>
      </c>
      <c r="F687" s="31" t="s">
        <v>45</v>
      </c>
      <c r="G687" s="31" t="s">
        <v>59</v>
      </c>
      <c r="H687" s="31" t="s">
        <v>183</v>
      </c>
      <c r="I687" s="32" t="str">
        <f aca="false">INDEX(Productos!$B$2:$B$13,MATCH($H687,Productos!$A$2:$A$13,0))</f>
        <v>Tornillo estructural M16x90 clase 10.9</v>
      </c>
      <c r="J687" s="32" t="str">
        <f aca="false">INDEX(Productos!$C$2:$C$13,MATCH($H687,Productos!$A$2:$A$13,0))</f>
        <v>Especial</v>
      </c>
      <c r="K687" s="31" t="s">
        <v>246</v>
      </c>
      <c r="L687" s="46" t="n">
        <v>254</v>
      </c>
      <c r="M687" s="50" t="n">
        <f aca="false">INDEX(Productos!$F$2:$F$13,MATCH($H687,Productos!$A$2:$A$13,0))</f>
        <v>112</v>
      </c>
      <c r="N687" s="51" t="n">
        <v>0.148</v>
      </c>
      <c r="O687" s="52" t="n">
        <f aca="false">M687*(1-N687)</f>
        <v>95.424</v>
      </c>
      <c r="P687" s="21" t="n">
        <f aca="false">L687*O687</f>
        <v>24237.696</v>
      </c>
      <c r="Q687" s="50" t="n">
        <f aca="false">INDEX(Productos!$E$2:$E$13,MATCH($H687,Productos!$A$2:$A$13,0))*INDEX(Parametros!$B$26:$B$43,MATCH($C687,Parametros!$A$26:$A$43,0))</f>
        <v>61.14</v>
      </c>
      <c r="R687" s="21" t="n">
        <f aca="false">L687*Q687</f>
        <v>15529.56</v>
      </c>
      <c r="S687" s="18" t="n">
        <f aca="false">L687*INDEX(Parametros!$B$20:$B$22,MATCH($E687,Parametros!$A$20:$A$22,0))</f>
        <v>482.6</v>
      </c>
      <c r="T687" s="18" t="n">
        <f aca="false">P687*INDEX(Parametros!$B$13:$B$16,MATCH($F687,Parametros!$A$13:$A$16,0))</f>
        <v>727.13088</v>
      </c>
      <c r="U687" s="21" t="n">
        <f aca="false">P687-R687-S687-T687</f>
        <v>7498.40512</v>
      </c>
      <c r="V687" s="19" t="n">
        <f aca="false">IFERROR(U687/P687,0)</f>
        <v>0.309369550637156</v>
      </c>
      <c r="W687" s="48" t="n">
        <f aca="false">B687+INDEX(Parametros!$C$13:$C$16,MATCH($F687,Parametros!$A$13:$A$16,0))</f>
        <v>45944</v>
      </c>
      <c r="X687" s="31" t="s">
        <v>67</v>
      </c>
      <c r="Y687" s="53" t="n">
        <f aca="false">IF(COUNTIF($A$2:$A687,A687)=1,1,0)</f>
        <v>0</v>
      </c>
    </row>
    <row r="688" customFormat="false" ht="15" hidden="false" customHeight="false" outlineLevel="0" collapsed="false">
      <c r="A688" s="31" t="s">
        <v>603</v>
      </c>
      <c r="B688" s="36" t="n">
        <v>45884</v>
      </c>
      <c r="C688" s="49" t="n">
        <f aca="false">DATE(YEAR(B688),MONTH(B688),1)</f>
        <v>45870</v>
      </c>
      <c r="D688" s="31" t="s">
        <v>218</v>
      </c>
      <c r="E688" s="31" t="s">
        <v>42</v>
      </c>
      <c r="F688" s="31" t="s">
        <v>45</v>
      </c>
      <c r="G688" s="31" t="s">
        <v>61</v>
      </c>
      <c r="H688" s="31" t="s">
        <v>167</v>
      </c>
      <c r="I688" s="32" t="str">
        <f aca="false">INDEX(Productos!$B$2:$B$13,MATCH($H688,Productos!$A$2:$A$13,0))</f>
        <v>Tornillo DIN 912 M6x25 Allen zincado</v>
      </c>
      <c r="J688" s="32" t="str">
        <f aca="false">INDEX(Productos!$C$2:$C$13,MATCH($H688,Productos!$A$2:$A$13,0))</f>
        <v>Métrica</v>
      </c>
      <c r="K688" s="31" t="s">
        <v>246</v>
      </c>
      <c r="L688" s="46" t="n">
        <v>26</v>
      </c>
      <c r="M688" s="50" t="n">
        <f aca="false">INDEX(Productos!$F$2:$F$13,MATCH($H688,Productos!$A$2:$A$13,0))</f>
        <v>42</v>
      </c>
      <c r="N688" s="51" t="n">
        <v>0.121</v>
      </c>
      <c r="O688" s="52" t="n">
        <f aca="false">M688*(1-N688)</f>
        <v>36.918</v>
      </c>
      <c r="P688" s="21" t="n">
        <f aca="false">L688*O688</f>
        <v>959.868</v>
      </c>
      <c r="Q688" s="50" t="n">
        <f aca="false">INDEX(Productos!$E$2:$E$13,MATCH($H688,Productos!$A$2:$A$13,0))*INDEX(Parametros!$B$26:$B$43,MATCH($C688,Parametros!$A$26:$A$43,0))</f>
        <v>22.2142</v>
      </c>
      <c r="R688" s="21" t="n">
        <f aca="false">L688*Q688</f>
        <v>577.5692</v>
      </c>
      <c r="S688" s="18" t="n">
        <f aca="false">L688*INDEX(Parametros!$B$20:$B$22,MATCH($E688,Parametros!$A$20:$A$22,0))</f>
        <v>62.4</v>
      </c>
      <c r="T688" s="18" t="n">
        <f aca="false">P688*INDEX(Parametros!$B$13:$B$16,MATCH($F688,Parametros!$A$13:$A$16,0))</f>
        <v>28.79604</v>
      </c>
      <c r="U688" s="21" t="n">
        <f aca="false">P688-R688-S688-T688</f>
        <v>291.10276</v>
      </c>
      <c r="V688" s="19" t="n">
        <f aca="false">IFERROR(U688/P688,0)</f>
        <v>0.303273741806165</v>
      </c>
      <c r="W688" s="48" t="n">
        <f aca="false">B688+INDEX(Parametros!$C$13:$C$16,MATCH($F688,Parametros!$A$13:$A$16,0))</f>
        <v>45944</v>
      </c>
      <c r="X688" s="31" t="s">
        <v>67</v>
      </c>
      <c r="Y688" s="53" t="n">
        <f aca="false">IF(COUNTIF($A$2:$A688,A688)=1,1,0)</f>
        <v>1</v>
      </c>
    </row>
    <row r="689" customFormat="false" ht="15" hidden="false" customHeight="false" outlineLevel="0" collapsed="false">
      <c r="A689" s="31" t="s">
        <v>603</v>
      </c>
      <c r="B689" s="36" t="n">
        <v>45884</v>
      </c>
      <c r="C689" s="49" t="n">
        <f aca="false">DATE(YEAR(B689),MONTH(B689),1)</f>
        <v>45870</v>
      </c>
      <c r="D689" s="31" t="s">
        <v>218</v>
      </c>
      <c r="E689" s="31" t="s">
        <v>42</v>
      </c>
      <c r="F689" s="31" t="s">
        <v>45</v>
      </c>
      <c r="G689" s="31" t="s">
        <v>61</v>
      </c>
      <c r="H689" s="31" t="s">
        <v>165</v>
      </c>
      <c r="I689" s="32" t="str">
        <f aca="false">INDEX(Productos!$B$2:$B$13,MATCH($H689,Productos!$A$2:$A$13,0))</f>
        <v>Tornillo DIN 933 M8x40 rosca completa zincado</v>
      </c>
      <c r="J689" s="32" t="str">
        <f aca="false">INDEX(Productos!$C$2:$C$13,MATCH($H689,Productos!$A$2:$A$13,0))</f>
        <v>Métrica</v>
      </c>
      <c r="K689" s="31" t="s">
        <v>246</v>
      </c>
      <c r="L689" s="46" t="n">
        <v>103</v>
      </c>
      <c r="M689" s="50" t="n">
        <f aca="false">INDEX(Productos!$F$2:$F$13,MATCH($H689,Productos!$A$2:$A$13,0))</f>
        <v>37.5</v>
      </c>
      <c r="N689" s="51" t="n">
        <v>0.2</v>
      </c>
      <c r="O689" s="52" t="n">
        <f aca="false">M689*(1-N689)</f>
        <v>30</v>
      </c>
      <c r="P689" s="21" t="n">
        <f aca="false">L689*O689</f>
        <v>3090</v>
      </c>
      <c r="Q689" s="50" t="n">
        <f aca="false">INDEX(Productos!$E$2:$E$13,MATCH($H689,Productos!$A$2:$A$13,0))*INDEX(Parametros!$B$26:$B$43,MATCH($C689,Parametros!$A$26:$A$43,0))</f>
        <v>19.7686</v>
      </c>
      <c r="R689" s="21" t="n">
        <f aca="false">L689*Q689</f>
        <v>2036.1658</v>
      </c>
      <c r="S689" s="18" t="n">
        <f aca="false">L689*INDEX(Parametros!$B$20:$B$22,MATCH($E689,Parametros!$A$20:$A$22,0))</f>
        <v>247.2</v>
      </c>
      <c r="T689" s="18" t="n">
        <f aca="false">P689*INDEX(Parametros!$B$13:$B$16,MATCH($F689,Parametros!$A$13:$A$16,0))</f>
        <v>92.7</v>
      </c>
      <c r="U689" s="21" t="n">
        <f aca="false">P689-R689-S689-T689</f>
        <v>713.9342</v>
      </c>
      <c r="V689" s="19" t="n">
        <f aca="false">IFERROR(U689/P689,0)</f>
        <v>0.231046666666667</v>
      </c>
      <c r="W689" s="48" t="n">
        <f aca="false">B689+INDEX(Parametros!$C$13:$C$16,MATCH($F689,Parametros!$A$13:$A$16,0))</f>
        <v>45944</v>
      </c>
      <c r="X689" s="31" t="s">
        <v>67</v>
      </c>
      <c r="Y689" s="53" t="n">
        <f aca="false">IF(COUNTIF($A$2:$A689,A689)=1,1,0)</f>
        <v>0</v>
      </c>
    </row>
    <row r="690" customFormat="false" ht="15" hidden="false" customHeight="false" outlineLevel="0" collapsed="false">
      <c r="A690" s="31" t="s">
        <v>604</v>
      </c>
      <c r="B690" s="36" t="n">
        <v>45884</v>
      </c>
      <c r="C690" s="49" t="n">
        <f aca="false">DATE(YEAR(B690),MONTH(B690),1)</f>
        <v>45870</v>
      </c>
      <c r="D690" s="31" t="s">
        <v>209</v>
      </c>
      <c r="E690" s="31" t="s">
        <v>41</v>
      </c>
      <c r="F690" s="31" t="s">
        <v>45</v>
      </c>
      <c r="G690" s="31" t="s">
        <v>62</v>
      </c>
      <c r="H690" s="31" t="s">
        <v>165</v>
      </c>
      <c r="I690" s="32" t="str">
        <f aca="false">INDEX(Productos!$B$2:$B$13,MATCH($H690,Productos!$A$2:$A$13,0))</f>
        <v>Tornillo DIN 933 M8x40 rosca completa zincado</v>
      </c>
      <c r="J690" s="32" t="str">
        <f aca="false">INDEX(Productos!$C$2:$C$13,MATCH($H690,Productos!$A$2:$A$13,0))</f>
        <v>Métrica</v>
      </c>
      <c r="K690" s="31" t="s">
        <v>246</v>
      </c>
      <c r="L690" s="46" t="n">
        <v>70</v>
      </c>
      <c r="M690" s="50" t="n">
        <f aca="false">INDEX(Productos!$F$2:$F$13,MATCH($H690,Productos!$A$2:$A$13,0))</f>
        <v>37.5</v>
      </c>
      <c r="N690" s="51" t="n">
        <v>0.154</v>
      </c>
      <c r="O690" s="52" t="n">
        <f aca="false">M690*(1-N690)</f>
        <v>31.725</v>
      </c>
      <c r="P690" s="21" t="n">
        <f aca="false">L690*O690</f>
        <v>2220.75</v>
      </c>
      <c r="Q690" s="50" t="n">
        <f aca="false">INDEX(Productos!$E$2:$E$13,MATCH($H690,Productos!$A$2:$A$13,0))*INDEX(Parametros!$B$26:$B$43,MATCH($C690,Parametros!$A$26:$A$43,0))</f>
        <v>19.7686</v>
      </c>
      <c r="R690" s="21" t="n">
        <f aca="false">L690*Q690</f>
        <v>1383.802</v>
      </c>
      <c r="S690" s="18" t="n">
        <f aca="false">L690*INDEX(Parametros!$B$20:$B$22,MATCH($E690,Parametros!$A$20:$A$22,0))</f>
        <v>59.5</v>
      </c>
      <c r="T690" s="18" t="n">
        <f aca="false">P690*INDEX(Parametros!$B$13:$B$16,MATCH($F690,Parametros!$A$13:$A$16,0))</f>
        <v>66.6225</v>
      </c>
      <c r="U690" s="21" t="n">
        <f aca="false">P690-R690-S690-T690</f>
        <v>710.8255</v>
      </c>
      <c r="V690" s="19" t="n">
        <f aca="false">IFERROR(U690/P690,0)</f>
        <v>0.32008353033885</v>
      </c>
      <c r="W690" s="48" t="n">
        <f aca="false">B690+INDEX(Parametros!$C$13:$C$16,MATCH($F690,Parametros!$A$13:$A$16,0))</f>
        <v>45944</v>
      </c>
      <c r="X690" s="31" t="s">
        <v>67</v>
      </c>
      <c r="Y690" s="53" t="n">
        <f aca="false">IF(COUNTIF($A$2:$A690,A690)=1,1,0)</f>
        <v>1</v>
      </c>
    </row>
    <row r="691" customFormat="false" ht="15" hidden="false" customHeight="false" outlineLevel="0" collapsed="false">
      <c r="A691" s="31" t="s">
        <v>605</v>
      </c>
      <c r="B691" s="36" t="n">
        <v>45884</v>
      </c>
      <c r="C691" s="49" t="n">
        <f aca="false">DATE(YEAR(B691),MONTH(B691),1)</f>
        <v>45870</v>
      </c>
      <c r="D691" s="31" t="s">
        <v>213</v>
      </c>
      <c r="E691" s="31" t="s">
        <v>42</v>
      </c>
      <c r="F691" s="31" t="s">
        <v>46</v>
      </c>
      <c r="G691" s="31" t="s">
        <v>61</v>
      </c>
      <c r="H691" s="31" t="s">
        <v>171</v>
      </c>
      <c r="I691" s="32" t="str">
        <f aca="false">INDEX(Productos!$B$2:$B$13,MATCH($H691,Productos!$A$2:$A$13,0))</f>
        <v>Tornillo DIN 7991 M8x30 avellanado inox A2</v>
      </c>
      <c r="J691" s="32" t="str">
        <f aca="false">INDEX(Productos!$C$2:$C$13,MATCH($H691,Productos!$A$2:$A$13,0))</f>
        <v>Inoxidable</v>
      </c>
      <c r="K691" s="31" t="s">
        <v>246</v>
      </c>
      <c r="L691" s="46" t="n">
        <v>190</v>
      </c>
      <c r="M691" s="50" t="n">
        <f aca="false">INDEX(Productos!$F$2:$F$13,MATCH($H691,Productos!$A$2:$A$13,0))</f>
        <v>88</v>
      </c>
      <c r="N691" s="51" t="n">
        <v>0.114</v>
      </c>
      <c r="O691" s="52" t="n">
        <f aca="false">M691*(1-N691)</f>
        <v>77.968</v>
      </c>
      <c r="P691" s="21" t="n">
        <f aca="false">L691*O691</f>
        <v>14813.92</v>
      </c>
      <c r="Q691" s="50" t="n">
        <f aca="false">INDEX(Productos!$E$2:$E$13,MATCH($H691,Productos!$A$2:$A$13,0))*INDEX(Parametros!$B$26:$B$43,MATCH($C691,Parametros!$A$26:$A$43,0))</f>
        <v>47.3835</v>
      </c>
      <c r="R691" s="21" t="n">
        <f aca="false">L691*Q691</f>
        <v>9002.865</v>
      </c>
      <c r="S691" s="18" t="n">
        <f aca="false">L691*INDEX(Parametros!$B$20:$B$22,MATCH($E691,Parametros!$A$20:$A$22,0))</f>
        <v>456</v>
      </c>
      <c r="T691" s="18" t="n">
        <f aca="false">P691*INDEX(Parametros!$B$13:$B$16,MATCH($F691,Parametros!$A$13:$A$16,0))</f>
        <v>592.5568</v>
      </c>
      <c r="U691" s="21" t="n">
        <f aca="false">P691-R691-S691-T691</f>
        <v>4762.4982</v>
      </c>
      <c r="V691" s="19" t="n">
        <f aca="false">IFERROR(U691/P691,0)</f>
        <v>0.321488046378001</v>
      </c>
      <c r="W691" s="48" t="n">
        <f aca="false">B691+INDEX(Parametros!$C$13:$C$16,MATCH($F691,Parametros!$A$13:$A$16,0))</f>
        <v>45959</v>
      </c>
      <c r="X691" s="31" t="s">
        <v>67</v>
      </c>
      <c r="Y691" s="53" t="n">
        <f aca="false">IF(COUNTIF($A$2:$A691,A691)=1,1,0)</f>
        <v>1</v>
      </c>
    </row>
    <row r="692" customFormat="false" ht="15" hidden="false" customHeight="false" outlineLevel="0" collapsed="false">
      <c r="A692" s="31" t="s">
        <v>606</v>
      </c>
      <c r="B692" s="36" t="n">
        <v>45887</v>
      </c>
      <c r="C692" s="49" t="n">
        <f aca="false">DATE(YEAR(B692),MONTH(B692),1)</f>
        <v>45870</v>
      </c>
      <c r="D692" s="31" t="s">
        <v>208</v>
      </c>
      <c r="E692" s="31" t="s">
        <v>41</v>
      </c>
      <c r="F692" s="31" t="s">
        <v>46</v>
      </c>
      <c r="G692" s="31" t="s">
        <v>58</v>
      </c>
      <c r="H692" s="31" t="s">
        <v>175</v>
      </c>
      <c r="I692" s="32" t="str">
        <f aca="false">INDEX(Productos!$B$2:$B$13,MATCH($H692,Productos!$A$2:$A$13,0))</f>
        <v>Tirafondo madera 5x60 cabeza plana Torx</v>
      </c>
      <c r="J692" s="32" t="str">
        <f aca="false">INDEX(Productos!$C$2:$C$13,MATCH($H692,Productos!$A$2:$A$13,0))</f>
        <v>Madera</v>
      </c>
      <c r="K692" s="31" t="s">
        <v>246</v>
      </c>
      <c r="L692" s="46" t="n">
        <v>96</v>
      </c>
      <c r="M692" s="50" t="n">
        <f aca="false">INDEX(Productos!$F$2:$F$13,MATCH($H692,Productos!$A$2:$A$13,0))</f>
        <v>26</v>
      </c>
      <c r="N692" s="51" t="n">
        <v>0.121</v>
      </c>
      <c r="O692" s="52" t="n">
        <f aca="false">M692*(1-N692)</f>
        <v>22.854</v>
      </c>
      <c r="P692" s="21" t="n">
        <f aca="false">L692*O692</f>
        <v>2193.984</v>
      </c>
      <c r="Q692" s="50" t="n">
        <f aca="false">INDEX(Productos!$E$2:$E$13,MATCH($H692,Productos!$A$2:$A$13,0))*INDEX(Parametros!$B$26:$B$43,MATCH($C692,Parametros!$A$26:$A$43,0))</f>
        <v>13.6546</v>
      </c>
      <c r="R692" s="21" t="n">
        <f aca="false">L692*Q692</f>
        <v>1310.8416</v>
      </c>
      <c r="S692" s="18" t="n">
        <f aca="false">L692*INDEX(Parametros!$B$20:$B$22,MATCH($E692,Parametros!$A$20:$A$22,0))</f>
        <v>81.6</v>
      </c>
      <c r="T692" s="18" t="n">
        <f aca="false">P692*INDEX(Parametros!$B$13:$B$16,MATCH($F692,Parametros!$A$13:$A$16,0))</f>
        <v>87.75936</v>
      </c>
      <c r="U692" s="21" t="n">
        <f aca="false">P692-R692-S692-T692</f>
        <v>713.78304</v>
      </c>
      <c r="V692" s="19" t="n">
        <f aca="false">IFERROR(U692/P692,0)</f>
        <v>0.325336483766518</v>
      </c>
      <c r="W692" s="48" t="n">
        <f aca="false">B692+INDEX(Parametros!$C$13:$C$16,MATCH($F692,Parametros!$A$13:$A$16,0))</f>
        <v>45962</v>
      </c>
      <c r="X692" s="31" t="s">
        <v>67</v>
      </c>
      <c r="Y692" s="53" t="n">
        <f aca="false">IF(COUNTIF($A$2:$A692,A692)=1,1,0)</f>
        <v>1</v>
      </c>
    </row>
    <row r="693" customFormat="false" ht="15" hidden="false" customHeight="false" outlineLevel="0" collapsed="false">
      <c r="A693" s="31" t="s">
        <v>607</v>
      </c>
      <c r="B693" s="36" t="n">
        <v>45887</v>
      </c>
      <c r="C693" s="49" t="n">
        <f aca="false">DATE(YEAR(B693),MONTH(B693),1)</f>
        <v>45870</v>
      </c>
      <c r="D693" s="31" t="s">
        <v>205</v>
      </c>
      <c r="E693" s="31" t="s">
        <v>41</v>
      </c>
      <c r="F693" s="31" t="s">
        <v>45</v>
      </c>
      <c r="G693" s="31" t="s">
        <v>62</v>
      </c>
      <c r="H693" s="31" t="s">
        <v>181</v>
      </c>
      <c r="I693" s="32" t="str">
        <f aca="false">INDEX(Productos!$B$2:$B$13,MATCH($H693,Productos!$A$2:$A$13,0))</f>
        <v>Autotaladrante 5,5x55 punta broca</v>
      </c>
      <c r="J693" s="32" t="str">
        <f aca="false">INDEX(Productos!$C$2:$C$13,MATCH($H693,Productos!$A$2:$A$13,0))</f>
        <v>Autotaladrante</v>
      </c>
      <c r="K693" s="31" t="s">
        <v>246</v>
      </c>
      <c r="L693" s="46" t="n">
        <v>69</v>
      </c>
      <c r="M693" s="50" t="n">
        <f aca="false">INDEX(Productos!$F$2:$F$13,MATCH($H693,Productos!$A$2:$A$13,0))</f>
        <v>39</v>
      </c>
      <c r="N693" s="51" t="n">
        <v>0.197</v>
      </c>
      <c r="O693" s="52" t="n">
        <f aca="false">M693*(1-N693)</f>
        <v>31.317</v>
      </c>
      <c r="P693" s="21" t="n">
        <f aca="false">L693*O693</f>
        <v>2160.873</v>
      </c>
      <c r="Q693" s="50" t="n">
        <f aca="false">INDEX(Productos!$E$2:$E$13,MATCH($H693,Productos!$A$2:$A$13,0))*INDEX(Parametros!$B$26:$B$43,MATCH($C693,Parametros!$A$26:$A$43,0))</f>
        <v>20.6857</v>
      </c>
      <c r="R693" s="21" t="n">
        <f aca="false">L693*Q693</f>
        <v>1427.3133</v>
      </c>
      <c r="S693" s="18" t="n">
        <f aca="false">L693*INDEX(Parametros!$B$20:$B$22,MATCH($E693,Parametros!$A$20:$A$22,0))</f>
        <v>58.65</v>
      </c>
      <c r="T693" s="18" t="n">
        <f aca="false">P693*INDEX(Parametros!$B$13:$B$16,MATCH($F693,Parametros!$A$13:$A$16,0))</f>
        <v>64.82619</v>
      </c>
      <c r="U693" s="21" t="n">
        <f aca="false">P693-R693-S693-T693</f>
        <v>610.08351</v>
      </c>
      <c r="V693" s="19" t="n">
        <f aca="false">IFERROR(U693/P693,0)</f>
        <v>0.282331960277166</v>
      </c>
      <c r="W693" s="48" t="n">
        <f aca="false">B693+INDEX(Parametros!$C$13:$C$16,MATCH($F693,Parametros!$A$13:$A$16,0))</f>
        <v>45947</v>
      </c>
      <c r="X693" s="31" t="s">
        <v>67</v>
      </c>
      <c r="Y693" s="53" t="n">
        <f aca="false">IF(COUNTIF($A$2:$A693,A693)=1,1,0)</f>
        <v>1</v>
      </c>
    </row>
    <row r="694" customFormat="false" ht="15" hidden="false" customHeight="false" outlineLevel="0" collapsed="false">
      <c r="A694" s="31" t="s">
        <v>608</v>
      </c>
      <c r="B694" s="36" t="n">
        <v>45887</v>
      </c>
      <c r="C694" s="49" t="n">
        <f aca="false">DATE(YEAR(B694),MONTH(B694),1)</f>
        <v>45870</v>
      </c>
      <c r="D694" s="31" t="s">
        <v>219</v>
      </c>
      <c r="E694" s="31" t="s">
        <v>42</v>
      </c>
      <c r="F694" s="31" t="s">
        <v>45</v>
      </c>
      <c r="G694" s="31" t="s">
        <v>61</v>
      </c>
      <c r="H694" s="31" t="s">
        <v>175</v>
      </c>
      <c r="I694" s="32" t="str">
        <f aca="false">INDEX(Productos!$B$2:$B$13,MATCH($H694,Productos!$A$2:$A$13,0))</f>
        <v>Tirafondo madera 5x60 cabeza plana Torx</v>
      </c>
      <c r="J694" s="32" t="str">
        <f aca="false">INDEX(Productos!$C$2:$C$13,MATCH($H694,Productos!$A$2:$A$13,0))</f>
        <v>Madera</v>
      </c>
      <c r="K694" s="31" t="s">
        <v>246</v>
      </c>
      <c r="L694" s="46" t="n">
        <v>70</v>
      </c>
      <c r="M694" s="50" t="n">
        <f aca="false">INDEX(Productos!$F$2:$F$13,MATCH($H694,Productos!$A$2:$A$13,0))</f>
        <v>26</v>
      </c>
      <c r="N694" s="51" t="n">
        <v>0.197</v>
      </c>
      <c r="O694" s="52" t="n">
        <f aca="false">M694*(1-N694)</f>
        <v>20.878</v>
      </c>
      <c r="P694" s="21" t="n">
        <f aca="false">L694*O694</f>
        <v>1461.46</v>
      </c>
      <c r="Q694" s="50" t="n">
        <f aca="false">INDEX(Productos!$E$2:$E$13,MATCH($H694,Productos!$A$2:$A$13,0))*INDEX(Parametros!$B$26:$B$43,MATCH($C694,Parametros!$A$26:$A$43,0))</f>
        <v>13.6546</v>
      </c>
      <c r="R694" s="21" t="n">
        <f aca="false">L694*Q694</f>
        <v>955.822</v>
      </c>
      <c r="S694" s="18" t="n">
        <f aca="false">L694*INDEX(Parametros!$B$20:$B$22,MATCH($E694,Parametros!$A$20:$A$22,0))</f>
        <v>168</v>
      </c>
      <c r="T694" s="18" t="n">
        <f aca="false">P694*INDEX(Parametros!$B$13:$B$16,MATCH($F694,Parametros!$A$13:$A$16,0))</f>
        <v>43.8438</v>
      </c>
      <c r="U694" s="21" t="n">
        <f aca="false">P694-R694-S694-T694</f>
        <v>293.7942</v>
      </c>
      <c r="V694" s="19" t="n">
        <f aca="false">IFERROR(U694/P694,0)</f>
        <v>0.201027876233356</v>
      </c>
      <c r="W694" s="48" t="n">
        <f aca="false">B694+INDEX(Parametros!$C$13:$C$16,MATCH($F694,Parametros!$A$13:$A$16,0))</f>
        <v>45947</v>
      </c>
      <c r="X694" s="31" t="s">
        <v>67</v>
      </c>
      <c r="Y694" s="53" t="n">
        <f aca="false">IF(COUNTIF($A$2:$A694,A694)=1,1,0)</f>
        <v>1</v>
      </c>
    </row>
    <row r="695" customFormat="false" ht="15" hidden="false" customHeight="false" outlineLevel="0" collapsed="false">
      <c r="A695" s="31" t="s">
        <v>609</v>
      </c>
      <c r="B695" s="36" t="n">
        <v>45887</v>
      </c>
      <c r="C695" s="49" t="n">
        <f aca="false">DATE(YEAR(B695),MONTH(B695),1)</f>
        <v>45870</v>
      </c>
      <c r="D695" s="31" t="s">
        <v>221</v>
      </c>
      <c r="E695" s="31" t="s">
        <v>43</v>
      </c>
      <c r="F695" s="31" t="s">
        <v>45</v>
      </c>
      <c r="G695" s="31" t="s">
        <v>59</v>
      </c>
      <c r="H695" s="31" t="s">
        <v>183</v>
      </c>
      <c r="I695" s="32" t="str">
        <f aca="false">INDEX(Productos!$B$2:$B$13,MATCH($H695,Productos!$A$2:$A$13,0))</f>
        <v>Tornillo estructural M16x90 clase 10.9</v>
      </c>
      <c r="J695" s="32" t="str">
        <f aca="false">INDEX(Productos!$C$2:$C$13,MATCH($H695,Productos!$A$2:$A$13,0))</f>
        <v>Especial</v>
      </c>
      <c r="K695" s="31" t="s">
        <v>246</v>
      </c>
      <c r="L695" s="46" t="n">
        <v>54</v>
      </c>
      <c r="M695" s="50" t="n">
        <f aca="false">INDEX(Productos!$F$2:$F$13,MATCH($H695,Productos!$A$2:$A$13,0))</f>
        <v>112</v>
      </c>
      <c r="N695" s="51" t="n">
        <v>0.132</v>
      </c>
      <c r="O695" s="52" t="n">
        <f aca="false">M695*(1-N695)</f>
        <v>97.216</v>
      </c>
      <c r="P695" s="21" t="n">
        <f aca="false">L695*O695</f>
        <v>5249.664</v>
      </c>
      <c r="Q695" s="50" t="n">
        <f aca="false">INDEX(Productos!$E$2:$E$13,MATCH($H695,Productos!$A$2:$A$13,0))*INDEX(Parametros!$B$26:$B$43,MATCH($C695,Parametros!$A$26:$A$43,0))</f>
        <v>61.14</v>
      </c>
      <c r="R695" s="21" t="n">
        <f aca="false">L695*Q695</f>
        <v>3301.56</v>
      </c>
      <c r="S695" s="18" t="n">
        <f aca="false">L695*INDEX(Parametros!$B$20:$B$22,MATCH($E695,Parametros!$A$20:$A$22,0))</f>
        <v>102.6</v>
      </c>
      <c r="T695" s="18" t="n">
        <f aca="false">P695*INDEX(Parametros!$B$13:$B$16,MATCH($F695,Parametros!$A$13:$A$16,0))</f>
        <v>157.48992</v>
      </c>
      <c r="U695" s="21" t="n">
        <f aca="false">P695-R695-S695-T695</f>
        <v>1688.01408</v>
      </c>
      <c r="V695" s="19" t="n">
        <f aca="false">IFERROR(U695/P695,0)</f>
        <v>0.32154707044108</v>
      </c>
      <c r="W695" s="48" t="n">
        <f aca="false">B695+INDEX(Parametros!$C$13:$C$16,MATCH($F695,Parametros!$A$13:$A$16,0))</f>
        <v>45947</v>
      </c>
      <c r="X695" s="31" t="s">
        <v>67</v>
      </c>
      <c r="Y695" s="53" t="n">
        <f aca="false">IF(COUNTIF($A$2:$A695,A695)=1,1,0)</f>
        <v>1</v>
      </c>
    </row>
    <row r="696" customFormat="false" ht="15" hidden="false" customHeight="false" outlineLevel="0" collapsed="false">
      <c r="A696" s="31" t="s">
        <v>609</v>
      </c>
      <c r="B696" s="36" t="n">
        <v>45887</v>
      </c>
      <c r="C696" s="49" t="n">
        <f aca="false">DATE(YEAR(B696),MONTH(B696),1)</f>
        <v>45870</v>
      </c>
      <c r="D696" s="31" t="s">
        <v>221</v>
      </c>
      <c r="E696" s="31" t="s">
        <v>43</v>
      </c>
      <c r="F696" s="31" t="s">
        <v>45</v>
      </c>
      <c r="G696" s="31" t="s">
        <v>59</v>
      </c>
      <c r="H696" s="31" t="s">
        <v>163</v>
      </c>
      <c r="I696" s="32" t="str">
        <f aca="false">INDEX(Productos!$B$2:$B$13,MATCH($H696,Productos!$A$2:$A$13,0))</f>
        <v>Tornillo DIN 933 M6x30 rosca completa zincado</v>
      </c>
      <c r="J696" s="32" t="str">
        <f aca="false">INDEX(Productos!$C$2:$C$13,MATCH($H696,Productos!$A$2:$A$13,0))</f>
        <v>Métrica</v>
      </c>
      <c r="K696" s="31" t="s">
        <v>246</v>
      </c>
      <c r="L696" s="46" t="n">
        <v>36</v>
      </c>
      <c r="M696" s="50" t="n">
        <f aca="false">INDEX(Productos!$F$2:$F$13,MATCH($H696,Productos!$A$2:$A$13,0))</f>
        <v>32</v>
      </c>
      <c r="N696" s="51" t="n">
        <v>0.182</v>
      </c>
      <c r="O696" s="52" t="n">
        <f aca="false">M696*(1-N696)</f>
        <v>26.176</v>
      </c>
      <c r="P696" s="21" t="n">
        <f aca="false">L696*O696</f>
        <v>942.336</v>
      </c>
      <c r="Q696" s="50" t="n">
        <f aca="false">INDEX(Productos!$E$2:$E$13,MATCH($H696,Productos!$A$2:$A$13,0))*INDEX(Parametros!$B$26:$B$43,MATCH($C696,Parametros!$A$26:$A$43,0))</f>
        <v>16.9154</v>
      </c>
      <c r="R696" s="21" t="n">
        <f aca="false">L696*Q696</f>
        <v>608.9544</v>
      </c>
      <c r="S696" s="18" t="n">
        <f aca="false">L696*INDEX(Parametros!$B$20:$B$22,MATCH($E696,Parametros!$A$20:$A$22,0))</f>
        <v>68.4</v>
      </c>
      <c r="T696" s="18" t="n">
        <f aca="false">P696*INDEX(Parametros!$B$13:$B$16,MATCH($F696,Parametros!$A$13:$A$16,0))</f>
        <v>28.27008</v>
      </c>
      <c r="U696" s="21" t="n">
        <f aca="false">P696-R696-S696-T696</f>
        <v>236.71152</v>
      </c>
      <c r="V696" s="19" t="n">
        <f aca="false">IFERROR(U696/P696,0)</f>
        <v>0.251196515892421</v>
      </c>
      <c r="W696" s="48" t="n">
        <f aca="false">B696+INDEX(Parametros!$C$13:$C$16,MATCH($F696,Parametros!$A$13:$A$16,0))</f>
        <v>45947</v>
      </c>
      <c r="X696" s="31" t="s">
        <v>67</v>
      </c>
      <c r="Y696" s="53" t="n">
        <f aca="false">IF(COUNTIF($A$2:$A696,A696)=1,1,0)</f>
        <v>0</v>
      </c>
    </row>
    <row r="697" customFormat="false" ht="15" hidden="false" customHeight="false" outlineLevel="0" collapsed="false">
      <c r="A697" s="31" t="s">
        <v>610</v>
      </c>
      <c r="B697" s="36" t="n">
        <v>45887</v>
      </c>
      <c r="C697" s="49" t="n">
        <f aca="false">DATE(YEAR(B697),MONTH(B697),1)</f>
        <v>45870</v>
      </c>
      <c r="D697" s="31" t="s">
        <v>200</v>
      </c>
      <c r="E697" s="31" t="s">
        <v>41</v>
      </c>
      <c r="F697" s="31" t="s">
        <v>45</v>
      </c>
      <c r="G697" s="31" t="s">
        <v>62</v>
      </c>
      <c r="H697" s="31" t="s">
        <v>165</v>
      </c>
      <c r="I697" s="32" t="str">
        <f aca="false">INDEX(Productos!$B$2:$B$13,MATCH($H697,Productos!$A$2:$A$13,0))</f>
        <v>Tornillo DIN 933 M8x40 rosca completa zincado</v>
      </c>
      <c r="J697" s="32" t="str">
        <f aca="false">INDEX(Productos!$C$2:$C$13,MATCH($H697,Productos!$A$2:$A$13,0))</f>
        <v>Métrica</v>
      </c>
      <c r="K697" s="31" t="s">
        <v>246</v>
      </c>
      <c r="L697" s="46" t="n">
        <v>32</v>
      </c>
      <c r="M697" s="50" t="n">
        <f aca="false">INDEX(Productos!$F$2:$F$13,MATCH($H697,Productos!$A$2:$A$13,0))</f>
        <v>37.5</v>
      </c>
      <c r="N697" s="51" t="n">
        <v>0.217</v>
      </c>
      <c r="O697" s="52" t="n">
        <f aca="false">M697*(1-N697)</f>
        <v>29.3625</v>
      </c>
      <c r="P697" s="21" t="n">
        <f aca="false">L697*O697</f>
        <v>939.6</v>
      </c>
      <c r="Q697" s="50" t="n">
        <f aca="false">INDEX(Productos!$E$2:$E$13,MATCH($H697,Productos!$A$2:$A$13,0))*INDEX(Parametros!$B$26:$B$43,MATCH($C697,Parametros!$A$26:$A$43,0))</f>
        <v>19.7686</v>
      </c>
      <c r="R697" s="21" t="n">
        <f aca="false">L697*Q697</f>
        <v>632.5952</v>
      </c>
      <c r="S697" s="18" t="n">
        <f aca="false">L697*INDEX(Parametros!$B$20:$B$22,MATCH($E697,Parametros!$A$20:$A$22,0))</f>
        <v>27.2</v>
      </c>
      <c r="T697" s="18" t="n">
        <f aca="false">P697*INDEX(Parametros!$B$13:$B$16,MATCH($F697,Parametros!$A$13:$A$16,0))</f>
        <v>28.188</v>
      </c>
      <c r="U697" s="21" t="n">
        <f aca="false">P697-R697-S697-T697</f>
        <v>251.6168</v>
      </c>
      <c r="V697" s="19" t="n">
        <f aca="false">IFERROR(U697/P697,0)</f>
        <v>0.267791400595999</v>
      </c>
      <c r="W697" s="48" t="n">
        <f aca="false">B697+INDEX(Parametros!$C$13:$C$16,MATCH($F697,Parametros!$A$13:$A$16,0))</f>
        <v>45947</v>
      </c>
      <c r="X697" s="31" t="s">
        <v>67</v>
      </c>
      <c r="Y697" s="53" t="n">
        <f aca="false">IF(COUNTIF($A$2:$A697,A697)=1,1,0)</f>
        <v>1</v>
      </c>
    </row>
    <row r="698" customFormat="false" ht="15" hidden="false" customHeight="false" outlineLevel="0" collapsed="false">
      <c r="A698" s="31" t="s">
        <v>610</v>
      </c>
      <c r="B698" s="36" t="n">
        <v>45887</v>
      </c>
      <c r="C698" s="49" t="n">
        <f aca="false">DATE(YEAR(B698),MONTH(B698),1)</f>
        <v>45870</v>
      </c>
      <c r="D698" s="31" t="s">
        <v>200</v>
      </c>
      <c r="E698" s="31" t="s">
        <v>41</v>
      </c>
      <c r="F698" s="31" t="s">
        <v>45</v>
      </c>
      <c r="G698" s="31" t="s">
        <v>62</v>
      </c>
      <c r="H698" s="31" t="s">
        <v>173</v>
      </c>
      <c r="I698" s="32" t="str">
        <f aca="false">INDEX(Productos!$B$2:$B$13,MATCH($H698,Productos!$A$2:$A$13,0))</f>
        <v>Tornillo DIN 933 M12x70 clase 8.8</v>
      </c>
      <c r="J698" s="32" t="str">
        <f aca="false">INDEX(Productos!$C$2:$C$13,MATCH($H698,Productos!$A$2:$A$13,0))</f>
        <v>Métrica</v>
      </c>
      <c r="K698" s="31" t="s">
        <v>246</v>
      </c>
      <c r="L698" s="46" t="n">
        <v>100</v>
      </c>
      <c r="M698" s="50" t="n">
        <f aca="false">INDEX(Productos!$F$2:$F$13,MATCH($H698,Productos!$A$2:$A$13,0))</f>
        <v>64</v>
      </c>
      <c r="N698" s="51" t="n">
        <v>0.158</v>
      </c>
      <c r="O698" s="52" t="n">
        <f aca="false">M698*(1-N698)</f>
        <v>53.888</v>
      </c>
      <c r="P698" s="21" t="n">
        <f aca="false">L698*O698</f>
        <v>5388.8</v>
      </c>
      <c r="Q698" s="50" t="n">
        <f aca="false">INDEX(Productos!$E$2:$E$13,MATCH($H698,Productos!$A$2:$A$13,0))*INDEX(Parametros!$B$26:$B$43,MATCH($C698,Parametros!$A$26:$A$43,0))</f>
        <v>34.1365</v>
      </c>
      <c r="R698" s="21" t="n">
        <f aca="false">L698*Q698</f>
        <v>3413.65</v>
      </c>
      <c r="S698" s="18" t="n">
        <f aca="false">L698*INDEX(Parametros!$B$20:$B$22,MATCH($E698,Parametros!$A$20:$A$22,0))</f>
        <v>85</v>
      </c>
      <c r="T698" s="18" t="n">
        <f aca="false">P698*INDEX(Parametros!$B$13:$B$16,MATCH($F698,Parametros!$A$13:$A$16,0))</f>
        <v>161.664</v>
      </c>
      <c r="U698" s="21" t="n">
        <f aca="false">P698-R698-S698-T698</f>
        <v>1728.486</v>
      </c>
      <c r="V698" s="19" t="n">
        <f aca="false">IFERROR(U698/P698,0)</f>
        <v>0.320755270190024</v>
      </c>
      <c r="W698" s="48" t="n">
        <f aca="false">B698+INDEX(Parametros!$C$13:$C$16,MATCH($F698,Parametros!$A$13:$A$16,0))</f>
        <v>45947</v>
      </c>
      <c r="X698" s="31" t="s">
        <v>67</v>
      </c>
      <c r="Y698" s="53" t="n">
        <f aca="false">IF(COUNTIF($A$2:$A698,A698)=1,1,0)</f>
        <v>0</v>
      </c>
    </row>
    <row r="699" customFormat="false" ht="15" hidden="false" customHeight="false" outlineLevel="0" collapsed="false">
      <c r="A699" s="31" t="s">
        <v>611</v>
      </c>
      <c r="B699" s="36" t="n">
        <v>45887</v>
      </c>
      <c r="C699" s="49" t="n">
        <f aca="false">DATE(YEAR(B699),MONTH(B699),1)</f>
        <v>45870</v>
      </c>
      <c r="D699" s="31" t="s">
        <v>192</v>
      </c>
      <c r="E699" s="31" t="s">
        <v>41</v>
      </c>
      <c r="F699" s="31" t="s">
        <v>45</v>
      </c>
      <c r="G699" s="31" t="s">
        <v>58</v>
      </c>
      <c r="H699" s="31" t="s">
        <v>175</v>
      </c>
      <c r="I699" s="32" t="str">
        <f aca="false">INDEX(Productos!$B$2:$B$13,MATCH($H699,Productos!$A$2:$A$13,0))</f>
        <v>Tirafondo madera 5x60 cabeza plana Torx</v>
      </c>
      <c r="J699" s="32" t="str">
        <f aca="false">INDEX(Productos!$C$2:$C$13,MATCH($H699,Productos!$A$2:$A$13,0))</f>
        <v>Madera</v>
      </c>
      <c r="K699" s="31" t="s">
        <v>246</v>
      </c>
      <c r="L699" s="46" t="n">
        <v>79</v>
      </c>
      <c r="M699" s="50" t="n">
        <f aca="false">INDEX(Productos!$F$2:$F$13,MATCH($H699,Productos!$A$2:$A$13,0))</f>
        <v>26</v>
      </c>
      <c r="N699" s="51" t="n">
        <v>0.138</v>
      </c>
      <c r="O699" s="52" t="n">
        <f aca="false">M699*(1-N699)</f>
        <v>22.412</v>
      </c>
      <c r="P699" s="21" t="n">
        <f aca="false">L699*O699</f>
        <v>1770.548</v>
      </c>
      <c r="Q699" s="50" t="n">
        <f aca="false">INDEX(Productos!$E$2:$E$13,MATCH($H699,Productos!$A$2:$A$13,0))*INDEX(Parametros!$B$26:$B$43,MATCH($C699,Parametros!$A$26:$A$43,0))</f>
        <v>13.6546</v>
      </c>
      <c r="R699" s="21" t="n">
        <f aca="false">L699*Q699</f>
        <v>1078.7134</v>
      </c>
      <c r="S699" s="18" t="n">
        <f aca="false">L699*INDEX(Parametros!$B$20:$B$22,MATCH($E699,Parametros!$A$20:$A$22,0))</f>
        <v>67.15</v>
      </c>
      <c r="T699" s="18" t="n">
        <f aca="false">P699*INDEX(Parametros!$B$13:$B$16,MATCH($F699,Parametros!$A$13:$A$16,0))</f>
        <v>53.11644</v>
      </c>
      <c r="U699" s="21" t="n">
        <f aca="false">P699-R699-S699-T699</f>
        <v>571.56816</v>
      </c>
      <c r="V699" s="19" t="n">
        <f aca="false">IFERROR(U699/P699,0)</f>
        <v>0.322819917901124</v>
      </c>
      <c r="W699" s="48" t="n">
        <f aca="false">B699+INDEX(Parametros!$C$13:$C$16,MATCH($F699,Parametros!$A$13:$A$16,0))</f>
        <v>45947</v>
      </c>
      <c r="X699" s="31" t="s">
        <v>67</v>
      </c>
      <c r="Y699" s="53" t="n">
        <f aca="false">IF(COUNTIF($A$2:$A699,A699)=1,1,0)</f>
        <v>1</v>
      </c>
    </row>
    <row r="700" customFormat="false" ht="15" hidden="false" customHeight="false" outlineLevel="0" collapsed="false">
      <c r="A700" s="31" t="s">
        <v>611</v>
      </c>
      <c r="B700" s="36" t="n">
        <v>45887</v>
      </c>
      <c r="C700" s="49" t="n">
        <f aca="false">DATE(YEAR(B700),MONTH(B700),1)</f>
        <v>45870</v>
      </c>
      <c r="D700" s="31" t="s">
        <v>192</v>
      </c>
      <c r="E700" s="31" t="s">
        <v>41</v>
      </c>
      <c r="F700" s="31" t="s">
        <v>45</v>
      </c>
      <c r="G700" s="31" t="s">
        <v>58</v>
      </c>
      <c r="H700" s="31" t="s">
        <v>169</v>
      </c>
      <c r="I700" s="32" t="str">
        <f aca="false">INDEX(Productos!$B$2:$B$13,MATCH($H700,Productos!$A$2:$A$13,0))</f>
        <v>Tornillo DIN 912 M10x60 Allen inox A2</v>
      </c>
      <c r="J700" s="32" t="str">
        <f aca="false">INDEX(Productos!$C$2:$C$13,MATCH($H700,Productos!$A$2:$A$13,0))</f>
        <v>Inoxidable</v>
      </c>
      <c r="K700" s="31" t="s">
        <v>246</v>
      </c>
      <c r="L700" s="46" t="n">
        <v>129</v>
      </c>
      <c r="M700" s="50" t="n">
        <f aca="false">INDEX(Productos!$F$2:$F$13,MATCH($H700,Productos!$A$2:$A$13,0))</f>
        <v>79</v>
      </c>
      <c r="N700" s="51" t="n">
        <v>0.21</v>
      </c>
      <c r="O700" s="52" t="n">
        <f aca="false">M700*(1-N700)</f>
        <v>62.41</v>
      </c>
      <c r="P700" s="21" t="n">
        <f aca="false">L700*O700</f>
        <v>8050.89</v>
      </c>
      <c r="Q700" s="50" t="n">
        <f aca="false">INDEX(Productos!$E$2:$E$13,MATCH($H700,Productos!$A$2:$A$13,0))*INDEX(Parametros!$B$26:$B$43,MATCH($C700,Parametros!$A$26:$A$43,0))</f>
        <v>42.798</v>
      </c>
      <c r="R700" s="21" t="n">
        <f aca="false">L700*Q700</f>
        <v>5520.942</v>
      </c>
      <c r="S700" s="18" t="n">
        <f aca="false">L700*INDEX(Parametros!$B$20:$B$22,MATCH($E700,Parametros!$A$20:$A$22,0))</f>
        <v>109.65</v>
      </c>
      <c r="T700" s="18" t="n">
        <f aca="false">P700*INDEX(Parametros!$B$13:$B$16,MATCH($F700,Parametros!$A$13:$A$16,0))</f>
        <v>241.5267</v>
      </c>
      <c r="U700" s="21" t="n">
        <f aca="false">P700-R700-S700-T700</f>
        <v>2178.7713</v>
      </c>
      <c r="V700" s="19" t="n">
        <f aca="false">IFERROR(U700/P700,0)</f>
        <v>0.270624899855792</v>
      </c>
      <c r="W700" s="48" t="n">
        <f aca="false">B700+INDEX(Parametros!$C$13:$C$16,MATCH($F700,Parametros!$A$13:$A$16,0))</f>
        <v>45947</v>
      </c>
      <c r="X700" s="31" t="s">
        <v>67</v>
      </c>
      <c r="Y700" s="53" t="n">
        <f aca="false">IF(COUNTIF($A$2:$A700,A700)=1,1,0)</f>
        <v>0</v>
      </c>
    </row>
    <row r="701" customFormat="false" ht="15" hidden="false" customHeight="false" outlineLevel="0" collapsed="false">
      <c r="A701" s="31" t="s">
        <v>611</v>
      </c>
      <c r="B701" s="36" t="n">
        <v>45887</v>
      </c>
      <c r="C701" s="49" t="n">
        <f aca="false">DATE(YEAR(B701),MONTH(B701),1)</f>
        <v>45870</v>
      </c>
      <c r="D701" s="31" t="s">
        <v>192</v>
      </c>
      <c r="E701" s="31" t="s">
        <v>41</v>
      </c>
      <c r="F701" s="31" t="s">
        <v>45</v>
      </c>
      <c r="G701" s="31" t="s">
        <v>58</v>
      </c>
      <c r="H701" s="31" t="s">
        <v>173</v>
      </c>
      <c r="I701" s="32" t="str">
        <f aca="false">INDEX(Productos!$B$2:$B$13,MATCH($H701,Productos!$A$2:$A$13,0))</f>
        <v>Tornillo DIN 933 M12x70 clase 8.8</v>
      </c>
      <c r="J701" s="32" t="str">
        <f aca="false">INDEX(Productos!$C$2:$C$13,MATCH($H701,Productos!$A$2:$A$13,0))</f>
        <v>Métrica</v>
      </c>
      <c r="K701" s="31" t="s">
        <v>246</v>
      </c>
      <c r="L701" s="46" t="n">
        <v>51</v>
      </c>
      <c r="M701" s="50" t="n">
        <f aca="false">INDEX(Productos!$F$2:$F$13,MATCH($H701,Productos!$A$2:$A$13,0))</f>
        <v>64</v>
      </c>
      <c r="N701" s="51" t="n">
        <v>0.145</v>
      </c>
      <c r="O701" s="52" t="n">
        <f aca="false">M701*(1-N701)</f>
        <v>54.72</v>
      </c>
      <c r="P701" s="21" t="n">
        <f aca="false">L701*O701</f>
        <v>2790.72</v>
      </c>
      <c r="Q701" s="50" t="n">
        <f aca="false">INDEX(Productos!$E$2:$E$13,MATCH($H701,Productos!$A$2:$A$13,0))*INDEX(Parametros!$B$26:$B$43,MATCH($C701,Parametros!$A$26:$A$43,0))</f>
        <v>34.1365</v>
      </c>
      <c r="R701" s="21" t="n">
        <f aca="false">L701*Q701</f>
        <v>1740.9615</v>
      </c>
      <c r="S701" s="18" t="n">
        <f aca="false">L701*INDEX(Parametros!$B$20:$B$22,MATCH($E701,Parametros!$A$20:$A$22,0))</f>
        <v>43.35</v>
      </c>
      <c r="T701" s="18" t="n">
        <f aca="false">P701*INDEX(Parametros!$B$13:$B$16,MATCH($F701,Parametros!$A$13:$A$16,0))</f>
        <v>83.7216</v>
      </c>
      <c r="U701" s="21" t="n">
        <f aca="false">P701-R701-S701-T701</f>
        <v>922.6869</v>
      </c>
      <c r="V701" s="19" t="n">
        <f aca="false">IFERROR(U701/P701,0)</f>
        <v>0.33062682748538</v>
      </c>
      <c r="W701" s="48" t="n">
        <f aca="false">B701+INDEX(Parametros!$C$13:$C$16,MATCH($F701,Parametros!$A$13:$A$16,0))</f>
        <v>45947</v>
      </c>
      <c r="X701" s="31" t="s">
        <v>67</v>
      </c>
      <c r="Y701" s="53" t="n">
        <f aca="false">IF(COUNTIF($A$2:$A701,A701)=1,1,0)</f>
        <v>0</v>
      </c>
    </row>
    <row r="702" customFormat="false" ht="15" hidden="false" customHeight="false" outlineLevel="0" collapsed="false">
      <c r="A702" s="31" t="s">
        <v>612</v>
      </c>
      <c r="B702" s="36" t="n">
        <v>45889</v>
      </c>
      <c r="C702" s="49" t="n">
        <f aca="false">DATE(YEAR(B702),MONTH(B702),1)</f>
        <v>45870</v>
      </c>
      <c r="D702" s="31" t="s">
        <v>199</v>
      </c>
      <c r="E702" s="31" t="s">
        <v>41</v>
      </c>
      <c r="F702" s="31" t="s">
        <v>45</v>
      </c>
      <c r="G702" s="31" t="s">
        <v>58</v>
      </c>
      <c r="H702" s="31" t="s">
        <v>169</v>
      </c>
      <c r="I702" s="32" t="str">
        <f aca="false">INDEX(Productos!$B$2:$B$13,MATCH($H702,Productos!$A$2:$A$13,0))</f>
        <v>Tornillo DIN 912 M10x60 Allen inox A2</v>
      </c>
      <c r="J702" s="32" t="str">
        <f aca="false">INDEX(Productos!$C$2:$C$13,MATCH($H702,Productos!$A$2:$A$13,0))</f>
        <v>Inoxidable</v>
      </c>
      <c r="K702" s="31" t="s">
        <v>246</v>
      </c>
      <c r="L702" s="46" t="n">
        <v>43</v>
      </c>
      <c r="M702" s="50" t="n">
        <f aca="false">INDEX(Productos!$F$2:$F$13,MATCH($H702,Productos!$A$2:$A$13,0))</f>
        <v>79</v>
      </c>
      <c r="N702" s="51" t="n">
        <v>0.138</v>
      </c>
      <c r="O702" s="52" t="n">
        <f aca="false">M702*(1-N702)</f>
        <v>68.098</v>
      </c>
      <c r="P702" s="21" t="n">
        <f aca="false">L702*O702</f>
        <v>2928.214</v>
      </c>
      <c r="Q702" s="50" t="n">
        <f aca="false">INDEX(Productos!$E$2:$E$13,MATCH($H702,Productos!$A$2:$A$13,0))*INDEX(Parametros!$B$26:$B$43,MATCH($C702,Parametros!$A$26:$A$43,0))</f>
        <v>42.798</v>
      </c>
      <c r="R702" s="21" t="n">
        <f aca="false">L702*Q702</f>
        <v>1840.314</v>
      </c>
      <c r="S702" s="18" t="n">
        <f aca="false">L702*INDEX(Parametros!$B$20:$B$22,MATCH($E702,Parametros!$A$20:$A$22,0))</f>
        <v>36.55</v>
      </c>
      <c r="T702" s="18" t="n">
        <f aca="false">P702*INDEX(Parametros!$B$13:$B$16,MATCH($F702,Parametros!$A$13:$A$16,0))</f>
        <v>87.84642</v>
      </c>
      <c r="U702" s="21" t="n">
        <f aca="false">P702-R702-S702-T702</f>
        <v>963.50358</v>
      </c>
      <c r="V702" s="19" t="n">
        <f aca="false">IFERROR(U702/P702,0)</f>
        <v>0.329041381538371</v>
      </c>
      <c r="W702" s="48" t="n">
        <f aca="false">B702+INDEX(Parametros!$C$13:$C$16,MATCH($F702,Parametros!$A$13:$A$16,0))</f>
        <v>45949</v>
      </c>
      <c r="X702" s="31" t="s">
        <v>67</v>
      </c>
      <c r="Y702" s="53" t="n">
        <f aca="false">IF(COUNTIF($A$2:$A702,A702)=1,1,0)</f>
        <v>1</v>
      </c>
    </row>
    <row r="703" customFormat="false" ht="15" hidden="false" customHeight="false" outlineLevel="0" collapsed="false">
      <c r="A703" s="31" t="s">
        <v>613</v>
      </c>
      <c r="B703" s="36" t="n">
        <v>45889</v>
      </c>
      <c r="C703" s="49" t="n">
        <f aca="false">DATE(YEAR(B703),MONTH(B703),1)</f>
        <v>45870</v>
      </c>
      <c r="D703" s="31" t="s">
        <v>199</v>
      </c>
      <c r="E703" s="31" t="s">
        <v>41</v>
      </c>
      <c r="F703" s="31" t="s">
        <v>45</v>
      </c>
      <c r="G703" s="31" t="s">
        <v>58</v>
      </c>
      <c r="H703" s="31" t="s">
        <v>169</v>
      </c>
      <c r="I703" s="32" t="str">
        <f aca="false">INDEX(Productos!$B$2:$B$13,MATCH($H703,Productos!$A$2:$A$13,0))</f>
        <v>Tornillo DIN 912 M10x60 Allen inox A2</v>
      </c>
      <c r="J703" s="32" t="str">
        <f aca="false">INDEX(Productos!$C$2:$C$13,MATCH($H703,Productos!$A$2:$A$13,0))</f>
        <v>Inoxidable</v>
      </c>
      <c r="K703" s="31" t="s">
        <v>246</v>
      </c>
      <c r="L703" s="46" t="n">
        <v>76</v>
      </c>
      <c r="M703" s="50" t="n">
        <f aca="false">INDEX(Productos!$F$2:$F$13,MATCH($H703,Productos!$A$2:$A$13,0))</f>
        <v>79</v>
      </c>
      <c r="N703" s="51" t="n">
        <v>0.182</v>
      </c>
      <c r="O703" s="52" t="n">
        <f aca="false">M703*(1-N703)</f>
        <v>64.622</v>
      </c>
      <c r="P703" s="21" t="n">
        <f aca="false">L703*O703</f>
        <v>4911.272</v>
      </c>
      <c r="Q703" s="50" t="n">
        <f aca="false">INDEX(Productos!$E$2:$E$13,MATCH($H703,Productos!$A$2:$A$13,0))*INDEX(Parametros!$B$26:$B$43,MATCH($C703,Parametros!$A$26:$A$43,0))</f>
        <v>42.798</v>
      </c>
      <c r="R703" s="21" t="n">
        <f aca="false">L703*Q703</f>
        <v>3252.648</v>
      </c>
      <c r="S703" s="18" t="n">
        <f aca="false">L703*INDEX(Parametros!$B$20:$B$22,MATCH($E703,Parametros!$A$20:$A$22,0))</f>
        <v>64.6</v>
      </c>
      <c r="T703" s="18" t="n">
        <f aca="false">P703*INDEX(Parametros!$B$13:$B$16,MATCH($F703,Parametros!$A$13:$A$16,0))</f>
        <v>147.33816</v>
      </c>
      <c r="U703" s="21" t="n">
        <f aca="false">P703-R703-S703-T703</f>
        <v>1446.68584</v>
      </c>
      <c r="V703" s="19" t="n">
        <f aca="false">IFERROR(U703/P703,0)</f>
        <v>0.294564389836279</v>
      </c>
      <c r="W703" s="48" t="n">
        <f aca="false">B703+INDEX(Parametros!$C$13:$C$16,MATCH($F703,Parametros!$A$13:$A$16,0))</f>
        <v>45949</v>
      </c>
      <c r="X703" s="31" t="s">
        <v>69</v>
      </c>
      <c r="Y703" s="53" t="n">
        <f aca="false">IF(COUNTIF($A$2:$A703,A703)=1,1,0)</f>
        <v>1</v>
      </c>
    </row>
    <row r="704" customFormat="false" ht="15" hidden="false" customHeight="false" outlineLevel="0" collapsed="false">
      <c r="A704" s="31" t="s">
        <v>613</v>
      </c>
      <c r="B704" s="36" t="n">
        <v>45889</v>
      </c>
      <c r="C704" s="49" t="n">
        <f aca="false">DATE(YEAR(B704),MONTH(B704),1)</f>
        <v>45870</v>
      </c>
      <c r="D704" s="31" t="s">
        <v>199</v>
      </c>
      <c r="E704" s="31" t="s">
        <v>41</v>
      </c>
      <c r="F704" s="31" t="s">
        <v>45</v>
      </c>
      <c r="G704" s="31" t="s">
        <v>58</v>
      </c>
      <c r="H704" s="31" t="s">
        <v>175</v>
      </c>
      <c r="I704" s="32" t="str">
        <f aca="false">INDEX(Productos!$B$2:$B$13,MATCH($H704,Productos!$A$2:$A$13,0))</f>
        <v>Tirafondo madera 5x60 cabeza plana Torx</v>
      </c>
      <c r="J704" s="32" t="str">
        <f aca="false">INDEX(Productos!$C$2:$C$13,MATCH($H704,Productos!$A$2:$A$13,0))</f>
        <v>Madera</v>
      </c>
      <c r="K704" s="31" t="s">
        <v>246</v>
      </c>
      <c r="L704" s="46" t="n">
        <v>96</v>
      </c>
      <c r="M704" s="50" t="n">
        <f aca="false">INDEX(Productos!$F$2:$F$13,MATCH($H704,Productos!$A$2:$A$13,0))</f>
        <v>26</v>
      </c>
      <c r="N704" s="51" t="n">
        <v>0.183</v>
      </c>
      <c r="O704" s="52" t="n">
        <f aca="false">M704*(1-N704)</f>
        <v>21.242</v>
      </c>
      <c r="P704" s="21" t="n">
        <f aca="false">L704*O704</f>
        <v>2039.232</v>
      </c>
      <c r="Q704" s="50" t="n">
        <f aca="false">INDEX(Productos!$E$2:$E$13,MATCH($H704,Productos!$A$2:$A$13,0))*INDEX(Parametros!$B$26:$B$43,MATCH($C704,Parametros!$A$26:$A$43,0))</f>
        <v>13.6546</v>
      </c>
      <c r="R704" s="21" t="n">
        <f aca="false">L704*Q704</f>
        <v>1310.8416</v>
      </c>
      <c r="S704" s="18" t="n">
        <f aca="false">L704*INDEX(Parametros!$B$20:$B$22,MATCH($E704,Parametros!$A$20:$A$22,0))</f>
        <v>81.6</v>
      </c>
      <c r="T704" s="18" t="n">
        <f aca="false">P704*INDEX(Parametros!$B$13:$B$16,MATCH($F704,Parametros!$A$13:$A$16,0))</f>
        <v>61.17696</v>
      </c>
      <c r="U704" s="21" t="n">
        <f aca="false">P704-R704-S704-T704</f>
        <v>585.61344</v>
      </c>
      <c r="V704" s="19" t="n">
        <f aca="false">IFERROR(U704/P704,0)</f>
        <v>0.287173524150268</v>
      </c>
      <c r="W704" s="48" t="n">
        <f aca="false">B704+INDEX(Parametros!$C$13:$C$16,MATCH($F704,Parametros!$A$13:$A$16,0))</f>
        <v>45949</v>
      </c>
      <c r="X704" s="31" t="s">
        <v>67</v>
      </c>
      <c r="Y704" s="53" t="n">
        <f aca="false">IF(COUNTIF($A$2:$A704,A704)=1,1,0)</f>
        <v>0</v>
      </c>
    </row>
    <row r="705" customFormat="false" ht="15" hidden="false" customHeight="false" outlineLevel="0" collapsed="false">
      <c r="A705" s="31" t="s">
        <v>613</v>
      </c>
      <c r="B705" s="36" t="n">
        <v>45889</v>
      </c>
      <c r="C705" s="49" t="n">
        <f aca="false">DATE(YEAR(B705),MONTH(B705),1)</f>
        <v>45870</v>
      </c>
      <c r="D705" s="31" t="s">
        <v>199</v>
      </c>
      <c r="E705" s="31" t="s">
        <v>41</v>
      </c>
      <c r="F705" s="31" t="s">
        <v>45</v>
      </c>
      <c r="G705" s="31" t="s">
        <v>58</v>
      </c>
      <c r="H705" s="31" t="s">
        <v>185</v>
      </c>
      <c r="I705" s="32" t="str">
        <f aca="false">INDEX(Productos!$B$2:$B$13,MATCH($H705,Productos!$A$2:$A$13,0))</f>
        <v>Varilla roscada M10 x 1 m zincada</v>
      </c>
      <c r="J705" s="32" t="str">
        <f aca="false">INDEX(Productos!$C$2:$C$13,MATCH($H705,Productos!$A$2:$A$13,0))</f>
        <v>Especial</v>
      </c>
      <c r="K705" s="31" t="s">
        <v>246</v>
      </c>
      <c r="L705" s="46" t="n">
        <v>22</v>
      </c>
      <c r="M705" s="50" t="n">
        <f aca="false">INDEX(Productos!$F$2:$F$13,MATCH($H705,Productos!$A$2:$A$13,0))</f>
        <v>54</v>
      </c>
      <c r="N705" s="51" t="n">
        <v>0.14</v>
      </c>
      <c r="O705" s="52" t="n">
        <f aca="false">M705*(1-N705)</f>
        <v>46.44</v>
      </c>
      <c r="P705" s="21" t="n">
        <f aca="false">L705*O705</f>
        <v>1021.68</v>
      </c>
      <c r="Q705" s="50" t="n">
        <f aca="false">INDEX(Productos!$E$2:$E$13,MATCH($H705,Productos!$A$2:$A$13,0))*INDEX(Parametros!$B$26:$B$43,MATCH($C705,Parametros!$A$26:$A$43,0))</f>
        <v>29.0415</v>
      </c>
      <c r="R705" s="21" t="n">
        <f aca="false">L705*Q705</f>
        <v>638.913</v>
      </c>
      <c r="S705" s="18" t="n">
        <f aca="false">L705*INDEX(Parametros!$B$20:$B$22,MATCH($E705,Parametros!$A$20:$A$22,0))</f>
        <v>18.7</v>
      </c>
      <c r="T705" s="18" t="n">
        <f aca="false">P705*INDEX(Parametros!$B$13:$B$16,MATCH($F705,Parametros!$A$13:$A$16,0))</f>
        <v>30.6504</v>
      </c>
      <c r="U705" s="21" t="n">
        <f aca="false">P705-R705-S705-T705</f>
        <v>333.4166</v>
      </c>
      <c r="V705" s="19" t="n">
        <f aca="false">IFERROR(U705/P705,0)</f>
        <v>0.326341515934539</v>
      </c>
      <c r="W705" s="48" t="n">
        <f aca="false">B705+INDEX(Parametros!$C$13:$C$16,MATCH($F705,Parametros!$A$13:$A$16,0))</f>
        <v>45949</v>
      </c>
      <c r="X705" s="31" t="s">
        <v>67</v>
      </c>
      <c r="Y705" s="53" t="n">
        <f aca="false">IF(COUNTIF($A$2:$A705,A705)=1,1,0)</f>
        <v>0</v>
      </c>
    </row>
    <row r="706" customFormat="false" ht="15" hidden="false" customHeight="false" outlineLevel="0" collapsed="false">
      <c r="A706" s="31" t="s">
        <v>614</v>
      </c>
      <c r="B706" s="36" t="n">
        <v>45889</v>
      </c>
      <c r="C706" s="49" t="n">
        <f aca="false">DATE(YEAR(B706),MONTH(B706),1)</f>
        <v>45870</v>
      </c>
      <c r="D706" s="31" t="s">
        <v>205</v>
      </c>
      <c r="E706" s="31" t="s">
        <v>41</v>
      </c>
      <c r="F706" s="31" t="s">
        <v>45</v>
      </c>
      <c r="G706" s="31" t="s">
        <v>62</v>
      </c>
      <c r="H706" s="31" t="s">
        <v>177</v>
      </c>
      <c r="I706" s="32" t="str">
        <f aca="false">INDEX(Productos!$B$2:$B$13,MATCH($H706,Productos!$A$2:$A$13,0))</f>
        <v>Tirafondo madera 6x100 cabeza plana Torx</v>
      </c>
      <c r="J706" s="32" t="str">
        <f aca="false">INDEX(Productos!$C$2:$C$13,MATCH($H706,Productos!$A$2:$A$13,0))</f>
        <v>Madera</v>
      </c>
      <c r="K706" s="31" t="s">
        <v>246</v>
      </c>
      <c r="L706" s="46" t="n">
        <v>84</v>
      </c>
      <c r="M706" s="50" t="n">
        <f aca="false">INDEX(Productos!$F$2:$F$13,MATCH($H706,Productos!$A$2:$A$13,0))</f>
        <v>34</v>
      </c>
      <c r="N706" s="51" t="n">
        <v>0.154</v>
      </c>
      <c r="O706" s="52" t="n">
        <f aca="false">M706*(1-N706)</f>
        <v>28.764</v>
      </c>
      <c r="P706" s="21" t="n">
        <f aca="false">L706*O706</f>
        <v>2416.176</v>
      </c>
      <c r="Q706" s="50" t="n">
        <f aca="false">INDEX(Productos!$E$2:$E$13,MATCH($H706,Productos!$A$2:$A$13,0))*INDEX(Parametros!$B$26:$B$43,MATCH($C706,Parametros!$A$26:$A$43,0))</f>
        <v>18.1382</v>
      </c>
      <c r="R706" s="21" t="n">
        <f aca="false">L706*Q706</f>
        <v>1523.6088</v>
      </c>
      <c r="S706" s="18" t="n">
        <f aca="false">L706*INDEX(Parametros!$B$20:$B$22,MATCH($E706,Parametros!$A$20:$A$22,0))</f>
        <v>71.4</v>
      </c>
      <c r="T706" s="18" t="n">
        <f aca="false">P706*INDEX(Parametros!$B$13:$B$16,MATCH($F706,Parametros!$A$13:$A$16,0))</f>
        <v>72.48528</v>
      </c>
      <c r="U706" s="21" t="n">
        <f aca="false">P706-R706-S706-T706</f>
        <v>748.68192</v>
      </c>
      <c r="V706" s="19" t="n">
        <f aca="false">IFERROR(U706/P706,0)</f>
        <v>0.309862327909887</v>
      </c>
      <c r="W706" s="48" t="n">
        <f aca="false">B706+INDEX(Parametros!$C$13:$C$16,MATCH($F706,Parametros!$A$13:$A$16,0))</f>
        <v>45949</v>
      </c>
      <c r="X706" s="31" t="s">
        <v>67</v>
      </c>
      <c r="Y706" s="53" t="n">
        <f aca="false">IF(COUNTIF($A$2:$A706,A706)=1,1,0)</f>
        <v>1</v>
      </c>
    </row>
    <row r="707" customFormat="false" ht="15" hidden="false" customHeight="false" outlineLevel="0" collapsed="false">
      <c r="A707" s="31" t="s">
        <v>614</v>
      </c>
      <c r="B707" s="36" t="n">
        <v>45889</v>
      </c>
      <c r="C707" s="49" t="n">
        <f aca="false">DATE(YEAR(B707),MONTH(B707),1)</f>
        <v>45870</v>
      </c>
      <c r="D707" s="31" t="s">
        <v>205</v>
      </c>
      <c r="E707" s="31" t="s">
        <v>41</v>
      </c>
      <c r="F707" s="31" t="s">
        <v>45</v>
      </c>
      <c r="G707" s="31" t="s">
        <v>62</v>
      </c>
      <c r="H707" s="31" t="s">
        <v>181</v>
      </c>
      <c r="I707" s="32" t="str">
        <f aca="false">INDEX(Productos!$B$2:$B$13,MATCH($H707,Productos!$A$2:$A$13,0))</f>
        <v>Autotaladrante 5,5x55 punta broca</v>
      </c>
      <c r="J707" s="32" t="str">
        <f aca="false">INDEX(Productos!$C$2:$C$13,MATCH($H707,Productos!$A$2:$A$13,0))</f>
        <v>Autotaladrante</v>
      </c>
      <c r="K707" s="31" t="s">
        <v>246</v>
      </c>
      <c r="L707" s="46" t="n">
        <v>108</v>
      </c>
      <c r="M707" s="50" t="n">
        <f aca="false">INDEX(Productos!$F$2:$F$13,MATCH($H707,Productos!$A$2:$A$13,0))</f>
        <v>39</v>
      </c>
      <c r="N707" s="51" t="n">
        <v>0.186</v>
      </c>
      <c r="O707" s="52" t="n">
        <f aca="false">M707*(1-N707)</f>
        <v>31.746</v>
      </c>
      <c r="P707" s="21" t="n">
        <f aca="false">L707*O707</f>
        <v>3428.568</v>
      </c>
      <c r="Q707" s="50" t="n">
        <f aca="false">INDEX(Productos!$E$2:$E$13,MATCH($H707,Productos!$A$2:$A$13,0))*INDEX(Parametros!$B$26:$B$43,MATCH($C707,Parametros!$A$26:$A$43,0))</f>
        <v>20.6857</v>
      </c>
      <c r="R707" s="21" t="n">
        <f aca="false">L707*Q707</f>
        <v>2234.0556</v>
      </c>
      <c r="S707" s="18" t="n">
        <f aca="false">L707*INDEX(Parametros!$B$20:$B$22,MATCH($E707,Parametros!$A$20:$A$22,0))</f>
        <v>91.8</v>
      </c>
      <c r="T707" s="18" t="n">
        <f aca="false">P707*INDEX(Parametros!$B$13:$B$16,MATCH($F707,Parametros!$A$13:$A$16,0))</f>
        <v>102.85704</v>
      </c>
      <c r="U707" s="21" t="n">
        <f aca="false">P707-R707-S707-T707</f>
        <v>999.855360000001</v>
      </c>
      <c r="V707" s="19" t="n">
        <f aca="false">IFERROR(U707/P707,0)</f>
        <v>0.291624771624772</v>
      </c>
      <c r="W707" s="48" t="n">
        <f aca="false">B707+INDEX(Parametros!$C$13:$C$16,MATCH($F707,Parametros!$A$13:$A$16,0))</f>
        <v>45949</v>
      </c>
      <c r="X707" s="31" t="s">
        <v>67</v>
      </c>
      <c r="Y707" s="53" t="n">
        <f aca="false">IF(COUNTIF($A$2:$A707,A707)=1,1,0)</f>
        <v>0</v>
      </c>
    </row>
    <row r="708" customFormat="false" ht="15" hidden="false" customHeight="false" outlineLevel="0" collapsed="false">
      <c r="A708" s="31" t="s">
        <v>615</v>
      </c>
      <c r="B708" s="36" t="n">
        <v>45895</v>
      </c>
      <c r="C708" s="49" t="n">
        <f aca="false">DATE(YEAR(B708),MONTH(B708),1)</f>
        <v>45870</v>
      </c>
      <c r="D708" s="31" t="s">
        <v>209</v>
      </c>
      <c r="E708" s="31" t="s">
        <v>41</v>
      </c>
      <c r="F708" s="31" t="s">
        <v>45</v>
      </c>
      <c r="G708" s="31" t="s">
        <v>62</v>
      </c>
      <c r="H708" s="31" t="s">
        <v>165</v>
      </c>
      <c r="I708" s="32" t="str">
        <f aca="false">INDEX(Productos!$B$2:$B$13,MATCH($H708,Productos!$A$2:$A$13,0))</f>
        <v>Tornillo DIN 933 M8x40 rosca completa zincado</v>
      </c>
      <c r="J708" s="32" t="str">
        <f aca="false">INDEX(Productos!$C$2:$C$13,MATCH($H708,Productos!$A$2:$A$13,0))</f>
        <v>Métrica</v>
      </c>
      <c r="K708" s="31" t="s">
        <v>275</v>
      </c>
      <c r="L708" s="46" t="n">
        <v>-24</v>
      </c>
      <c r="M708" s="50" t="n">
        <f aca="false">INDEX(Productos!$F$2:$F$13,MATCH($H708,Productos!$A$2:$A$13,0))</f>
        <v>37.5</v>
      </c>
      <c r="N708" s="51" t="n">
        <v>0.206</v>
      </c>
      <c r="O708" s="52" t="n">
        <f aca="false">M708*(1-N708)</f>
        <v>29.775</v>
      </c>
      <c r="P708" s="21" t="n">
        <f aca="false">L708*O708</f>
        <v>-714.6</v>
      </c>
      <c r="Q708" s="50" t="n">
        <f aca="false">INDEX(Productos!$E$2:$E$13,MATCH($H708,Productos!$A$2:$A$13,0))*INDEX(Parametros!$B$26:$B$43,MATCH($C708,Parametros!$A$26:$A$43,0))</f>
        <v>19.7686</v>
      </c>
      <c r="R708" s="21" t="n">
        <f aca="false">L708*Q708</f>
        <v>-474.4464</v>
      </c>
      <c r="S708" s="18" t="n">
        <f aca="false">L708*INDEX(Parametros!$B$20:$B$22,MATCH($E708,Parametros!$A$20:$A$22,0))</f>
        <v>-20.4</v>
      </c>
      <c r="T708" s="18" t="n">
        <f aca="false">P708*INDEX(Parametros!$B$13:$B$16,MATCH($F708,Parametros!$A$13:$A$16,0))</f>
        <v>-21.438</v>
      </c>
      <c r="U708" s="21" t="n">
        <f aca="false">P708-R708-S708-T708</f>
        <v>-198.3156</v>
      </c>
      <c r="V708" s="19" t="n">
        <f aca="false">IFERROR(U708/P708,0)</f>
        <v>0.27751973131822</v>
      </c>
      <c r="W708" s="48" t="n">
        <f aca="false">B708+INDEX(Parametros!$C$13:$C$16,MATCH($F708,Parametros!$A$13:$A$16,0))</f>
        <v>45955</v>
      </c>
      <c r="X708" s="31" t="s">
        <v>67</v>
      </c>
      <c r="Y708" s="53" t="n">
        <f aca="false">IF(COUNTIF($A$2:$A708,A708)=1,1,0)</f>
        <v>1</v>
      </c>
    </row>
    <row r="709" customFormat="false" ht="15" hidden="false" customHeight="false" outlineLevel="0" collapsed="false">
      <c r="A709" s="31" t="s">
        <v>615</v>
      </c>
      <c r="B709" s="36" t="n">
        <v>45895</v>
      </c>
      <c r="C709" s="49" t="n">
        <f aca="false">DATE(YEAR(B709),MONTH(B709),1)</f>
        <v>45870</v>
      </c>
      <c r="D709" s="31" t="s">
        <v>209</v>
      </c>
      <c r="E709" s="31" t="s">
        <v>41</v>
      </c>
      <c r="F709" s="31" t="s">
        <v>45</v>
      </c>
      <c r="G709" s="31" t="s">
        <v>62</v>
      </c>
      <c r="H709" s="31" t="s">
        <v>173</v>
      </c>
      <c r="I709" s="32" t="str">
        <f aca="false">INDEX(Productos!$B$2:$B$13,MATCH($H709,Productos!$A$2:$A$13,0))</f>
        <v>Tornillo DIN 933 M12x70 clase 8.8</v>
      </c>
      <c r="J709" s="32" t="str">
        <f aca="false">INDEX(Productos!$C$2:$C$13,MATCH($H709,Productos!$A$2:$A$13,0))</f>
        <v>Métrica</v>
      </c>
      <c r="K709" s="31" t="s">
        <v>275</v>
      </c>
      <c r="L709" s="46" t="n">
        <v>-24</v>
      </c>
      <c r="M709" s="50" t="n">
        <f aca="false">INDEX(Productos!$F$2:$F$13,MATCH($H709,Productos!$A$2:$A$13,0))</f>
        <v>64</v>
      </c>
      <c r="N709" s="51" t="n">
        <v>0.18</v>
      </c>
      <c r="O709" s="52" t="n">
        <f aca="false">M709*(1-N709)</f>
        <v>52.48</v>
      </c>
      <c r="P709" s="21" t="n">
        <f aca="false">L709*O709</f>
        <v>-1259.52</v>
      </c>
      <c r="Q709" s="50" t="n">
        <f aca="false">INDEX(Productos!$E$2:$E$13,MATCH($H709,Productos!$A$2:$A$13,0))*INDEX(Parametros!$B$26:$B$43,MATCH($C709,Parametros!$A$26:$A$43,0))</f>
        <v>34.1365</v>
      </c>
      <c r="R709" s="21" t="n">
        <f aca="false">L709*Q709</f>
        <v>-819.276</v>
      </c>
      <c r="S709" s="18" t="n">
        <f aca="false">L709*INDEX(Parametros!$B$20:$B$22,MATCH($E709,Parametros!$A$20:$A$22,0))</f>
        <v>-20.4</v>
      </c>
      <c r="T709" s="18" t="n">
        <f aca="false">P709*INDEX(Parametros!$B$13:$B$16,MATCH($F709,Parametros!$A$13:$A$16,0))</f>
        <v>-37.7856</v>
      </c>
      <c r="U709" s="21" t="n">
        <f aca="false">P709-R709-S709-T709</f>
        <v>-382.0584</v>
      </c>
      <c r="V709" s="19" t="n">
        <f aca="false">IFERROR(U709/P709,0)</f>
        <v>0.303336509146342</v>
      </c>
      <c r="W709" s="48" t="n">
        <f aca="false">B709+INDEX(Parametros!$C$13:$C$16,MATCH($F709,Parametros!$A$13:$A$16,0))</f>
        <v>45955</v>
      </c>
      <c r="X709" s="31" t="s">
        <v>67</v>
      </c>
      <c r="Y709" s="53" t="n">
        <f aca="false">IF(COUNTIF($A$2:$A709,A709)=1,1,0)</f>
        <v>0</v>
      </c>
    </row>
    <row r="710" customFormat="false" ht="15" hidden="false" customHeight="false" outlineLevel="0" collapsed="false">
      <c r="A710" s="31" t="s">
        <v>615</v>
      </c>
      <c r="B710" s="36" t="n">
        <v>45895</v>
      </c>
      <c r="C710" s="49" t="n">
        <f aca="false">DATE(YEAR(B710),MONTH(B710),1)</f>
        <v>45870</v>
      </c>
      <c r="D710" s="31" t="s">
        <v>209</v>
      </c>
      <c r="E710" s="31" t="s">
        <v>41</v>
      </c>
      <c r="F710" s="31" t="s">
        <v>45</v>
      </c>
      <c r="G710" s="31" t="s">
        <v>62</v>
      </c>
      <c r="H710" s="31" t="s">
        <v>185</v>
      </c>
      <c r="I710" s="32" t="str">
        <f aca="false">INDEX(Productos!$B$2:$B$13,MATCH($H710,Productos!$A$2:$A$13,0))</f>
        <v>Varilla roscada M10 x 1 m zincada</v>
      </c>
      <c r="J710" s="32" t="str">
        <f aca="false">INDEX(Productos!$C$2:$C$13,MATCH($H710,Productos!$A$2:$A$13,0))</f>
        <v>Especial</v>
      </c>
      <c r="K710" s="31" t="s">
        <v>275</v>
      </c>
      <c r="L710" s="46" t="n">
        <v>-20</v>
      </c>
      <c r="M710" s="50" t="n">
        <f aca="false">INDEX(Productos!$F$2:$F$13,MATCH($H710,Productos!$A$2:$A$13,0))</f>
        <v>54</v>
      </c>
      <c r="N710" s="51" t="n">
        <v>0.205</v>
      </c>
      <c r="O710" s="52" t="n">
        <f aca="false">M710*(1-N710)</f>
        <v>42.93</v>
      </c>
      <c r="P710" s="21" t="n">
        <f aca="false">L710*O710</f>
        <v>-858.6</v>
      </c>
      <c r="Q710" s="50" t="n">
        <f aca="false">INDEX(Productos!$E$2:$E$13,MATCH($H710,Productos!$A$2:$A$13,0))*INDEX(Parametros!$B$26:$B$43,MATCH($C710,Parametros!$A$26:$A$43,0))</f>
        <v>29.0415</v>
      </c>
      <c r="R710" s="21" t="n">
        <f aca="false">L710*Q710</f>
        <v>-580.83</v>
      </c>
      <c r="S710" s="18" t="n">
        <f aca="false">L710*INDEX(Parametros!$B$20:$B$22,MATCH($E710,Parametros!$A$20:$A$22,0))</f>
        <v>-17</v>
      </c>
      <c r="T710" s="18" t="n">
        <f aca="false">P710*INDEX(Parametros!$B$13:$B$16,MATCH($F710,Parametros!$A$13:$A$16,0))</f>
        <v>-25.758</v>
      </c>
      <c r="U710" s="21" t="n">
        <f aca="false">P710-R710-S710-T710</f>
        <v>-235.012</v>
      </c>
      <c r="V710" s="19" t="n">
        <f aca="false">IFERROR(U710/P710,0)</f>
        <v>0.273715350570697</v>
      </c>
      <c r="W710" s="48" t="n">
        <f aca="false">B710+INDEX(Parametros!$C$13:$C$16,MATCH($F710,Parametros!$A$13:$A$16,0))</f>
        <v>45955</v>
      </c>
      <c r="X710" s="31" t="s">
        <v>67</v>
      </c>
      <c r="Y710" s="53" t="n">
        <f aca="false">IF(COUNTIF($A$2:$A710,A710)=1,1,0)</f>
        <v>0</v>
      </c>
    </row>
    <row r="711" customFormat="false" ht="15" hidden="false" customHeight="false" outlineLevel="0" collapsed="false">
      <c r="A711" s="31" t="s">
        <v>616</v>
      </c>
      <c r="B711" s="36" t="n">
        <v>45895</v>
      </c>
      <c r="C711" s="49" t="n">
        <f aca="false">DATE(YEAR(B711),MONTH(B711),1)</f>
        <v>45870</v>
      </c>
      <c r="D711" s="31" t="s">
        <v>208</v>
      </c>
      <c r="E711" s="31" t="s">
        <v>41</v>
      </c>
      <c r="F711" s="31" t="s">
        <v>46</v>
      </c>
      <c r="G711" s="31" t="s">
        <v>58</v>
      </c>
      <c r="H711" s="31" t="s">
        <v>163</v>
      </c>
      <c r="I711" s="32" t="str">
        <f aca="false">INDEX(Productos!$B$2:$B$13,MATCH($H711,Productos!$A$2:$A$13,0))</f>
        <v>Tornillo DIN 933 M6x30 rosca completa zincado</v>
      </c>
      <c r="J711" s="32" t="str">
        <f aca="false">INDEX(Productos!$C$2:$C$13,MATCH($H711,Productos!$A$2:$A$13,0))</f>
        <v>Métrica</v>
      </c>
      <c r="K711" s="31" t="s">
        <v>246</v>
      </c>
      <c r="L711" s="46" t="n">
        <v>233</v>
      </c>
      <c r="M711" s="50" t="n">
        <f aca="false">INDEX(Productos!$F$2:$F$13,MATCH($H711,Productos!$A$2:$A$13,0))</f>
        <v>32</v>
      </c>
      <c r="N711" s="51" t="n">
        <v>0.138</v>
      </c>
      <c r="O711" s="52" t="n">
        <f aca="false">M711*(1-N711)</f>
        <v>27.584</v>
      </c>
      <c r="P711" s="21" t="n">
        <f aca="false">L711*O711</f>
        <v>6427.072</v>
      </c>
      <c r="Q711" s="50" t="n">
        <f aca="false">INDEX(Productos!$E$2:$E$13,MATCH($H711,Productos!$A$2:$A$13,0))*INDEX(Parametros!$B$26:$B$43,MATCH($C711,Parametros!$A$26:$A$43,0))</f>
        <v>16.9154</v>
      </c>
      <c r="R711" s="21" t="n">
        <f aca="false">L711*Q711</f>
        <v>3941.2882</v>
      </c>
      <c r="S711" s="18" t="n">
        <f aca="false">L711*INDEX(Parametros!$B$20:$B$22,MATCH($E711,Parametros!$A$20:$A$22,0))</f>
        <v>198.05</v>
      </c>
      <c r="T711" s="18" t="n">
        <f aca="false">P711*INDEX(Parametros!$B$13:$B$16,MATCH($F711,Parametros!$A$13:$A$16,0))</f>
        <v>257.08288</v>
      </c>
      <c r="U711" s="21" t="n">
        <f aca="false">P711-R711-S711-T711</f>
        <v>2030.65092</v>
      </c>
      <c r="V711" s="19" t="n">
        <f aca="false">IFERROR(U711/P711,0)</f>
        <v>0.315952726218098</v>
      </c>
      <c r="W711" s="48" t="n">
        <f aca="false">B711+INDEX(Parametros!$C$13:$C$16,MATCH($F711,Parametros!$A$13:$A$16,0))</f>
        <v>45970</v>
      </c>
      <c r="X711" s="31" t="s">
        <v>67</v>
      </c>
      <c r="Y711" s="53" t="n">
        <f aca="false">IF(COUNTIF($A$2:$A711,A711)=1,1,0)</f>
        <v>1</v>
      </c>
    </row>
    <row r="712" customFormat="false" ht="15" hidden="false" customHeight="false" outlineLevel="0" collapsed="false">
      <c r="A712" s="31" t="s">
        <v>616</v>
      </c>
      <c r="B712" s="36" t="n">
        <v>45895</v>
      </c>
      <c r="C712" s="49" t="n">
        <f aca="false">DATE(YEAR(B712),MONTH(B712),1)</f>
        <v>45870</v>
      </c>
      <c r="D712" s="31" t="s">
        <v>208</v>
      </c>
      <c r="E712" s="31" t="s">
        <v>41</v>
      </c>
      <c r="F712" s="31" t="s">
        <v>46</v>
      </c>
      <c r="G712" s="31" t="s">
        <v>58</v>
      </c>
      <c r="H712" s="31" t="s">
        <v>181</v>
      </c>
      <c r="I712" s="32" t="str">
        <f aca="false">INDEX(Productos!$B$2:$B$13,MATCH($H712,Productos!$A$2:$A$13,0))</f>
        <v>Autotaladrante 5,5x55 punta broca</v>
      </c>
      <c r="J712" s="32" t="str">
        <f aca="false">INDEX(Productos!$C$2:$C$13,MATCH($H712,Productos!$A$2:$A$13,0))</f>
        <v>Autotaladrante</v>
      </c>
      <c r="K712" s="31" t="s">
        <v>246</v>
      </c>
      <c r="L712" s="46" t="n">
        <v>144</v>
      </c>
      <c r="M712" s="50" t="n">
        <f aca="false">INDEX(Productos!$F$2:$F$13,MATCH($H712,Productos!$A$2:$A$13,0))</f>
        <v>39</v>
      </c>
      <c r="N712" s="51" t="n">
        <v>0.174</v>
      </c>
      <c r="O712" s="52" t="n">
        <f aca="false">M712*(1-N712)</f>
        <v>32.214</v>
      </c>
      <c r="P712" s="21" t="n">
        <f aca="false">L712*O712</f>
        <v>4638.816</v>
      </c>
      <c r="Q712" s="50" t="n">
        <f aca="false">INDEX(Productos!$E$2:$E$13,MATCH($H712,Productos!$A$2:$A$13,0))*INDEX(Parametros!$B$26:$B$43,MATCH($C712,Parametros!$A$26:$A$43,0))</f>
        <v>20.6857</v>
      </c>
      <c r="R712" s="21" t="n">
        <f aca="false">L712*Q712</f>
        <v>2978.7408</v>
      </c>
      <c r="S712" s="18" t="n">
        <f aca="false">L712*INDEX(Parametros!$B$20:$B$22,MATCH($E712,Parametros!$A$20:$A$22,0))</f>
        <v>122.4</v>
      </c>
      <c r="T712" s="18" t="n">
        <f aca="false">P712*INDEX(Parametros!$B$13:$B$16,MATCH($F712,Parametros!$A$13:$A$16,0))</f>
        <v>185.55264</v>
      </c>
      <c r="U712" s="21" t="n">
        <f aca="false">P712-R712-S712-T712</f>
        <v>1352.12256</v>
      </c>
      <c r="V712" s="19" t="n">
        <f aca="false">IFERROR(U712/P712,0)</f>
        <v>0.291480101819085</v>
      </c>
      <c r="W712" s="48" t="n">
        <f aca="false">B712+INDEX(Parametros!$C$13:$C$16,MATCH($F712,Parametros!$A$13:$A$16,0))</f>
        <v>45970</v>
      </c>
      <c r="X712" s="31" t="s">
        <v>67</v>
      </c>
      <c r="Y712" s="53" t="n">
        <f aca="false">IF(COUNTIF($A$2:$A712,A712)=1,1,0)</f>
        <v>0</v>
      </c>
    </row>
    <row r="713" customFormat="false" ht="15" hidden="false" customHeight="false" outlineLevel="0" collapsed="false">
      <c r="A713" s="31" t="s">
        <v>616</v>
      </c>
      <c r="B713" s="36" t="n">
        <v>45895</v>
      </c>
      <c r="C713" s="49" t="n">
        <f aca="false">DATE(YEAR(B713),MONTH(B713),1)</f>
        <v>45870</v>
      </c>
      <c r="D713" s="31" t="s">
        <v>208</v>
      </c>
      <c r="E713" s="31" t="s">
        <v>41</v>
      </c>
      <c r="F713" s="31" t="s">
        <v>46</v>
      </c>
      <c r="G713" s="31" t="s">
        <v>58</v>
      </c>
      <c r="H713" s="31" t="s">
        <v>177</v>
      </c>
      <c r="I713" s="32" t="str">
        <f aca="false">INDEX(Productos!$B$2:$B$13,MATCH($H713,Productos!$A$2:$A$13,0))</f>
        <v>Tirafondo madera 6x100 cabeza plana Torx</v>
      </c>
      <c r="J713" s="32" t="str">
        <f aca="false">INDEX(Productos!$C$2:$C$13,MATCH($H713,Productos!$A$2:$A$13,0))</f>
        <v>Madera</v>
      </c>
      <c r="K713" s="31" t="s">
        <v>246</v>
      </c>
      <c r="L713" s="46" t="n">
        <v>228</v>
      </c>
      <c r="M713" s="50" t="n">
        <f aca="false">INDEX(Productos!$F$2:$F$13,MATCH($H713,Productos!$A$2:$A$13,0))</f>
        <v>34</v>
      </c>
      <c r="N713" s="51" t="n">
        <v>0.091</v>
      </c>
      <c r="O713" s="52" t="n">
        <f aca="false">M713*(1-N713)</f>
        <v>30.906</v>
      </c>
      <c r="P713" s="21" t="n">
        <f aca="false">L713*O713</f>
        <v>7046.568</v>
      </c>
      <c r="Q713" s="50" t="n">
        <f aca="false">INDEX(Productos!$E$2:$E$13,MATCH($H713,Productos!$A$2:$A$13,0))*INDEX(Parametros!$B$26:$B$43,MATCH($C713,Parametros!$A$26:$A$43,0))</f>
        <v>18.1382</v>
      </c>
      <c r="R713" s="21" t="n">
        <f aca="false">L713*Q713</f>
        <v>4135.5096</v>
      </c>
      <c r="S713" s="18" t="n">
        <f aca="false">L713*INDEX(Parametros!$B$20:$B$22,MATCH($E713,Parametros!$A$20:$A$22,0))</f>
        <v>193.8</v>
      </c>
      <c r="T713" s="18" t="n">
        <f aca="false">P713*INDEX(Parametros!$B$13:$B$16,MATCH($F713,Parametros!$A$13:$A$16,0))</f>
        <v>281.86272</v>
      </c>
      <c r="U713" s="21" t="n">
        <f aca="false">P713-R713-S713-T713</f>
        <v>2435.39568</v>
      </c>
      <c r="V713" s="19" t="n">
        <f aca="false">IFERROR(U713/P713,0)</f>
        <v>0.345614443797321</v>
      </c>
      <c r="W713" s="48" t="n">
        <f aca="false">B713+INDEX(Parametros!$C$13:$C$16,MATCH($F713,Parametros!$A$13:$A$16,0))</f>
        <v>45970</v>
      </c>
      <c r="X713" s="31" t="s">
        <v>67</v>
      </c>
      <c r="Y713" s="53" t="n">
        <f aca="false">IF(COUNTIF($A$2:$A713,A713)=1,1,0)</f>
        <v>0</v>
      </c>
    </row>
    <row r="714" customFormat="false" ht="15" hidden="false" customHeight="false" outlineLevel="0" collapsed="false">
      <c r="A714" s="31" t="s">
        <v>617</v>
      </c>
      <c r="B714" s="36" t="n">
        <v>45901</v>
      </c>
      <c r="C714" s="49" t="n">
        <f aca="false">DATE(YEAR(B714),MONTH(B714),1)</f>
        <v>45901</v>
      </c>
      <c r="D714" s="31" t="s">
        <v>219</v>
      </c>
      <c r="E714" s="31" t="s">
        <v>42</v>
      </c>
      <c r="F714" s="31" t="s">
        <v>45</v>
      </c>
      <c r="G714" s="31" t="s">
        <v>61</v>
      </c>
      <c r="H714" s="31" t="s">
        <v>185</v>
      </c>
      <c r="I714" s="32" t="str">
        <f aca="false">INDEX(Productos!$B$2:$B$13,MATCH($H714,Productos!$A$2:$A$13,0))</f>
        <v>Varilla roscada M10 x 1 m zincada</v>
      </c>
      <c r="J714" s="32" t="str">
        <f aca="false">INDEX(Productos!$C$2:$C$13,MATCH($H714,Productos!$A$2:$A$13,0))</f>
        <v>Especial</v>
      </c>
      <c r="K714" s="31" t="s">
        <v>246</v>
      </c>
      <c r="L714" s="46" t="n">
        <v>315</v>
      </c>
      <c r="M714" s="50" t="n">
        <f aca="false">INDEX(Productos!$F$2:$F$13,MATCH($H714,Productos!$A$2:$A$13,0))</f>
        <v>54</v>
      </c>
      <c r="N714" s="51" t="n">
        <v>0.188</v>
      </c>
      <c r="O714" s="52" t="n">
        <f aca="false">M714*(1-N714)</f>
        <v>43.848</v>
      </c>
      <c r="P714" s="21" t="n">
        <f aca="false">L714*O714</f>
        <v>13812.12</v>
      </c>
      <c r="Q714" s="50" t="n">
        <f aca="false">INDEX(Productos!$E$2:$E$13,MATCH($H714,Productos!$A$2:$A$13,0))*INDEX(Parametros!$B$26:$B$43,MATCH($C714,Parametros!$A$26:$A$43,0))</f>
        <v>28.842</v>
      </c>
      <c r="R714" s="21" t="n">
        <f aca="false">L714*Q714</f>
        <v>9085.23</v>
      </c>
      <c r="S714" s="18" t="n">
        <f aca="false">L714*INDEX(Parametros!$B$20:$B$22,MATCH($E714,Parametros!$A$20:$A$22,0))</f>
        <v>756</v>
      </c>
      <c r="T714" s="18" t="n">
        <f aca="false">P714*INDEX(Parametros!$B$13:$B$16,MATCH($F714,Parametros!$A$13:$A$16,0))</f>
        <v>414.3636</v>
      </c>
      <c r="U714" s="21" t="n">
        <f aca="false">P714-R714-S714-T714</f>
        <v>3556.5264</v>
      </c>
      <c r="V714" s="19" t="n">
        <f aca="false">IFERROR(U714/P714,0)</f>
        <v>0.257493158182814</v>
      </c>
      <c r="W714" s="48" t="n">
        <f aca="false">B714+INDEX(Parametros!$C$13:$C$16,MATCH($F714,Parametros!$A$13:$A$16,0))</f>
        <v>45961</v>
      </c>
      <c r="X714" s="31" t="s">
        <v>67</v>
      </c>
      <c r="Y714" s="53" t="n">
        <f aca="false">IF(COUNTIF($A$2:$A714,A714)=1,1,0)</f>
        <v>1</v>
      </c>
    </row>
    <row r="715" customFormat="false" ht="15" hidden="false" customHeight="false" outlineLevel="0" collapsed="false">
      <c r="A715" s="31" t="s">
        <v>618</v>
      </c>
      <c r="B715" s="36" t="n">
        <v>45901</v>
      </c>
      <c r="C715" s="49" t="n">
        <f aca="false">DATE(YEAR(B715),MONTH(B715),1)</f>
        <v>45901</v>
      </c>
      <c r="D715" s="31" t="s">
        <v>209</v>
      </c>
      <c r="E715" s="31" t="s">
        <v>41</v>
      </c>
      <c r="F715" s="31" t="s">
        <v>45</v>
      </c>
      <c r="G715" s="31" t="s">
        <v>62</v>
      </c>
      <c r="H715" s="31" t="s">
        <v>163</v>
      </c>
      <c r="I715" s="32" t="str">
        <f aca="false">INDEX(Productos!$B$2:$B$13,MATCH($H715,Productos!$A$2:$A$13,0))</f>
        <v>Tornillo DIN 933 M6x30 rosca completa zincado</v>
      </c>
      <c r="J715" s="32" t="str">
        <f aca="false">INDEX(Productos!$C$2:$C$13,MATCH($H715,Productos!$A$2:$A$13,0))</f>
        <v>Métrica</v>
      </c>
      <c r="K715" s="31" t="s">
        <v>246</v>
      </c>
      <c r="L715" s="46" t="n">
        <v>120</v>
      </c>
      <c r="M715" s="50" t="n">
        <f aca="false">INDEX(Productos!$F$2:$F$13,MATCH($H715,Productos!$A$2:$A$13,0))</f>
        <v>32</v>
      </c>
      <c r="N715" s="51" t="n">
        <v>0.212</v>
      </c>
      <c r="O715" s="52" t="n">
        <f aca="false">M715*(1-N715)</f>
        <v>25.216</v>
      </c>
      <c r="P715" s="21" t="n">
        <f aca="false">L715*O715</f>
        <v>3025.92</v>
      </c>
      <c r="Q715" s="50" t="n">
        <f aca="false">INDEX(Productos!$E$2:$E$13,MATCH($H715,Productos!$A$2:$A$13,0))*INDEX(Parametros!$B$26:$B$43,MATCH($C715,Parametros!$A$26:$A$43,0))</f>
        <v>16.7992</v>
      </c>
      <c r="R715" s="21" t="n">
        <f aca="false">L715*Q715</f>
        <v>2015.904</v>
      </c>
      <c r="S715" s="18" t="n">
        <f aca="false">L715*INDEX(Parametros!$B$20:$B$22,MATCH($E715,Parametros!$A$20:$A$22,0))</f>
        <v>102</v>
      </c>
      <c r="T715" s="18" t="n">
        <f aca="false">P715*INDEX(Parametros!$B$13:$B$16,MATCH($F715,Parametros!$A$13:$A$16,0))</f>
        <v>90.7776</v>
      </c>
      <c r="U715" s="21" t="n">
        <f aca="false">P715-R715-S715-T715</f>
        <v>817.2384</v>
      </c>
      <c r="V715" s="19" t="n">
        <f aca="false">IFERROR(U715/P715,0)</f>
        <v>0.270079314720812</v>
      </c>
      <c r="W715" s="48" t="n">
        <f aca="false">B715+INDEX(Parametros!$C$13:$C$16,MATCH($F715,Parametros!$A$13:$A$16,0))</f>
        <v>45961</v>
      </c>
      <c r="X715" s="31" t="s">
        <v>67</v>
      </c>
      <c r="Y715" s="53" t="n">
        <f aca="false">IF(COUNTIF($A$2:$A715,A715)=1,1,0)</f>
        <v>1</v>
      </c>
    </row>
    <row r="716" customFormat="false" ht="15" hidden="false" customHeight="false" outlineLevel="0" collapsed="false">
      <c r="A716" s="31" t="s">
        <v>619</v>
      </c>
      <c r="B716" s="36" t="n">
        <v>45901</v>
      </c>
      <c r="C716" s="49" t="n">
        <f aca="false">DATE(YEAR(B716),MONTH(B716),1)</f>
        <v>45901</v>
      </c>
      <c r="D716" s="31" t="s">
        <v>200</v>
      </c>
      <c r="E716" s="31" t="s">
        <v>41</v>
      </c>
      <c r="F716" s="31" t="s">
        <v>45</v>
      </c>
      <c r="G716" s="31" t="s">
        <v>62</v>
      </c>
      <c r="H716" s="31" t="s">
        <v>179</v>
      </c>
      <c r="I716" s="32" t="str">
        <f aca="false">INDEX(Productos!$B$2:$B$13,MATCH($H716,Productos!$A$2:$A$13,0))</f>
        <v>Autotaladrante DIN 7504 4,8x38 zincado</v>
      </c>
      <c r="J716" s="32" t="str">
        <f aca="false">INDEX(Productos!$C$2:$C$13,MATCH($H716,Productos!$A$2:$A$13,0))</f>
        <v>Autotaladrante</v>
      </c>
      <c r="K716" s="31" t="s">
        <v>246</v>
      </c>
      <c r="L716" s="46" t="n">
        <v>63</v>
      </c>
      <c r="M716" s="50" t="n">
        <f aca="false">INDEX(Productos!$F$2:$F$13,MATCH($H716,Productos!$A$2:$A$13,0))</f>
        <v>29.5</v>
      </c>
      <c r="N716" s="51" t="n">
        <v>0.189</v>
      </c>
      <c r="O716" s="52" t="n">
        <f aca="false">M716*(1-N716)</f>
        <v>23.9245</v>
      </c>
      <c r="P716" s="21" t="n">
        <f aca="false">L716*O716</f>
        <v>1507.2435</v>
      </c>
      <c r="Q716" s="50" t="n">
        <f aca="false">INDEX(Productos!$E$2:$E$13,MATCH($H716,Productos!$A$2:$A$13,0))*INDEX(Parametros!$B$26:$B$43,MATCH($C716,Parametros!$A$26:$A$43,0))</f>
        <v>15.3824</v>
      </c>
      <c r="R716" s="21" t="n">
        <f aca="false">L716*Q716</f>
        <v>969.0912</v>
      </c>
      <c r="S716" s="18" t="n">
        <f aca="false">L716*INDEX(Parametros!$B$20:$B$22,MATCH($E716,Parametros!$A$20:$A$22,0))</f>
        <v>53.55</v>
      </c>
      <c r="T716" s="18" t="n">
        <f aca="false">P716*INDEX(Parametros!$B$13:$B$16,MATCH($F716,Parametros!$A$13:$A$16,0))</f>
        <v>45.217305</v>
      </c>
      <c r="U716" s="21" t="n">
        <f aca="false">P716-R716-S716-T716</f>
        <v>439.384995</v>
      </c>
      <c r="V716" s="19" t="n">
        <f aca="false">IFERROR(U716/P716,0)</f>
        <v>0.291515601161989</v>
      </c>
      <c r="W716" s="48" t="n">
        <f aca="false">B716+INDEX(Parametros!$C$13:$C$16,MATCH($F716,Parametros!$A$13:$A$16,0))</f>
        <v>45961</v>
      </c>
      <c r="X716" s="31" t="s">
        <v>67</v>
      </c>
      <c r="Y716" s="53" t="n">
        <f aca="false">IF(COUNTIF($A$2:$A716,A716)=1,1,0)</f>
        <v>1</v>
      </c>
    </row>
    <row r="717" customFormat="false" ht="15" hidden="false" customHeight="false" outlineLevel="0" collapsed="false">
      <c r="A717" s="31" t="s">
        <v>619</v>
      </c>
      <c r="B717" s="36" t="n">
        <v>45901</v>
      </c>
      <c r="C717" s="49" t="n">
        <f aca="false">DATE(YEAR(B717),MONTH(B717),1)</f>
        <v>45901</v>
      </c>
      <c r="D717" s="31" t="s">
        <v>200</v>
      </c>
      <c r="E717" s="31" t="s">
        <v>41</v>
      </c>
      <c r="F717" s="31" t="s">
        <v>45</v>
      </c>
      <c r="G717" s="31" t="s">
        <v>62</v>
      </c>
      <c r="H717" s="31" t="s">
        <v>165</v>
      </c>
      <c r="I717" s="32" t="str">
        <f aca="false">INDEX(Productos!$B$2:$B$13,MATCH($H717,Productos!$A$2:$A$13,0))</f>
        <v>Tornillo DIN 933 M8x40 rosca completa zincado</v>
      </c>
      <c r="J717" s="32" t="str">
        <f aca="false">INDEX(Productos!$C$2:$C$13,MATCH($H717,Productos!$A$2:$A$13,0))</f>
        <v>Métrica</v>
      </c>
      <c r="K717" s="31" t="s">
        <v>246</v>
      </c>
      <c r="L717" s="46" t="n">
        <v>283</v>
      </c>
      <c r="M717" s="50" t="n">
        <f aca="false">INDEX(Productos!$F$2:$F$13,MATCH($H717,Productos!$A$2:$A$13,0))</f>
        <v>37.5</v>
      </c>
      <c r="N717" s="51" t="n">
        <v>0.218</v>
      </c>
      <c r="O717" s="52" t="n">
        <f aca="false">M717*(1-N717)</f>
        <v>29.325</v>
      </c>
      <c r="P717" s="21" t="n">
        <f aca="false">L717*O717</f>
        <v>8298.975</v>
      </c>
      <c r="Q717" s="50" t="n">
        <f aca="false">INDEX(Productos!$E$2:$E$13,MATCH($H717,Productos!$A$2:$A$13,0))*INDEX(Parametros!$B$26:$B$43,MATCH($C717,Parametros!$A$26:$A$43,0))</f>
        <v>19.6328</v>
      </c>
      <c r="R717" s="21" t="n">
        <f aca="false">L717*Q717</f>
        <v>5556.0824</v>
      </c>
      <c r="S717" s="18" t="n">
        <f aca="false">L717*INDEX(Parametros!$B$20:$B$22,MATCH($E717,Parametros!$A$20:$A$22,0))</f>
        <v>240.55</v>
      </c>
      <c r="T717" s="18" t="n">
        <f aca="false">P717*INDEX(Parametros!$B$13:$B$16,MATCH($F717,Parametros!$A$13:$A$16,0))</f>
        <v>248.96925</v>
      </c>
      <c r="U717" s="21" t="n">
        <f aca="false">P717-R717-S717-T717</f>
        <v>2253.37335</v>
      </c>
      <c r="V717" s="19" t="n">
        <f aca="false">IFERROR(U717/P717,0)</f>
        <v>0.271524296675192</v>
      </c>
      <c r="W717" s="48" t="n">
        <f aca="false">B717+INDEX(Parametros!$C$13:$C$16,MATCH($F717,Parametros!$A$13:$A$16,0))</f>
        <v>45961</v>
      </c>
      <c r="X717" s="31" t="s">
        <v>67</v>
      </c>
      <c r="Y717" s="53" t="n">
        <f aca="false">IF(COUNTIF($A$2:$A717,A717)=1,1,0)</f>
        <v>0</v>
      </c>
    </row>
    <row r="718" customFormat="false" ht="15" hidden="false" customHeight="false" outlineLevel="0" collapsed="false">
      <c r="A718" s="31" t="s">
        <v>620</v>
      </c>
      <c r="B718" s="36" t="n">
        <v>45902</v>
      </c>
      <c r="C718" s="49" t="n">
        <f aca="false">DATE(YEAR(B718),MONTH(B718),1)</f>
        <v>45901</v>
      </c>
      <c r="D718" s="31" t="s">
        <v>207</v>
      </c>
      <c r="E718" s="31" t="s">
        <v>41</v>
      </c>
      <c r="F718" s="31" t="s">
        <v>47</v>
      </c>
      <c r="G718" s="31" t="s">
        <v>62</v>
      </c>
      <c r="H718" s="31" t="s">
        <v>179</v>
      </c>
      <c r="I718" s="32" t="str">
        <f aca="false">INDEX(Productos!$B$2:$B$13,MATCH($H718,Productos!$A$2:$A$13,0))</f>
        <v>Autotaladrante DIN 7504 4,8x38 zincado</v>
      </c>
      <c r="J718" s="32" t="str">
        <f aca="false">INDEX(Productos!$C$2:$C$13,MATCH($H718,Productos!$A$2:$A$13,0))</f>
        <v>Autotaladrante</v>
      </c>
      <c r="K718" s="31" t="s">
        <v>246</v>
      </c>
      <c r="L718" s="46" t="n">
        <v>28</v>
      </c>
      <c r="M718" s="50" t="n">
        <f aca="false">INDEX(Productos!$F$2:$F$13,MATCH($H718,Productos!$A$2:$A$13,0))</f>
        <v>29.5</v>
      </c>
      <c r="N718" s="51" t="n">
        <v>0.097</v>
      </c>
      <c r="O718" s="52" t="n">
        <f aca="false">M718*(1-N718)</f>
        <v>26.6385</v>
      </c>
      <c r="P718" s="21" t="n">
        <f aca="false">L718*O718</f>
        <v>745.878</v>
      </c>
      <c r="Q718" s="50" t="n">
        <f aca="false">INDEX(Productos!$E$2:$E$13,MATCH($H718,Productos!$A$2:$A$13,0))*INDEX(Parametros!$B$26:$B$43,MATCH($C718,Parametros!$A$26:$A$43,0))</f>
        <v>15.3824</v>
      </c>
      <c r="R718" s="21" t="n">
        <f aca="false">L718*Q718</f>
        <v>430.7072</v>
      </c>
      <c r="S718" s="18" t="n">
        <f aca="false">L718*INDEX(Parametros!$B$20:$B$22,MATCH($E718,Parametros!$A$20:$A$22,0))</f>
        <v>23.8</v>
      </c>
      <c r="T718" s="18" t="n">
        <f aca="false">P718*INDEX(Parametros!$B$13:$B$16,MATCH($F718,Parametros!$A$13:$A$16,0))</f>
        <v>26.10573</v>
      </c>
      <c r="U718" s="21" t="n">
        <f aca="false">P718-R718-S718-T718</f>
        <v>265.26507</v>
      </c>
      <c r="V718" s="19" t="n">
        <f aca="false">IFERROR(U718/P718,0)</f>
        <v>0.35564136494172</v>
      </c>
      <c r="W718" s="48" t="n">
        <f aca="false">B718+INDEX(Parametros!$C$13:$C$16,MATCH($F718,Parametros!$A$13:$A$16,0))</f>
        <v>45947</v>
      </c>
      <c r="X718" s="31" t="s">
        <v>67</v>
      </c>
      <c r="Y718" s="53" t="n">
        <f aca="false">IF(COUNTIF($A$2:$A718,A718)=1,1,0)</f>
        <v>1</v>
      </c>
    </row>
    <row r="719" customFormat="false" ht="15" hidden="false" customHeight="false" outlineLevel="0" collapsed="false">
      <c r="A719" s="31" t="s">
        <v>621</v>
      </c>
      <c r="B719" s="36" t="n">
        <v>45902</v>
      </c>
      <c r="C719" s="49" t="n">
        <f aca="false">DATE(YEAR(B719),MONTH(B719),1)</f>
        <v>45901</v>
      </c>
      <c r="D719" s="31" t="s">
        <v>215</v>
      </c>
      <c r="E719" s="31" t="s">
        <v>42</v>
      </c>
      <c r="F719" s="31" t="s">
        <v>46</v>
      </c>
      <c r="G719" s="31" t="s">
        <v>61</v>
      </c>
      <c r="H719" s="31" t="s">
        <v>175</v>
      </c>
      <c r="I719" s="32" t="str">
        <f aca="false">INDEX(Productos!$B$2:$B$13,MATCH($H719,Productos!$A$2:$A$13,0))</f>
        <v>Tirafondo madera 5x60 cabeza plana Torx</v>
      </c>
      <c r="J719" s="32" t="str">
        <f aca="false">INDEX(Productos!$C$2:$C$13,MATCH($H719,Productos!$A$2:$A$13,0))</f>
        <v>Madera</v>
      </c>
      <c r="K719" s="31" t="s">
        <v>246</v>
      </c>
      <c r="L719" s="46" t="n">
        <v>43</v>
      </c>
      <c r="M719" s="50" t="n">
        <f aca="false">INDEX(Productos!$F$2:$F$13,MATCH($H719,Productos!$A$2:$A$13,0))</f>
        <v>26</v>
      </c>
      <c r="N719" s="51" t="n">
        <v>0.117</v>
      </c>
      <c r="O719" s="52" t="n">
        <f aca="false">M719*(1-N719)</f>
        <v>22.958</v>
      </c>
      <c r="P719" s="21" t="n">
        <f aca="false">L719*O719</f>
        <v>987.194</v>
      </c>
      <c r="Q719" s="50" t="n">
        <f aca="false">INDEX(Productos!$E$2:$E$13,MATCH($H719,Productos!$A$2:$A$13,0))*INDEX(Parametros!$B$26:$B$43,MATCH($C719,Parametros!$A$26:$A$43,0))</f>
        <v>13.5608</v>
      </c>
      <c r="R719" s="21" t="n">
        <f aca="false">L719*Q719</f>
        <v>583.1144</v>
      </c>
      <c r="S719" s="18" t="n">
        <f aca="false">L719*INDEX(Parametros!$B$20:$B$22,MATCH($E719,Parametros!$A$20:$A$22,0))</f>
        <v>103.2</v>
      </c>
      <c r="T719" s="18" t="n">
        <f aca="false">P719*INDEX(Parametros!$B$13:$B$16,MATCH($F719,Parametros!$A$13:$A$16,0))</f>
        <v>39.48776</v>
      </c>
      <c r="U719" s="21" t="n">
        <f aca="false">P719-R719-S719-T719</f>
        <v>261.39184</v>
      </c>
      <c r="V719" s="19" t="n">
        <f aca="false">IFERROR(U719/P719,0)</f>
        <v>0.264782646572001</v>
      </c>
      <c r="W719" s="48" t="n">
        <f aca="false">B719+INDEX(Parametros!$C$13:$C$16,MATCH($F719,Parametros!$A$13:$A$16,0))</f>
        <v>45977</v>
      </c>
      <c r="X719" s="31" t="s">
        <v>67</v>
      </c>
      <c r="Y719" s="53" t="n">
        <f aca="false">IF(COUNTIF($A$2:$A719,A719)=1,1,0)</f>
        <v>1</v>
      </c>
    </row>
    <row r="720" customFormat="false" ht="15" hidden="false" customHeight="false" outlineLevel="0" collapsed="false">
      <c r="A720" s="31" t="s">
        <v>621</v>
      </c>
      <c r="B720" s="36" t="n">
        <v>45902</v>
      </c>
      <c r="C720" s="49" t="n">
        <f aca="false">DATE(YEAR(B720),MONTH(B720),1)</f>
        <v>45901</v>
      </c>
      <c r="D720" s="31" t="s">
        <v>215</v>
      </c>
      <c r="E720" s="31" t="s">
        <v>42</v>
      </c>
      <c r="F720" s="31" t="s">
        <v>46</v>
      </c>
      <c r="G720" s="31" t="s">
        <v>61</v>
      </c>
      <c r="H720" s="31" t="s">
        <v>183</v>
      </c>
      <c r="I720" s="32" t="str">
        <f aca="false">INDEX(Productos!$B$2:$B$13,MATCH($H720,Productos!$A$2:$A$13,0))</f>
        <v>Tornillo estructural M16x90 clase 10.9</v>
      </c>
      <c r="J720" s="32" t="str">
        <f aca="false">INDEX(Productos!$C$2:$C$13,MATCH($H720,Productos!$A$2:$A$13,0))</f>
        <v>Especial</v>
      </c>
      <c r="K720" s="31" t="s">
        <v>246</v>
      </c>
      <c r="L720" s="46" t="n">
        <v>80</v>
      </c>
      <c r="M720" s="50" t="n">
        <f aca="false">INDEX(Productos!$F$2:$F$13,MATCH($H720,Productos!$A$2:$A$13,0))</f>
        <v>112</v>
      </c>
      <c r="N720" s="51" t="n">
        <v>0.091</v>
      </c>
      <c r="O720" s="52" t="n">
        <f aca="false">M720*(1-N720)</f>
        <v>101.808</v>
      </c>
      <c r="P720" s="21" t="n">
        <f aca="false">L720*O720</f>
        <v>8144.64</v>
      </c>
      <c r="Q720" s="50" t="n">
        <f aca="false">INDEX(Productos!$E$2:$E$13,MATCH($H720,Productos!$A$2:$A$13,0))*INDEX(Parametros!$B$26:$B$43,MATCH($C720,Parametros!$A$26:$A$43,0))</f>
        <v>60.72</v>
      </c>
      <c r="R720" s="21" t="n">
        <f aca="false">L720*Q720</f>
        <v>4857.6</v>
      </c>
      <c r="S720" s="18" t="n">
        <f aca="false">L720*INDEX(Parametros!$B$20:$B$22,MATCH($E720,Parametros!$A$20:$A$22,0))</f>
        <v>192</v>
      </c>
      <c r="T720" s="18" t="n">
        <f aca="false">P720*INDEX(Parametros!$B$13:$B$16,MATCH($F720,Parametros!$A$13:$A$16,0))</f>
        <v>325.7856</v>
      </c>
      <c r="U720" s="21" t="n">
        <f aca="false">P720-R720-S720-T720</f>
        <v>2769.2544</v>
      </c>
      <c r="V720" s="19" t="n">
        <f aca="false">IFERROR(U720/P720,0)</f>
        <v>0.34000942951438</v>
      </c>
      <c r="W720" s="48" t="n">
        <f aca="false">B720+INDEX(Parametros!$C$13:$C$16,MATCH($F720,Parametros!$A$13:$A$16,0))</f>
        <v>45977</v>
      </c>
      <c r="X720" s="31" t="s">
        <v>67</v>
      </c>
      <c r="Y720" s="53" t="n">
        <f aca="false">IF(COUNTIF($A$2:$A720,A720)=1,1,0)</f>
        <v>0</v>
      </c>
    </row>
    <row r="721" customFormat="false" ht="15" hidden="false" customHeight="false" outlineLevel="0" collapsed="false">
      <c r="A721" s="31" t="s">
        <v>621</v>
      </c>
      <c r="B721" s="36" t="n">
        <v>45902</v>
      </c>
      <c r="C721" s="49" t="n">
        <f aca="false">DATE(YEAR(B721),MONTH(B721),1)</f>
        <v>45901</v>
      </c>
      <c r="D721" s="31" t="s">
        <v>215</v>
      </c>
      <c r="E721" s="31" t="s">
        <v>42</v>
      </c>
      <c r="F721" s="31" t="s">
        <v>46</v>
      </c>
      <c r="G721" s="31" t="s">
        <v>61</v>
      </c>
      <c r="H721" s="31" t="s">
        <v>165</v>
      </c>
      <c r="I721" s="32" t="str">
        <f aca="false">INDEX(Productos!$B$2:$B$13,MATCH($H721,Productos!$A$2:$A$13,0))</f>
        <v>Tornillo DIN 933 M8x40 rosca completa zincado</v>
      </c>
      <c r="J721" s="32" t="str">
        <f aca="false">INDEX(Productos!$C$2:$C$13,MATCH($H721,Productos!$A$2:$A$13,0))</f>
        <v>Métrica</v>
      </c>
      <c r="K721" s="31" t="s">
        <v>246</v>
      </c>
      <c r="L721" s="46" t="n">
        <v>138</v>
      </c>
      <c r="M721" s="50" t="n">
        <f aca="false">INDEX(Productos!$F$2:$F$13,MATCH($H721,Productos!$A$2:$A$13,0))</f>
        <v>37.5</v>
      </c>
      <c r="N721" s="51" t="n">
        <v>0.107</v>
      </c>
      <c r="O721" s="52" t="n">
        <f aca="false">M721*(1-N721)</f>
        <v>33.4875</v>
      </c>
      <c r="P721" s="21" t="n">
        <f aca="false">L721*O721</f>
        <v>4621.275</v>
      </c>
      <c r="Q721" s="50" t="n">
        <f aca="false">INDEX(Productos!$E$2:$E$13,MATCH($H721,Productos!$A$2:$A$13,0))*INDEX(Parametros!$B$26:$B$43,MATCH($C721,Parametros!$A$26:$A$43,0))</f>
        <v>19.6328</v>
      </c>
      <c r="R721" s="21" t="n">
        <f aca="false">L721*Q721</f>
        <v>2709.3264</v>
      </c>
      <c r="S721" s="18" t="n">
        <f aca="false">L721*INDEX(Parametros!$B$20:$B$22,MATCH($E721,Parametros!$A$20:$A$22,0))</f>
        <v>331.2</v>
      </c>
      <c r="T721" s="18" t="n">
        <f aca="false">P721*INDEX(Parametros!$B$13:$B$16,MATCH($F721,Parametros!$A$13:$A$16,0))</f>
        <v>184.851</v>
      </c>
      <c r="U721" s="21" t="n">
        <f aca="false">P721-R721-S721-T721</f>
        <v>1395.8976</v>
      </c>
      <c r="V721" s="19" t="n">
        <f aca="false">IFERROR(U721/P721,0)</f>
        <v>0.30205897723031</v>
      </c>
      <c r="W721" s="48" t="n">
        <f aca="false">B721+INDEX(Parametros!$C$13:$C$16,MATCH($F721,Parametros!$A$13:$A$16,0))</f>
        <v>45977</v>
      </c>
      <c r="X721" s="31" t="s">
        <v>67</v>
      </c>
      <c r="Y721" s="53" t="n">
        <f aca="false">IF(COUNTIF($A$2:$A721,A721)=1,1,0)</f>
        <v>0</v>
      </c>
    </row>
    <row r="722" customFormat="false" ht="15" hidden="false" customHeight="false" outlineLevel="0" collapsed="false">
      <c r="A722" s="31" t="s">
        <v>621</v>
      </c>
      <c r="B722" s="36" t="n">
        <v>45902</v>
      </c>
      <c r="C722" s="49" t="n">
        <f aca="false">DATE(YEAR(B722),MONTH(B722),1)</f>
        <v>45901</v>
      </c>
      <c r="D722" s="31" t="s">
        <v>215</v>
      </c>
      <c r="E722" s="31" t="s">
        <v>42</v>
      </c>
      <c r="F722" s="31" t="s">
        <v>46</v>
      </c>
      <c r="G722" s="31" t="s">
        <v>61</v>
      </c>
      <c r="H722" s="31" t="s">
        <v>179</v>
      </c>
      <c r="I722" s="32" t="str">
        <f aca="false">INDEX(Productos!$B$2:$B$13,MATCH($H722,Productos!$A$2:$A$13,0))</f>
        <v>Autotaladrante DIN 7504 4,8x38 zincado</v>
      </c>
      <c r="J722" s="32" t="str">
        <f aca="false">INDEX(Productos!$C$2:$C$13,MATCH($H722,Productos!$A$2:$A$13,0))</f>
        <v>Autotaladrante</v>
      </c>
      <c r="K722" s="31" t="s">
        <v>246</v>
      </c>
      <c r="L722" s="46" t="n">
        <v>231</v>
      </c>
      <c r="M722" s="50" t="n">
        <f aca="false">INDEX(Productos!$F$2:$F$13,MATCH($H722,Productos!$A$2:$A$13,0))</f>
        <v>29.5</v>
      </c>
      <c r="N722" s="51" t="n">
        <v>0.131</v>
      </c>
      <c r="O722" s="52" t="n">
        <f aca="false">M722*(1-N722)</f>
        <v>25.6355</v>
      </c>
      <c r="P722" s="21" t="n">
        <f aca="false">L722*O722</f>
        <v>5921.8005</v>
      </c>
      <c r="Q722" s="50" t="n">
        <f aca="false">INDEX(Productos!$E$2:$E$13,MATCH($H722,Productos!$A$2:$A$13,0))*INDEX(Parametros!$B$26:$B$43,MATCH($C722,Parametros!$A$26:$A$43,0))</f>
        <v>15.3824</v>
      </c>
      <c r="R722" s="21" t="n">
        <f aca="false">L722*Q722</f>
        <v>3553.3344</v>
      </c>
      <c r="S722" s="18" t="n">
        <f aca="false">L722*INDEX(Parametros!$B$20:$B$22,MATCH($E722,Parametros!$A$20:$A$22,0))</f>
        <v>554.4</v>
      </c>
      <c r="T722" s="18" t="n">
        <f aca="false">P722*INDEX(Parametros!$B$13:$B$16,MATCH($F722,Parametros!$A$13:$A$16,0))</f>
        <v>236.87202</v>
      </c>
      <c r="U722" s="21" t="n">
        <f aca="false">P722-R722-S722-T722</f>
        <v>1577.19408</v>
      </c>
      <c r="V722" s="19" t="n">
        <f aca="false">IFERROR(U722/P722,0)</f>
        <v>0.266336915605313</v>
      </c>
      <c r="W722" s="48" t="n">
        <f aca="false">B722+INDEX(Parametros!$C$13:$C$16,MATCH($F722,Parametros!$A$13:$A$16,0))</f>
        <v>45977</v>
      </c>
      <c r="X722" s="31" t="s">
        <v>67</v>
      </c>
      <c r="Y722" s="53" t="n">
        <f aca="false">IF(COUNTIF($A$2:$A722,A722)=1,1,0)</f>
        <v>0</v>
      </c>
    </row>
    <row r="723" customFormat="false" ht="15" hidden="false" customHeight="false" outlineLevel="0" collapsed="false">
      <c r="A723" s="31" t="s">
        <v>622</v>
      </c>
      <c r="B723" s="36" t="n">
        <v>45903</v>
      </c>
      <c r="C723" s="49" t="n">
        <f aca="false">DATE(YEAR(B723),MONTH(B723),1)</f>
        <v>45901</v>
      </c>
      <c r="D723" s="31" t="s">
        <v>206</v>
      </c>
      <c r="E723" s="31" t="s">
        <v>41</v>
      </c>
      <c r="F723" s="31" t="s">
        <v>46</v>
      </c>
      <c r="G723" s="31" t="s">
        <v>58</v>
      </c>
      <c r="H723" s="31" t="s">
        <v>165</v>
      </c>
      <c r="I723" s="32" t="str">
        <f aca="false">INDEX(Productos!$B$2:$B$13,MATCH($H723,Productos!$A$2:$A$13,0))</f>
        <v>Tornillo DIN 933 M8x40 rosca completa zincado</v>
      </c>
      <c r="J723" s="32" t="str">
        <f aca="false">INDEX(Productos!$C$2:$C$13,MATCH($H723,Productos!$A$2:$A$13,0))</f>
        <v>Métrica</v>
      </c>
      <c r="K723" s="31" t="s">
        <v>246</v>
      </c>
      <c r="L723" s="46" t="n">
        <v>223</v>
      </c>
      <c r="M723" s="50" t="n">
        <f aca="false">INDEX(Productos!$F$2:$F$13,MATCH($H723,Productos!$A$2:$A$13,0))</f>
        <v>37.5</v>
      </c>
      <c r="N723" s="51" t="n">
        <v>0.138</v>
      </c>
      <c r="O723" s="52" t="n">
        <f aca="false">M723*(1-N723)</f>
        <v>32.325</v>
      </c>
      <c r="P723" s="21" t="n">
        <f aca="false">L723*O723</f>
        <v>7208.475</v>
      </c>
      <c r="Q723" s="50" t="n">
        <f aca="false">INDEX(Productos!$E$2:$E$13,MATCH($H723,Productos!$A$2:$A$13,0))*INDEX(Parametros!$B$26:$B$43,MATCH($C723,Parametros!$A$26:$A$43,0))</f>
        <v>19.6328</v>
      </c>
      <c r="R723" s="21" t="n">
        <f aca="false">L723*Q723</f>
        <v>4378.1144</v>
      </c>
      <c r="S723" s="18" t="n">
        <f aca="false">L723*INDEX(Parametros!$B$20:$B$22,MATCH($E723,Parametros!$A$20:$A$22,0))</f>
        <v>189.55</v>
      </c>
      <c r="T723" s="18" t="n">
        <f aca="false">P723*INDEX(Parametros!$B$13:$B$16,MATCH($F723,Parametros!$A$13:$A$16,0))</f>
        <v>288.339</v>
      </c>
      <c r="U723" s="21" t="n">
        <f aca="false">P723-R723-S723-T723</f>
        <v>2352.4716</v>
      </c>
      <c r="V723" s="19" t="n">
        <f aca="false">IFERROR(U723/P723,0)</f>
        <v>0.326348027842228</v>
      </c>
      <c r="W723" s="48" t="n">
        <f aca="false">B723+INDEX(Parametros!$C$13:$C$16,MATCH($F723,Parametros!$A$13:$A$16,0))</f>
        <v>45978</v>
      </c>
      <c r="X723" s="31" t="s">
        <v>67</v>
      </c>
      <c r="Y723" s="53" t="n">
        <f aca="false">IF(COUNTIF($A$2:$A723,A723)=1,1,0)</f>
        <v>1</v>
      </c>
    </row>
    <row r="724" customFormat="false" ht="15" hidden="false" customHeight="false" outlineLevel="0" collapsed="false">
      <c r="A724" s="31" t="s">
        <v>622</v>
      </c>
      <c r="B724" s="36" t="n">
        <v>45903</v>
      </c>
      <c r="C724" s="49" t="n">
        <f aca="false">DATE(YEAR(B724),MONTH(B724),1)</f>
        <v>45901</v>
      </c>
      <c r="D724" s="31" t="s">
        <v>206</v>
      </c>
      <c r="E724" s="31" t="s">
        <v>41</v>
      </c>
      <c r="F724" s="31" t="s">
        <v>46</v>
      </c>
      <c r="G724" s="31" t="s">
        <v>58</v>
      </c>
      <c r="H724" s="31" t="s">
        <v>185</v>
      </c>
      <c r="I724" s="32" t="str">
        <f aca="false">INDEX(Productos!$B$2:$B$13,MATCH($H724,Productos!$A$2:$A$13,0))</f>
        <v>Varilla roscada M10 x 1 m zincada</v>
      </c>
      <c r="J724" s="32" t="str">
        <f aca="false">INDEX(Productos!$C$2:$C$13,MATCH($H724,Productos!$A$2:$A$13,0))</f>
        <v>Especial</v>
      </c>
      <c r="K724" s="31" t="s">
        <v>246</v>
      </c>
      <c r="L724" s="46" t="n">
        <v>98</v>
      </c>
      <c r="M724" s="50" t="n">
        <f aca="false">INDEX(Productos!$F$2:$F$13,MATCH($H724,Productos!$A$2:$A$13,0))</f>
        <v>54</v>
      </c>
      <c r="N724" s="51" t="n">
        <v>0.152</v>
      </c>
      <c r="O724" s="52" t="n">
        <f aca="false">M724*(1-N724)</f>
        <v>45.792</v>
      </c>
      <c r="P724" s="21" t="n">
        <f aca="false">L724*O724</f>
        <v>4487.616</v>
      </c>
      <c r="Q724" s="50" t="n">
        <f aca="false">INDEX(Productos!$E$2:$E$13,MATCH($H724,Productos!$A$2:$A$13,0))*INDEX(Parametros!$B$26:$B$43,MATCH($C724,Parametros!$A$26:$A$43,0))</f>
        <v>28.842</v>
      </c>
      <c r="R724" s="21" t="n">
        <f aca="false">L724*Q724</f>
        <v>2826.516</v>
      </c>
      <c r="S724" s="18" t="n">
        <f aca="false">L724*INDEX(Parametros!$B$20:$B$22,MATCH($E724,Parametros!$A$20:$A$22,0))</f>
        <v>83.3</v>
      </c>
      <c r="T724" s="18" t="n">
        <f aca="false">P724*INDEX(Parametros!$B$13:$B$16,MATCH($F724,Parametros!$A$13:$A$16,0))</f>
        <v>179.50464</v>
      </c>
      <c r="U724" s="21" t="n">
        <f aca="false">P724-R724-S724-T724</f>
        <v>1398.29536</v>
      </c>
      <c r="V724" s="19" t="n">
        <f aca="false">IFERROR(U724/P724,0)</f>
        <v>0.311589797344514</v>
      </c>
      <c r="W724" s="48" t="n">
        <f aca="false">B724+INDEX(Parametros!$C$13:$C$16,MATCH($F724,Parametros!$A$13:$A$16,0))</f>
        <v>45978</v>
      </c>
      <c r="X724" s="31" t="s">
        <v>67</v>
      </c>
      <c r="Y724" s="53" t="n">
        <f aca="false">IF(COUNTIF($A$2:$A724,A724)=1,1,0)</f>
        <v>0</v>
      </c>
    </row>
    <row r="725" customFormat="false" ht="15" hidden="false" customHeight="false" outlineLevel="0" collapsed="false">
      <c r="A725" s="31" t="s">
        <v>623</v>
      </c>
      <c r="B725" s="36" t="n">
        <v>45905</v>
      </c>
      <c r="C725" s="49" t="n">
        <f aca="false">DATE(YEAR(B725),MONTH(B725),1)</f>
        <v>45901</v>
      </c>
      <c r="D725" s="31" t="s">
        <v>212</v>
      </c>
      <c r="E725" s="31" t="s">
        <v>42</v>
      </c>
      <c r="F725" s="31" t="s">
        <v>45</v>
      </c>
      <c r="G725" s="31" t="s">
        <v>61</v>
      </c>
      <c r="H725" s="31" t="s">
        <v>183</v>
      </c>
      <c r="I725" s="32" t="str">
        <f aca="false">INDEX(Productos!$B$2:$B$13,MATCH($H725,Productos!$A$2:$A$13,0))</f>
        <v>Tornillo estructural M16x90 clase 10.9</v>
      </c>
      <c r="J725" s="32" t="str">
        <f aca="false">INDEX(Productos!$C$2:$C$13,MATCH($H725,Productos!$A$2:$A$13,0))</f>
        <v>Especial</v>
      </c>
      <c r="K725" s="31" t="s">
        <v>246</v>
      </c>
      <c r="L725" s="46" t="n">
        <v>59</v>
      </c>
      <c r="M725" s="50" t="n">
        <f aca="false">INDEX(Productos!$F$2:$F$13,MATCH($H725,Productos!$A$2:$A$13,0))</f>
        <v>112</v>
      </c>
      <c r="N725" s="51" t="n">
        <v>0.143</v>
      </c>
      <c r="O725" s="52" t="n">
        <f aca="false">M725*(1-N725)</f>
        <v>95.984</v>
      </c>
      <c r="P725" s="21" t="n">
        <f aca="false">L725*O725</f>
        <v>5663.056</v>
      </c>
      <c r="Q725" s="50" t="n">
        <f aca="false">INDEX(Productos!$E$2:$E$13,MATCH($H725,Productos!$A$2:$A$13,0))*INDEX(Parametros!$B$26:$B$43,MATCH($C725,Parametros!$A$26:$A$43,0))</f>
        <v>60.72</v>
      </c>
      <c r="R725" s="21" t="n">
        <f aca="false">L725*Q725</f>
        <v>3582.48</v>
      </c>
      <c r="S725" s="18" t="n">
        <f aca="false">L725*INDEX(Parametros!$B$20:$B$22,MATCH($E725,Parametros!$A$20:$A$22,0))</f>
        <v>141.6</v>
      </c>
      <c r="T725" s="18" t="n">
        <f aca="false">P725*INDEX(Parametros!$B$13:$B$16,MATCH($F725,Parametros!$A$13:$A$16,0))</f>
        <v>169.89168</v>
      </c>
      <c r="U725" s="21" t="n">
        <f aca="false">P725-R725-S725-T725</f>
        <v>1769.08432</v>
      </c>
      <c r="V725" s="19" t="n">
        <f aca="false">IFERROR(U725/P725,0)</f>
        <v>0.312390398399733</v>
      </c>
      <c r="W725" s="48" t="n">
        <f aca="false">B725+INDEX(Parametros!$C$13:$C$16,MATCH($F725,Parametros!$A$13:$A$16,0))</f>
        <v>45965</v>
      </c>
      <c r="X725" s="31" t="s">
        <v>67</v>
      </c>
      <c r="Y725" s="53" t="n">
        <f aca="false">IF(COUNTIF($A$2:$A725,A725)=1,1,0)</f>
        <v>1</v>
      </c>
    </row>
    <row r="726" customFormat="false" ht="15" hidden="false" customHeight="false" outlineLevel="0" collapsed="false">
      <c r="A726" s="31" t="s">
        <v>624</v>
      </c>
      <c r="B726" s="36" t="n">
        <v>45908</v>
      </c>
      <c r="C726" s="49" t="n">
        <f aca="false">DATE(YEAR(B726),MONTH(B726),1)</f>
        <v>45901</v>
      </c>
      <c r="D726" s="31" t="s">
        <v>197</v>
      </c>
      <c r="E726" s="31" t="s">
        <v>41</v>
      </c>
      <c r="F726" s="31" t="s">
        <v>46</v>
      </c>
      <c r="G726" s="31" t="s">
        <v>58</v>
      </c>
      <c r="H726" s="31" t="s">
        <v>165</v>
      </c>
      <c r="I726" s="32" t="str">
        <f aca="false">INDEX(Productos!$B$2:$B$13,MATCH($H726,Productos!$A$2:$A$13,0))</f>
        <v>Tornillo DIN 933 M8x40 rosca completa zincado</v>
      </c>
      <c r="J726" s="32" t="str">
        <f aca="false">INDEX(Productos!$C$2:$C$13,MATCH($H726,Productos!$A$2:$A$13,0))</f>
        <v>Métrica</v>
      </c>
      <c r="K726" s="31" t="s">
        <v>246</v>
      </c>
      <c r="L726" s="46" t="n">
        <v>73</v>
      </c>
      <c r="M726" s="50" t="n">
        <f aca="false">INDEX(Productos!$F$2:$F$13,MATCH($H726,Productos!$A$2:$A$13,0))</f>
        <v>37.5</v>
      </c>
      <c r="N726" s="51" t="n">
        <v>0.09</v>
      </c>
      <c r="O726" s="52" t="n">
        <f aca="false">M726*(1-N726)</f>
        <v>34.125</v>
      </c>
      <c r="P726" s="21" t="n">
        <f aca="false">L726*O726</f>
        <v>2491.125</v>
      </c>
      <c r="Q726" s="50" t="n">
        <f aca="false">INDEX(Productos!$E$2:$E$13,MATCH($H726,Productos!$A$2:$A$13,0))*INDEX(Parametros!$B$26:$B$43,MATCH($C726,Parametros!$A$26:$A$43,0))</f>
        <v>19.6328</v>
      </c>
      <c r="R726" s="21" t="n">
        <f aca="false">L726*Q726</f>
        <v>1433.1944</v>
      </c>
      <c r="S726" s="18" t="n">
        <f aca="false">L726*INDEX(Parametros!$B$20:$B$22,MATCH($E726,Parametros!$A$20:$A$22,0))</f>
        <v>62.05</v>
      </c>
      <c r="T726" s="18" t="n">
        <f aca="false">P726*INDEX(Parametros!$B$13:$B$16,MATCH($F726,Parametros!$A$13:$A$16,0))</f>
        <v>99.645</v>
      </c>
      <c r="U726" s="21" t="n">
        <f aca="false">P726-R726-S726-T726</f>
        <v>896.2356</v>
      </c>
      <c r="V726" s="19" t="n">
        <f aca="false">IFERROR(U726/P726,0)</f>
        <v>0.359771428571429</v>
      </c>
      <c r="W726" s="48" t="n">
        <f aca="false">B726+INDEX(Parametros!$C$13:$C$16,MATCH($F726,Parametros!$A$13:$A$16,0))</f>
        <v>45983</v>
      </c>
      <c r="X726" s="31" t="s">
        <v>67</v>
      </c>
      <c r="Y726" s="53" t="n">
        <f aca="false">IF(COUNTIF($A$2:$A726,A726)=1,1,0)</f>
        <v>1</v>
      </c>
    </row>
    <row r="727" customFormat="false" ht="15" hidden="false" customHeight="false" outlineLevel="0" collapsed="false">
      <c r="A727" s="31" t="s">
        <v>624</v>
      </c>
      <c r="B727" s="36" t="n">
        <v>45908</v>
      </c>
      <c r="C727" s="49" t="n">
        <f aca="false">DATE(YEAR(B727),MONTH(B727),1)</f>
        <v>45901</v>
      </c>
      <c r="D727" s="31" t="s">
        <v>197</v>
      </c>
      <c r="E727" s="31" t="s">
        <v>41</v>
      </c>
      <c r="F727" s="31" t="s">
        <v>46</v>
      </c>
      <c r="G727" s="31" t="s">
        <v>58</v>
      </c>
      <c r="H727" s="31" t="s">
        <v>181</v>
      </c>
      <c r="I727" s="32" t="str">
        <f aca="false">INDEX(Productos!$B$2:$B$13,MATCH($H727,Productos!$A$2:$A$13,0))</f>
        <v>Autotaladrante 5,5x55 punta broca</v>
      </c>
      <c r="J727" s="32" t="str">
        <f aca="false">INDEX(Productos!$C$2:$C$13,MATCH($H727,Productos!$A$2:$A$13,0))</f>
        <v>Autotaladrante</v>
      </c>
      <c r="K727" s="31" t="s">
        <v>246</v>
      </c>
      <c r="L727" s="46" t="n">
        <v>49</v>
      </c>
      <c r="M727" s="50" t="n">
        <f aca="false">INDEX(Productos!$F$2:$F$13,MATCH($H727,Productos!$A$2:$A$13,0))</f>
        <v>39</v>
      </c>
      <c r="N727" s="51" t="n">
        <v>0.113</v>
      </c>
      <c r="O727" s="52" t="n">
        <f aca="false">M727*(1-N727)</f>
        <v>34.593</v>
      </c>
      <c r="P727" s="21" t="n">
        <f aca="false">L727*O727</f>
        <v>1695.057</v>
      </c>
      <c r="Q727" s="50" t="n">
        <f aca="false">INDEX(Productos!$E$2:$E$13,MATCH($H727,Productos!$A$2:$A$13,0))*INDEX(Parametros!$B$26:$B$43,MATCH($C727,Parametros!$A$26:$A$43,0))</f>
        <v>20.5436</v>
      </c>
      <c r="R727" s="21" t="n">
        <f aca="false">L727*Q727</f>
        <v>1006.6364</v>
      </c>
      <c r="S727" s="18" t="n">
        <f aca="false">L727*INDEX(Parametros!$B$20:$B$22,MATCH($E727,Parametros!$A$20:$A$22,0))</f>
        <v>41.65</v>
      </c>
      <c r="T727" s="18" t="n">
        <f aca="false">P727*INDEX(Parametros!$B$13:$B$16,MATCH($F727,Parametros!$A$13:$A$16,0))</f>
        <v>67.80228</v>
      </c>
      <c r="U727" s="21" t="n">
        <f aca="false">P727-R727-S727-T727</f>
        <v>578.96832</v>
      </c>
      <c r="V727" s="19" t="n">
        <f aca="false">IFERROR(U727/P727,0)</f>
        <v>0.341562743907727</v>
      </c>
      <c r="W727" s="48" t="n">
        <f aca="false">B727+INDEX(Parametros!$C$13:$C$16,MATCH($F727,Parametros!$A$13:$A$16,0))</f>
        <v>45983</v>
      </c>
      <c r="X727" s="31" t="s">
        <v>67</v>
      </c>
      <c r="Y727" s="53" t="n">
        <f aca="false">IF(COUNTIF($A$2:$A727,A727)=1,1,0)</f>
        <v>0</v>
      </c>
    </row>
    <row r="728" customFormat="false" ht="15" hidden="false" customHeight="false" outlineLevel="0" collapsed="false">
      <c r="A728" s="31" t="s">
        <v>625</v>
      </c>
      <c r="B728" s="36" t="n">
        <v>45908</v>
      </c>
      <c r="C728" s="49" t="n">
        <f aca="false">DATE(YEAR(B728),MONTH(B728),1)</f>
        <v>45901</v>
      </c>
      <c r="D728" s="31" t="s">
        <v>204</v>
      </c>
      <c r="E728" s="31" t="s">
        <v>41</v>
      </c>
      <c r="F728" s="31" t="s">
        <v>47</v>
      </c>
      <c r="G728" s="31" t="s">
        <v>62</v>
      </c>
      <c r="H728" s="31" t="s">
        <v>179</v>
      </c>
      <c r="I728" s="32" t="str">
        <f aca="false">INDEX(Productos!$B$2:$B$13,MATCH($H728,Productos!$A$2:$A$13,0))</f>
        <v>Autotaladrante DIN 7504 4,8x38 zincado</v>
      </c>
      <c r="J728" s="32" t="str">
        <f aca="false">INDEX(Productos!$C$2:$C$13,MATCH($H728,Productos!$A$2:$A$13,0))</f>
        <v>Autotaladrante</v>
      </c>
      <c r="K728" s="31" t="s">
        <v>246</v>
      </c>
      <c r="L728" s="46" t="n">
        <v>20</v>
      </c>
      <c r="M728" s="50" t="n">
        <f aca="false">INDEX(Productos!$F$2:$F$13,MATCH($H728,Productos!$A$2:$A$13,0))</f>
        <v>29.5</v>
      </c>
      <c r="N728" s="51" t="n">
        <v>0.049</v>
      </c>
      <c r="O728" s="52" t="n">
        <f aca="false">M728*(1-N728)</f>
        <v>28.0545</v>
      </c>
      <c r="P728" s="21" t="n">
        <f aca="false">L728*O728</f>
        <v>561.09</v>
      </c>
      <c r="Q728" s="50" t="n">
        <f aca="false">INDEX(Productos!$E$2:$E$13,MATCH($H728,Productos!$A$2:$A$13,0))*INDEX(Parametros!$B$26:$B$43,MATCH($C728,Parametros!$A$26:$A$43,0))</f>
        <v>15.3824</v>
      </c>
      <c r="R728" s="21" t="n">
        <f aca="false">L728*Q728</f>
        <v>307.648</v>
      </c>
      <c r="S728" s="18" t="n">
        <f aca="false">L728*INDEX(Parametros!$B$20:$B$22,MATCH($E728,Parametros!$A$20:$A$22,0))</f>
        <v>17</v>
      </c>
      <c r="T728" s="18" t="n">
        <f aca="false">P728*INDEX(Parametros!$B$13:$B$16,MATCH($F728,Parametros!$A$13:$A$16,0))</f>
        <v>19.63815</v>
      </c>
      <c r="U728" s="21" t="n">
        <f aca="false">P728-R728-S728-T728</f>
        <v>216.80385</v>
      </c>
      <c r="V728" s="19" t="n">
        <f aca="false">IFERROR(U728/P728,0)</f>
        <v>0.386397636742769</v>
      </c>
      <c r="W728" s="48" t="n">
        <f aca="false">B728+INDEX(Parametros!$C$13:$C$16,MATCH($F728,Parametros!$A$13:$A$16,0))</f>
        <v>45953</v>
      </c>
      <c r="X728" s="31" t="s">
        <v>67</v>
      </c>
      <c r="Y728" s="53" t="n">
        <f aca="false">IF(COUNTIF($A$2:$A728,A728)=1,1,0)</f>
        <v>1</v>
      </c>
    </row>
    <row r="729" customFormat="false" ht="15" hidden="false" customHeight="false" outlineLevel="0" collapsed="false">
      <c r="A729" s="31" t="s">
        <v>626</v>
      </c>
      <c r="B729" s="36" t="n">
        <v>45908</v>
      </c>
      <c r="C729" s="49" t="n">
        <f aca="false">DATE(YEAR(B729),MONTH(B729),1)</f>
        <v>45901</v>
      </c>
      <c r="D729" s="31" t="s">
        <v>208</v>
      </c>
      <c r="E729" s="31" t="s">
        <v>41</v>
      </c>
      <c r="F729" s="31" t="s">
        <v>46</v>
      </c>
      <c r="G729" s="31" t="s">
        <v>58</v>
      </c>
      <c r="H729" s="31" t="s">
        <v>167</v>
      </c>
      <c r="I729" s="32" t="str">
        <f aca="false">INDEX(Productos!$B$2:$B$13,MATCH($H729,Productos!$A$2:$A$13,0))</f>
        <v>Tornillo DIN 912 M6x25 Allen zincado</v>
      </c>
      <c r="J729" s="32" t="str">
        <f aca="false">INDEX(Productos!$C$2:$C$13,MATCH($H729,Productos!$A$2:$A$13,0))</f>
        <v>Métrica</v>
      </c>
      <c r="K729" s="31" t="s">
        <v>246</v>
      </c>
      <c r="L729" s="46" t="n">
        <v>52</v>
      </c>
      <c r="M729" s="50" t="n">
        <f aca="false">INDEX(Productos!$F$2:$F$13,MATCH($H729,Productos!$A$2:$A$13,0))</f>
        <v>42</v>
      </c>
      <c r="N729" s="51" t="n">
        <v>0.127</v>
      </c>
      <c r="O729" s="52" t="n">
        <f aca="false">M729*(1-N729)</f>
        <v>36.666</v>
      </c>
      <c r="P729" s="21" t="n">
        <f aca="false">L729*O729</f>
        <v>1906.632</v>
      </c>
      <c r="Q729" s="50" t="n">
        <f aca="false">INDEX(Productos!$E$2:$E$13,MATCH($H729,Productos!$A$2:$A$13,0))*INDEX(Parametros!$B$26:$B$43,MATCH($C729,Parametros!$A$26:$A$43,0))</f>
        <v>22.0616</v>
      </c>
      <c r="R729" s="21" t="n">
        <f aca="false">L729*Q729</f>
        <v>1147.2032</v>
      </c>
      <c r="S729" s="18" t="n">
        <f aca="false">L729*INDEX(Parametros!$B$20:$B$22,MATCH($E729,Parametros!$A$20:$A$22,0))</f>
        <v>44.2</v>
      </c>
      <c r="T729" s="18" t="n">
        <f aca="false">P729*INDEX(Parametros!$B$13:$B$16,MATCH($F729,Parametros!$A$13:$A$16,0))</f>
        <v>76.26528</v>
      </c>
      <c r="U729" s="21" t="n">
        <f aca="false">P729-R729-S729-T729</f>
        <v>638.96352</v>
      </c>
      <c r="V729" s="19" t="n">
        <f aca="false">IFERROR(U729/P729,0)</f>
        <v>0.335126820487645</v>
      </c>
      <c r="W729" s="48" t="n">
        <f aca="false">B729+INDEX(Parametros!$C$13:$C$16,MATCH($F729,Parametros!$A$13:$A$16,0))</f>
        <v>45983</v>
      </c>
      <c r="X729" s="31" t="s">
        <v>67</v>
      </c>
      <c r="Y729" s="53" t="n">
        <f aca="false">IF(COUNTIF($A$2:$A729,A729)=1,1,0)</f>
        <v>1</v>
      </c>
    </row>
    <row r="730" customFormat="false" ht="15" hidden="false" customHeight="false" outlineLevel="0" collapsed="false">
      <c r="A730" s="31" t="s">
        <v>627</v>
      </c>
      <c r="B730" s="36" t="n">
        <v>45908</v>
      </c>
      <c r="C730" s="49" t="n">
        <f aca="false">DATE(YEAR(B730),MONTH(B730),1)</f>
        <v>45901</v>
      </c>
      <c r="D730" s="31" t="s">
        <v>206</v>
      </c>
      <c r="E730" s="31" t="s">
        <v>41</v>
      </c>
      <c r="F730" s="31" t="s">
        <v>46</v>
      </c>
      <c r="G730" s="31" t="s">
        <v>58</v>
      </c>
      <c r="H730" s="31" t="s">
        <v>185</v>
      </c>
      <c r="I730" s="32" t="str">
        <f aca="false">INDEX(Productos!$B$2:$B$13,MATCH($H730,Productos!$A$2:$A$13,0))</f>
        <v>Varilla roscada M10 x 1 m zincada</v>
      </c>
      <c r="J730" s="32" t="str">
        <f aca="false">INDEX(Productos!$C$2:$C$13,MATCH($H730,Productos!$A$2:$A$13,0))</f>
        <v>Especial</v>
      </c>
      <c r="K730" s="31" t="s">
        <v>246</v>
      </c>
      <c r="L730" s="46" t="n">
        <v>49</v>
      </c>
      <c r="M730" s="50" t="n">
        <f aca="false">INDEX(Productos!$F$2:$F$13,MATCH($H730,Productos!$A$2:$A$13,0))</f>
        <v>54</v>
      </c>
      <c r="N730" s="51" t="n">
        <v>0.121</v>
      </c>
      <c r="O730" s="52" t="n">
        <f aca="false">M730*(1-N730)</f>
        <v>47.466</v>
      </c>
      <c r="P730" s="21" t="n">
        <f aca="false">L730*O730</f>
        <v>2325.834</v>
      </c>
      <c r="Q730" s="50" t="n">
        <f aca="false">INDEX(Productos!$E$2:$E$13,MATCH($H730,Productos!$A$2:$A$13,0))*INDEX(Parametros!$B$26:$B$43,MATCH($C730,Parametros!$A$26:$A$43,0))</f>
        <v>28.842</v>
      </c>
      <c r="R730" s="21" t="n">
        <f aca="false">L730*Q730</f>
        <v>1413.258</v>
      </c>
      <c r="S730" s="18" t="n">
        <f aca="false">L730*INDEX(Parametros!$B$20:$B$22,MATCH($E730,Parametros!$A$20:$A$22,0))</f>
        <v>41.65</v>
      </c>
      <c r="T730" s="18" t="n">
        <f aca="false">P730*INDEX(Parametros!$B$13:$B$16,MATCH($F730,Parametros!$A$13:$A$16,0))</f>
        <v>93.03336</v>
      </c>
      <c r="U730" s="21" t="n">
        <f aca="false">P730-R730-S730-T730</f>
        <v>777.89264</v>
      </c>
      <c r="V730" s="19" t="n">
        <f aca="false">IFERROR(U730/P730,0)</f>
        <v>0.334457506425652</v>
      </c>
      <c r="W730" s="48" t="n">
        <f aca="false">B730+INDEX(Parametros!$C$13:$C$16,MATCH($F730,Parametros!$A$13:$A$16,0))</f>
        <v>45983</v>
      </c>
      <c r="X730" s="31" t="s">
        <v>67</v>
      </c>
      <c r="Y730" s="53" t="n">
        <f aca="false">IF(COUNTIF($A$2:$A730,A730)=1,1,0)</f>
        <v>1</v>
      </c>
    </row>
    <row r="731" customFormat="false" ht="15" hidden="false" customHeight="false" outlineLevel="0" collapsed="false">
      <c r="A731" s="31" t="s">
        <v>628</v>
      </c>
      <c r="B731" s="36" t="n">
        <v>45909</v>
      </c>
      <c r="C731" s="49" t="n">
        <f aca="false">DATE(YEAR(B731),MONTH(B731),1)</f>
        <v>45901</v>
      </c>
      <c r="D731" s="31" t="s">
        <v>193</v>
      </c>
      <c r="E731" s="31" t="s">
        <v>41</v>
      </c>
      <c r="F731" s="31" t="s">
        <v>45</v>
      </c>
      <c r="G731" s="31" t="s">
        <v>62</v>
      </c>
      <c r="H731" s="31" t="s">
        <v>179</v>
      </c>
      <c r="I731" s="32" t="str">
        <f aca="false">INDEX(Productos!$B$2:$B$13,MATCH($H731,Productos!$A$2:$A$13,0))</f>
        <v>Autotaladrante DIN 7504 4,8x38 zincado</v>
      </c>
      <c r="J731" s="32" t="str">
        <f aca="false">INDEX(Productos!$C$2:$C$13,MATCH($H731,Productos!$A$2:$A$13,0))</f>
        <v>Autotaladrante</v>
      </c>
      <c r="K731" s="31" t="s">
        <v>246</v>
      </c>
      <c r="L731" s="46" t="n">
        <v>78</v>
      </c>
      <c r="M731" s="50" t="n">
        <f aca="false">INDEX(Productos!$F$2:$F$13,MATCH($H731,Productos!$A$2:$A$13,0))</f>
        <v>29.5</v>
      </c>
      <c r="N731" s="51" t="n">
        <v>0.152</v>
      </c>
      <c r="O731" s="52" t="n">
        <f aca="false">M731*(1-N731)</f>
        <v>25.016</v>
      </c>
      <c r="P731" s="21" t="n">
        <f aca="false">L731*O731</f>
        <v>1951.248</v>
      </c>
      <c r="Q731" s="50" t="n">
        <f aca="false">INDEX(Productos!$E$2:$E$13,MATCH($H731,Productos!$A$2:$A$13,0))*INDEX(Parametros!$B$26:$B$43,MATCH($C731,Parametros!$A$26:$A$43,0))</f>
        <v>15.3824</v>
      </c>
      <c r="R731" s="21" t="n">
        <f aca="false">L731*Q731</f>
        <v>1199.8272</v>
      </c>
      <c r="S731" s="18" t="n">
        <f aca="false">L731*INDEX(Parametros!$B$20:$B$22,MATCH($E731,Parametros!$A$20:$A$22,0))</f>
        <v>66.3</v>
      </c>
      <c r="T731" s="18" t="n">
        <f aca="false">P731*INDEX(Parametros!$B$13:$B$16,MATCH($F731,Parametros!$A$13:$A$16,0))</f>
        <v>58.53744</v>
      </c>
      <c r="U731" s="21" t="n">
        <f aca="false">P731-R731-S731-T731</f>
        <v>626.58336</v>
      </c>
      <c r="V731" s="19" t="n">
        <f aca="false">IFERROR(U731/P731,0)</f>
        <v>0.321119283658459</v>
      </c>
      <c r="W731" s="48" t="n">
        <f aca="false">B731+INDEX(Parametros!$C$13:$C$16,MATCH($F731,Parametros!$A$13:$A$16,0))</f>
        <v>45969</v>
      </c>
      <c r="X731" s="31" t="s">
        <v>67</v>
      </c>
      <c r="Y731" s="53" t="n">
        <f aca="false">IF(COUNTIF($A$2:$A731,A731)=1,1,0)</f>
        <v>1</v>
      </c>
    </row>
    <row r="732" customFormat="false" ht="15" hidden="false" customHeight="false" outlineLevel="0" collapsed="false">
      <c r="A732" s="31" t="s">
        <v>628</v>
      </c>
      <c r="B732" s="36" t="n">
        <v>45909</v>
      </c>
      <c r="C732" s="49" t="n">
        <f aca="false">DATE(YEAR(B732),MONTH(B732),1)</f>
        <v>45901</v>
      </c>
      <c r="D732" s="31" t="s">
        <v>193</v>
      </c>
      <c r="E732" s="31" t="s">
        <v>41</v>
      </c>
      <c r="F732" s="31" t="s">
        <v>45</v>
      </c>
      <c r="G732" s="31" t="s">
        <v>62</v>
      </c>
      <c r="H732" s="31" t="s">
        <v>169</v>
      </c>
      <c r="I732" s="32" t="str">
        <f aca="false">INDEX(Productos!$B$2:$B$13,MATCH($H732,Productos!$A$2:$A$13,0))</f>
        <v>Tornillo DIN 912 M10x60 Allen inox A2</v>
      </c>
      <c r="J732" s="32" t="str">
        <f aca="false">INDEX(Productos!$C$2:$C$13,MATCH($H732,Productos!$A$2:$A$13,0))</f>
        <v>Inoxidable</v>
      </c>
      <c r="K732" s="31" t="s">
        <v>246</v>
      </c>
      <c r="L732" s="46" t="n">
        <v>51</v>
      </c>
      <c r="M732" s="50" t="n">
        <f aca="false">INDEX(Productos!$F$2:$F$13,MATCH($H732,Productos!$A$2:$A$13,0))</f>
        <v>79</v>
      </c>
      <c r="N732" s="51" t="n">
        <v>0.166</v>
      </c>
      <c r="O732" s="52" t="n">
        <f aca="false">M732*(1-N732)</f>
        <v>65.886</v>
      </c>
      <c r="P732" s="21" t="n">
        <f aca="false">L732*O732</f>
        <v>3360.186</v>
      </c>
      <c r="Q732" s="50" t="n">
        <f aca="false">INDEX(Productos!$E$2:$E$13,MATCH($H732,Productos!$A$2:$A$13,0))*INDEX(Parametros!$B$26:$B$43,MATCH($C732,Parametros!$A$26:$A$43,0))</f>
        <v>42.504</v>
      </c>
      <c r="R732" s="21" t="n">
        <f aca="false">L732*Q732</f>
        <v>2167.704</v>
      </c>
      <c r="S732" s="18" t="n">
        <f aca="false">L732*INDEX(Parametros!$B$20:$B$22,MATCH($E732,Parametros!$A$20:$A$22,0))</f>
        <v>43.35</v>
      </c>
      <c r="T732" s="18" t="n">
        <f aca="false">P732*INDEX(Parametros!$B$13:$B$16,MATCH($F732,Parametros!$A$13:$A$16,0))</f>
        <v>100.80558</v>
      </c>
      <c r="U732" s="21" t="n">
        <f aca="false">P732-R732-S732-T732</f>
        <v>1048.32642</v>
      </c>
      <c r="V732" s="19" t="n">
        <f aca="false">IFERROR(U732/P732,0)</f>
        <v>0.311984640135993</v>
      </c>
      <c r="W732" s="48" t="n">
        <f aca="false">B732+INDEX(Parametros!$C$13:$C$16,MATCH($F732,Parametros!$A$13:$A$16,0))</f>
        <v>45969</v>
      </c>
      <c r="X732" s="31" t="s">
        <v>67</v>
      </c>
      <c r="Y732" s="53" t="n">
        <f aca="false">IF(COUNTIF($A$2:$A732,A732)=1,1,0)</f>
        <v>0</v>
      </c>
    </row>
    <row r="733" customFormat="false" ht="15" hidden="false" customHeight="false" outlineLevel="0" collapsed="false">
      <c r="A733" s="31" t="s">
        <v>629</v>
      </c>
      <c r="B733" s="36" t="n">
        <v>45910</v>
      </c>
      <c r="C733" s="49" t="n">
        <f aca="false">DATE(YEAR(B733),MONTH(B733),1)</f>
        <v>45901</v>
      </c>
      <c r="D733" s="31" t="s">
        <v>213</v>
      </c>
      <c r="E733" s="31" t="s">
        <v>42</v>
      </c>
      <c r="F733" s="31" t="s">
        <v>46</v>
      </c>
      <c r="G733" s="31" t="s">
        <v>61</v>
      </c>
      <c r="H733" s="31" t="s">
        <v>163</v>
      </c>
      <c r="I733" s="32" t="str">
        <f aca="false">INDEX(Productos!$B$2:$B$13,MATCH($H733,Productos!$A$2:$A$13,0))</f>
        <v>Tornillo DIN 933 M6x30 rosca completa zincado</v>
      </c>
      <c r="J733" s="32" t="str">
        <f aca="false">INDEX(Productos!$C$2:$C$13,MATCH($H733,Productos!$A$2:$A$13,0))</f>
        <v>Métrica</v>
      </c>
      <c r="K733" s="31" t="s">
        <v>246</v>
      </c>
      <c r="L733" s="46" t="n">
        <v>52</v>
      </c>
      <c r="M733" s="50" t="n">
        <f aca="false">INDEX(Productos!$F$2:$F$13,MATCH($H733,Productos!$A$2:$A$13,0))</f>
        <v>32</v>
      </c>
      <c r="N733" s="51" t="n">
        <v>0.102</v>
      </c>
      <c r="O733" s="52" t="n">
        <f aca="false">M733*(1-N733)</f>
        <v>28.736</v>
      </c>
      <c r="P733" s="21" t="n">
        <f aca="false">L733*O733</f>
        <v>1494.272</v>
      </c>
      <c r="Q733" s="50" t="n">
        <f aca="false">INDEX(Productos!$E$2:$E$13,MATCH($H733,Productos!$A$2:$A$13,0))*INDEX(Parametros!$B$26:$B$43,MATCH($C733,Parametros!$A$26:$A$43,0))</f>
        <v>16.7992</v>
      </c>
      <c r="R733" s="21" t="n">
        <f aca="false">L733*Q733</f>
        <v>873.5584</v>
      </c>
      <c r="S733" s="18" t="n">
        <f aca="false">L733*INDEX(Parametros!$B$20:$B$22,MATCH($E733,Parametros!$A$20:$A$22,0))</f>
        <v>124.8</v>
      </c>
      <c r="T733" s="18" t="n">
        <f aca="false">P733*INDEX(Parametros!$B$13:$B$16,MATCH($F733,Parametros!$A$13:$A$16,0))</f>
        <v>59.77088</v>
      </c>
      <c r="U733" s="21" t="n">
        <f aca="false">P733-R733-S733-T733</f>
        <v>436.14272</v>
      </c>
      <c r="V733" s="19" t="n">
        <f aca="false">IFERROR(U733/P733,0)</f>
        <v>0.291876391982183</v>
      </c>
      <c r="W733" s="48" t="n">
        <f aca="false">B733+INDEX(Parametros!$C$13:$C$16,MATCH($F733,Parametros!$A$13:$A$16,0))</f>
        <v>45985</v>
      </c>
      <c r="X733" s="31" t="s">
        <v>67</v>
      </c>
      <c r="Y733" s="53" t="n">
        <f aca="false">IF(COUNTIF($A$2:$A733,A733)=1,1,0)</f>
        <v>1</v>
      </c>
    </row>
    <row r="734" customFormat="false" ht="15" hidden="false" customHeight="false" outlineLevel="0" collapsed="false">
      <c r="A734" s="31" t="s">
        <v>630</v>
      </c>
      <c r="B734" s="36" t="n">
        <v>45910</v>
      </c>
      <c r="C734" s="49" t="n">
        <f aca="false">DATE(YEAR(B734),MONTH(B734),1)</f>
        <v>45901</v>
      </c>
      <c r="D734" s="31" t="s">
        <v>222</v>
      </c>
      <c r="E734" s="31" t="s">
        <v>43</v>
      </c>
      <c r="F734" s="31" t="s">
        <v>45</v>
      </c>
      <c r="G734" s="31" t="s">
        <v>59</v>
      </c>
      <c r="H734" s="31" t="s">
        <v>179</v>
      </c>
      <c r="I734" s="32" t="str">
        <f aca="false">INDEX(Productos!$B$2:$B$13,MATCH($H734,Productos!$A$2:$A$13,0))</f>
        <v>Autotaladrante DIN 7504 4,8x38 zincado</v>
      </c>
      <c r="J734" s="32" t="str">
        <f aca="false">INDEX(Productos!$C$2:$C$13,MATCH($H734,Productos!$A$2:$A$13,0))</f>
        <v>Autotaladrante</v>
      </c>
      <c r="K734" s="31" t="s">
        <v>246</v>
      </c>
      <c r="L734" s="46" t="n">
        <v>136</v>
      </c>
      <c r="M734" s="50" t="n">
        <f aca="false">INDEX(Productos!$F$2:$F$13,MATCH($H734,Productos!$A$2:$A$13,0))</f>
        <v>29.5</v>
      </c>
      <c r="N734" s="51" t="n">
        <v>0.153</v>
      </c>
      <c r="O734" s="52" t="n">
        <f aca="false">M734*(1-N734)</f>
        <v>24.9865</v>
      </c>
      <c r="P734" s="21" t="n">
        <f aca="false">L734*O734</f>
        <v>3398.164</v>
      </c>
      <c r="Q734" s="50" t="n">
        <f aca="false">INDEX(Productos!$E$2:$E$13,MATCH($H734,Productos!$A$2:$A$13,0))*INDEX(Parametros!$B$26:$B$43,MATCH($C734,Parametros!$A$26:$A$43,0))</f>
        <v>15.3824</v>
      </c>
      <c r="R734" s="21" t="n">
        <f aca="false">L734*Q734</f>
        <v>2092.0064</v>
      </c>
      <c r="S734" s="18" t="n">
        <f aca="false">L734*INDEX(Parametros!$B$20:$B$22,MATCH($E734,Parametros!$A$20:$A$22,0))</f>
        <v>258.4</v>
      </c>
      <c r="T734" s="18" t="n">
        <f aca="false">P734*INDEX(Parametros!$B$13:$B$16,MATCH($F734,Parametros!$A$13:$A$16,0))</f>
        <v>101.94492</v>
      </c>
      <c r="U734" s="21" t="n">
        <f aca="false">P734-R734-S734-T734</f>
        <v>945.81268</v>
      </c>
      <c r="V734" s="19" t="n">
        <f aca="false">IFERROR(U734/P734,0)</f>
        <v>0.278330498469173</v>
      </c>
      <c r="W734" s="48" t="n">
        <f aca="false">B734+INDEX(Parametros!$C$13:$C$16,MATCH($F734,Parametros!$A$13:$A$16,0))</f>
        <v>45970</v>
      </c>
      <c r="X734" s="31" t="s">
        <v>67</v>
      </c>
      <c r="Y734" s="53" t="n">
        <f aca="false">IF(COUNTIF($A$2:$A734,A734)=1,1,0)</f>
        <v>1</v>
      </c>
    </row>
    <row r="735" customFormat="false" ht="15" hidden="false" customHeight="false" outlineLevel="0" collapsed="false">
      <c r="A735" s="31" t="s">
        <v>630</v>
      </c>
      <c r="B735" s="36" t="n">
        <v>45910</v>
      </c>
      <c r="C735" s="49" t="n">
        <f aca="false">DATE(YEAR(B735),MONTH(B735),1)</f>
        <v>45901</v>
      </c>
      <c r="D735" s="31" t="s">
        <v>222</v>
      </c>
      <c r="E735" s="31" t="s">
        <v>43</v>
      </c>
      <c r="F735" s="31" t="s">
        <v>45</v>
      </c>
      <c r="G735" s="31" t="s">
        <v>59</v>
      </c>
      <c r="H735" s="31" t="s">
        <v>177</v>
      </c>
      <c r="I735" s="32" t="str">
        <f aca="false">INDEX(Productos!$B$2:$B$13,MATCH($H735,Productos!$A$2:$A$13,0))</f>
        <v>Tirafondo madera 6x100 cabeza plana Torx</v>
      </c>
      <c r="J735" s="32" t="str">
        <f aca="false">INDEX(Productos!$C$2:$C$13,MATCH($H735,Productos!$A$2:$A$13,0))</f>
        <v>Madera</v>
      </c>
      <c r="K735" s="31" t="s">
        <v>246</v>
      </c>
      <c r="L735" s="46" t="n">
        <v>100</v>
      </c>
      <c r="M735" s="50" t="n">
        <f aca="false">INDEX(Productos!$F$2:$F$13,MATCH($H735,Productos!$A$2:$A$13,0))</f>
        <v>34</v>
      </c>
      <c r="N735" s="51" t="n">
        <v>0.217</v>
      </c>
      <c r="O735" s="52" t="n">
        <f aca="false">M735*(1-N735)</f>
        <v>26.622</v>
      </c>
      <c r="P735" s="21" t="n">
        <f aca="false">L735*O735</f>
        <v>2662.2</v>
      </c>
      <c r="Q735" s="50" t="n">
        <f aca="false">INDEX(Productos!$E$2:$E$13,MATCH($H735,Productos!$A$2:$A$13,0))*INDEX(Parametros!$B$26:$B$43,MATCH($C735,Parametros!$A$26:$A$43,0))</f>
        <v>18.0136</v>
      </c>
      <c r="R735" s="21" t="n">
        <f aca="false">L735*Q735</f>
        <v>1801.36</v>
      </c>
      <c r="S735" s="18" t="n">
        <f aca="false">L735*INDEX(Parametros!$B$20:$B$22,MATCH($E735,Parametros!$A$20:$A$22,0))</f>
        <v>190</v>
      </c>
      <c r="T735" s="18" t="n">
        <f aca="false">P735*INDEX(Parametros!$B$13:$B$16,MATCH($F735,Parametros!$A$13:$A$16,0))</f>
        <v>79.866</v>
      </c>
      <c r="U735" s="21" t="n">
        <f aca="false">P735-R735-S735-T735</f>
        <v>590.974</v>
      </c>
      <c r="V735" s="19" t="n">
        <f aca="false">IFERROR(U735/P735,0)</f>
        <v>0.221987078356247</v>
      </c>
      <c r="W735" s="48" t="n">
        <f aca="false">B735+INDEX(Parametros!$C$13:$C$16,MATCH($F735,Parametros!$A$13:$A$16,0))</f>
        <v>45970</v>
      </c>
      <c r="X735" s="31" t="s">
        <v>67</v>
      </c>
      <c r="Y735" s="53" t="n">
        <f aca="false">IF(COUNTIF($A$2:$A735,A735)=1,1,0)</f>
        <v>0</v>
      </c>
    </row>
    <row r="736" customFormat="false" ht="15" hidden="false" customHeight="false" outlineLevel="0" collapsed="false">
      <c r="A736" s="31" t="s">
        <v>630</v>
      </c>
      <c r="B736" s="36" t="n">
        <v>45910</v>
      </c>
      <c r="C736" s="49" t="n">
        <f aca="false">DATE(YEAR(B736),MONTH(B736),1)</f>
        <v>45901</v>
      </c>
      <c r="D736" s="31" t="s">
        <v>222</v>
      </c>
      <c r="E736" s="31" t="s">
        <v>43</v>
      </c>
      <c r="F736" s="31" t="s">
        <v>45</v>
      </c>
      <c r="G736" s="31" t="s">
        <v>59</v>
      </c>
      <c r="H736" s="31" t="s">
        <v>167</v>
      </c>
      <c r="I736" s="32" t="str">
        <f aca="false">INDEX(Productos!$B$2:$B$13,MATCH($H736,Productos!$A$2:$A$13,0))</f>
        <v>Tornillo DIN 912 M6x25 Allen zincado</v>
      </c>
      <c r="J736" s="32" t="str">
        <f aca="false">INDEX(Productos!$C$2:$C$13,MATCH($H736,Productos!$A$2:$A$13,0))</f>
        <v>Métrica</v>
      </c>
      <c r="K736" s="31" t="s">
        <v>246</v>
      </c>
      <c r="L736" s="46" t="n">
        <v>34</v>
      </c>
      <c r="M736" s="50" t="n">
        <f aca="false">INDEX(Productos!$F$2:$F$13,MATCH($H736,Productos!$A$2:$A$13,0))</f>
        <v>42</v>
      </c>
      <c r="N736" s="51" t="n">
        <v>0.202</v>
      </c>
      <c r="O736" s="52" t="n">
        <f aca="false">M736*(1-N736)</f>
        <v>33.516</v>
      </c>
      <c r="P736" s="21" t="n">
        <f aca="false">L736*O736</f>
        <v>1139.544</v>
      </c>
      <c r="Q736" s="50" t="n">
        <f aca="false">INDEX(Productos!$E$2:$E$13,MATCH($H736,Productos!$A$2:$A$13,0))*INDEX(Parametros!$B$26:$B$43,MATCH($C736,Parametros!$A$26:$A$43,0))</f>
        <v>22.0616</v>
      </c>
      <c r="R736" s="21" t="n">
        <f aca="false">L736*Q736</f>
        <v>750.0944</v>
      </c>
      <c r="S736" s="18" t="n">
        <f aca="false">L736*INDEX(Parametros!$B$20:$B$22,MATCH($E736,Parametros!$A$20:$A$22,0))</f>
        <v>64.6</v>
      </c>
      <c r="T736" s="18" t="n">
        <f aca="false">P736*INDEX(Parametros!$B$13:$B$16,MATCH($F736,Parametros!$A$13:$A$16,0))</f>
        <v>34.18632</v>
      </c>
      <c r="U736" s="21" t="n">
        <f aca="false">P736-R736-S736-T736</f>
        <v>290.66328</v>
      </c>
      <c r="V736" s="19" t="n">
        <f aca="false">IFERROR(U736/P736,0)</f>
        <v>0.255069817400644</v>
      </c>
      <c r="W736" s="48" t="n">
        <f aca="false">B736+INDEX(Parametros!$C$13:$C$16,MATCH($F736,Parametros!$A$13:$A$16,0))</f>
        <v>45970</v>
      </c>
      <c r="X736" s="31" t="s">
        <v>67</v>
      </c>
      <c r="Y736" s="53" t="n">
        <f aca="false">IF(COUNTIF($A$2:$A736,A736)=1,1,0)</f>
        <v>0</v>
      </c>
    </row>
    <row r="737" customFormat="false" ht="15" hidden="false" customHeight="false" outlineLevel="0" collapsed="false">
      <c r="A737" s="31" t="s">
        <v>631</v>
      </c>
      <c r="B737" s="36" t="n">
        <v>45911</v>
      </c>
      <c r="C737" s="49" t="n">
        <f aca="false">DATE(YEAR(B737),MONTH(B737),1)</f>
        <v>45901</v>
      </c>
      <c r="D737" s="31" t="s">
        <v>214</v>
      </c>
      <c r="E737" s="31" t="s">
        <v>42</v>
      </c>
      <c r="F737" s="31" t="s">
        <v>46</v>
      </c>
      <c r="G737" s="31" t="s">
        <v>61</v>
      </c>
      <c r="H737" s="31" t="s">
        <v>179</v>
      </c>
      <c r="I737" s="32" t="str">
        <f aca="false">INDEX(Productos!$B$2:$B$13,MATCH($H737,Productos!$A$2:$A$13,0))</f>
        <v>Autotaladrante DIN 7504 4,8x38 zincado</v>
      </c>
      <c r="J737" s="32" t="str">
        <f aca="false">INDEX(Productos!$C$2:$C$13,MATCH($H737,Productos!$A$2:$A$13,0))</f>
        <v>Autotaladrante</v>
      </c>
      <c r="K737" s="31" t="s">
        <v>246</v>
      </c>
      <c r="L737" s="46" t="n">
        <v>116</v>
      </c>
      <c r="M737" s="50" t="n">
        <f aca="false">INDEX(Productos!$F$2:$F$13,MATCH($H737,Productos!$A$2:$A$13,0))</f>
        <v>29.5</v>
      </c>
      <c r="N737" s="51" t="n">
        <v>0.084</v>
      </c>
      <c r="O737" s="52" t="n">
        <f aca="false">M737*(1-N737)</f>
        <v>27.022</v>
      </c>
      <c r="P737" s="21" t="n">
        <f aca="false">L737*O737</f>
        <v>3134.552</v>
      </c>
      <c r="Q737" s="50" t="n">
        <f aca="false">INDEX(Productos!$E$2:$E$13,MATCH($H737,Productos!$A$2:$A$13,0))*INDEX(Parametros!$B$26:$B$43,MATCH($C737,Parametros!$A$26:$A$43,0))</f>
        <v>15.3824</v>
      </c>
      <c r="R737" s="21" t="n">
        <f aca="false">L737*Q737</f>
        <v>1784.3584</v>
      </c>
      <c r="S737" s="18" t="n">
        <f aca="false">L737*INDEX(Parametros!$B$20:$B$22,MATCH($E737,Parametros!$A$20:$A$22,0))</f>
        <v>278.4</v>
      </c>
      <c r="T737" s="18" t="n">
        <f aca="false">P737*INDEX(Parametros!$B$13:$B$16,MATCH($F737,Parametros!$A$13:$A$16,0))</f>
        <v>125.38208</v>
      </c>
      <c r="U737" s="21" t="n">
        <f aca="false">P737-R737-S737-T737</f>
        <v>946.411520000001</v>
      </c>
      <c r="V737" s="19" t="n">
        <f aca="false">IFERROR(U737/P737,0)</f>
        <v>0.301928798756569</v>
      </c>
      <c r="W737" s="48" t="n">
        <f aca="false">B737+INDEX(Parametros!$C$13:$C$16,MATCH($F737,Parametros!$A$13:$A$16,0))</f>
        <v>45986</v>
      </c>
      <c r="X737" s="31" t="s">
        <v>67</v>
      </c>
      <c r="Y737" s="53" t="n">
        <f aca="false">IF(COUNTIF($A$2:$A737,A737)=1,1,0)</f>
        <v>1</v>
      </c>
    </row>
    <row r="738" customFormat="false" ht="15" hidden="false" customHeight="false" outlineLevel="0" collapsed="false">
      <c r="A738" s="31" t="s">
        <v>632</v>
      </c>
      <c r="B738" s="36" t="n">
        <v>45912</v>
      </c>
      <c r="C738" s="49" t="n">
        <f aca="false">DATE(YEAR(B738),MONTH(B738),1)</f>
        <v>45901</v>
      </c>
      <c r="D738" s="31" t="s">
        <v>210</v>
      </c>
      <c r="E738" s="31" t="s">
        <v>41</v>
      </c>
      <c r="F738" s="31" t="s">
        <v>48</v>
      </c>
      <c r="G738" s="31" t="s">
        <v>60</v>
      </c>
      <c r="H738" s="31" t="s">
        <v>163</v>
      </c>
      <c r="I738" s="32" t="str">
        <f aca="false">INDEX(Productos!$B$2:$B$13,MATCH($H738,Productos!$A$2:$A$13,0))</f>
        <v>Tornillo DIN 933 M6x30 rosca completa zincado</v>
      </c>
      <c r="J738" s="32" t="str">
        <f aca="false">INDEX(Productos!$C$2:$C$13,MATCH($H738,Productos!$A$2:$A$13,0))</f>
        <v>Métrica</v>
      </c>
      <c r="K738" s="31" t="s">
        <v>246</v>
      </c>
      <c r="L738" s="46" t="n">
        <v>4</v>
      </c>
      <c r="M738" s="50" t="n">
        <f aca="false">INDEX(Productos!$F$2:$F$13,MATCH($H738,Productos!$A$2:$A$13,0))</f>
        <v>32</v>
      </c>
      <c r="N738" s="51" t="n">
        <v>0.006</v>
      </c>
      <c r="O738" s="52" t="n">
        <f aca="false">M738*(1-N738)</f>
        <v>31.808</v>
      </c>
      <c r="P738" s="21" t="n">
        <f aca="false">L738*O738</f>
        <v>127.232</v>
      </c>
      <c r="Q738" s="50" t="n">
        <f aca="false">INDEX(Productos!$E$2:$E$13,MATCH($H738,Productos!$A$2:$A$13,0))*INDEX(Parametros!$B$26:$B$43,MATCH($C738,Parametros!$A$26:$A$43,0))</f>
        <v>16.7992</v>
      </c>
      <c r="R738" s="21" t="n">
        <f aca="false">L738*Q738</f>
        <v>67.1968</v>
      </c>
      <c r="S738" s="18" t="n">
        <f aca="false">L738*INDEX(Parametros!$B$20:$B$22,MATCH($E738,Parametros!$A$20:$A$22,0))</f>
        <v>3.4</v>
      </c>
      <c r="T738" s="18" t="n">
        <f aca="false">P738*INDEX(Parametros!$B$13:$B$16,MATCH($F738,Parametros!$A$13:$A$16,0))</f>
        <v>1.27232</v>
      </c>
      <c r="U738" s="21" t="n">
        <f aca="false">P738-R738-S738-T738</f>
        <v>55.36288</v>
      </c>
      <c r="V738" s="19" t="n">
        <f aca="false">IFERROR(U738/P738,0)</f>
        <v>0.435133299798793</v>
      </c>
      <c r="W738" s="48" t="n">
        <f aca="false">B738+INDEX(Parametros!$C$13:$C$16,MATCH($F738,Parametros!$A$13:$A$16,0))</f>
        <v>45912</v>
      </c>
      <c r="X738" s="31" t="s">
        <v>67</v>
      </c>
      <c r="Y738" s="53" t="n">
        <f aca="false">IF(COUNTIF($A$2:$A738,A738)=1,1,0)</f>
        <v>1</v>
      </c>
    </row>
    <row r="739" customFormat="false" ht="15" hidden="false" customHeight="false" outlineLevel="0" collapsed="false">
      <c r="A739" s="31" t="s">
        <v>633</v>
      </c>
      <c r="B739" s="36" t="n">
        <v>45912</v>
      </c>
      <c r="C739" s="49" t="n">
        <f aca="false">DATE(YEAR(B739),MONTH(B739),1)</f>
        <v>45901</v>
      </c>
      <c r="D739" s="31" t="s">
        <v>219</v>
      </c>
      <c r="E739" s="31" t="s">
        <v>42</v>
      </c>
      <c r="F739" s="31" t="s">
        <v>45</v>
      </c>
      <c r="G739" s="31" t="s">
        <v>61</v>
      </c>
      <c r="H739" s="31" t="s">
        <v>181</v>
      </c>
      <c r="I739" s="32" t="str">
        <f aca="false">INDEX(Productos!$B$2:$B$13,MATCH($H739,Productos!$A$2:$A$13,0))</f>
        <v>Autotaladrante 5,5x55 punta broca</v>
      </c>
      <c r="J739" s="32" t="str">
        <f aca="false">INDEX(Productos!$C$2:$C$13,MATCH($H739,Productos!$A$2:$A$13,0))</f>
        <v>Autotaladrante</v>
      </c>
      <c r="K739" s="31" t="s">
        <v>246</v>
      </c>
      <c r="L739" s="46" t="n">
        <v>131</v>
      </c>
      <c r="M739" s="50" t="n">
        <f aca="false">INDEX(Productos!$F$2:$F$13,MATCH($H739,Productos!$A$2:$A$13,0))</f>
        <v>39</v>
      </c>
      <c r="N739" s="51" t="n">
        <v>0.137</v>
      </c>
      <c r="O739" s="52" t="n">
        <f aca="false">M739*(1-N739)</f>
        <v>33.657</v>
      </c>
      <c r="P739" s="21" t="n">
        <f aca="false">L739*O739</f>
        <v>4409.067</v>
      </c>
      <c r="Q739" s="50" t="n">
        <f aca="false">INDEX(Productos!$E$2:$E$13,MATCH($H739,Productos!$A$2:$A$13,0))*INDEX(Parametros!$B$26:$B$43,MATCH($C739,Parametros!$A$26:$A$43,0))</f>
        <v>20.5436</v>
      </c>
      <c r="R739" s="21" t="n">
        <f aca="false">L739*Q739</f>
        <v>2691.2116</v>
      </c>
      <c r="S739" s="18" t="n">
        <f aca="false">L739*INDEX(Parametros!$B$20:$B$22,MATCH($E739,Parametros!$A$20:$A$22,0))</f>
        <v>314.4</v>
      </c>
      <c r="T739" s="18" t="n">
        <f aca="false">P739*INDEX(Parametros!$B$13:$B$16,MATCH($F739,Parametros!$A$13:$A$16,0))</f>
        <v>132.27201</v>
      </c>
      <c r="U739" s="21" t="n">
        <f aca="false">P739-R739-S739-T739</f>
        <v>1271.18339</v>
      </c>
      <c r="V739" s="19" t="n">
        <f aca="false">IFERROR(U739/P739,0)</f>
        <v>0.288311198264848</v>
      </c>
      <c r="W739" s="48" t="n">
        <f aca="false">B739+INDEX(Parametros!$C$13:$C$16,MATCH($F739,Parametros!$A$13:$A$16,0))</f>
        <v>45972</v>
      </c>
      <c r="X739" s="31" t="s">
        <v>67</v>
      </c>
      <c r="Y739" s="53" t="n">
        <f aca="false">IF(COUNTIF($A$2:$A739,A739)=1,1,0)</f>
        <v>1</v>
      </c>
    </row>
    <row r="740" customFormat="false" ht="15" hidden="false" customHeight="false" outlineLevel="0" collapsed="false">
      <c r="A740" s="31" t="s">
        <v>634</v>
      </c>
      <c r="B740" s="36" t="n">
        <v>45912</v>
      </c>
      <c r="C740" s="49" t="n">
        <f aca="false">DATE(YEAR(B740),MONTH(B740),1)</f>
        <v>45901</v>
      </c>
      <c r="D740" s="31" t="s">
        <v>221</v>
      </c>
      <c r="E740" s="31" t="s">
        <v>43</v>
      </c>
      <c r="F740" s="31" t="s">
        <v>45</v>
      </c>
      <c r="G740" s="31" t="s">
        <v>59</v>
      </c>
      <c r="H740" s="31" t="s">
        <v>173</v>
      </c>
      <c r="I740" s="32" t="str">
        <f aca="false">INDEX(Productos!$B$2:$B$13,MATCH($H740,Productos!$A$2:$A$13,0))</f>
        <v>Tornillo DIN 933 M12x70 clase 8.8</v>
      </c>
      <c r="J740" s="32" t="str">
        <f aca="false">INDEX(Productos!$C$2:$C$13,MATCH($H740,Productos!$A$2:$A$13,0))</f>
        <v>Métrica</v>
      </c>
      <c r="K740" s="31" t="s">
        <v>246</v>
      </c>
      <c r="L740" s="46" t="n">
        <v>48</v>
      </c>
      <c r="M740" s="50" t="n">
        <f aca="false">INDEX(Productos!$F$2:$F$13,MATCH($H740,Productos!$A$2:$A$13,0))</f>
        <v>64</v>
      </c>
      <c r="N740" s="51" t="n">
        <v>0.202</v>
      </c>
      <c r="O740" s="52" t="n">
        <f aca="false">M740*(1-N740)</f>
        <v>51.072</v>
      </c>
      <c r="P740" s="21" t="n">
        <f aca="false">L740*O740</f>
        <v>2451.456</v>
      </c>
      <c r="Q740" s="50" t="n">
        <f aca="false">INDEX(Productos!$E$2:$E$13,MATCH($H740,Productos!$A$2:$A$13,0))*INDEX(Parametros!$B$26:$B$43,MATCH($C740,Parametros!$A$26:$A$43,0))</f>
        <v>33.902</v>
      </c>
      <c r="R740" s="21" t="n">
        <f aca="false">L740*Q740</f>
        <v>1627.296</v>
      </c>
      <c r="S740" s="18" t="n">
        <f aca="false">L740*INDEX(Parametros!$B$20:$B$22,MATCH($E740,Parametros!$A$20:$A$22,0))</f>
        <v>91.2</v>
      </c>
      <c r="T740" s="18" t="n">
        <f aca="false">P740*INDEX(Parametros!$B$13:$B$16,MATCH($F740,Parametros!$A$13:$A$16,0))</f>
        <v>73.54368</v>
      </c>
      <c r="U740" s="21" t="n">
        <f aca="false">P740-R740-S740-T740</f>
        <v>659.41632</v>
      </c>
      <c r="V740" s="19" t="n">
        <f aca="false">IFERROR(U740/P740,0)</f>
        <v>0.268989661654135</v>
      </c>
      <c r="W740" s="48" t="n">
        <f aca="false">B740+INDEX(Parametros!$C$13:$C$16,MATCH($F740,Parametros!$A$13:$A$16,0))</f>
        <v>45972</v>
      </c>
      <c r="X740" s="31" t="s">
        <v>67</v>
      </c>
      <c r="Y740" s="53" t="n">
        <f aca="false">IF(COUNTIF($A$2:$A740,A740)=1,1,0)</f>
        <v>1</v>
      </c>
    </row>
    <row r="741" customFormat="false" ht="15" hidden="false" customHeight="false" outlineLevel="0" collapsed="false">
      <c r="A741" s="31" t="s">
        <v>635</v>
      </c>
      <c r="B741" s="36" t="n">
        <v>45912</v>
      </c>
      <c r="C741" s="49" t="n">
        <f aca="false">DATE(YEAR(B741),MONTH(B741),1)</f>
        <v>45901</v>
      </c>
      <c r="D741" s="31" t="s">
        <v>215</v>
      </c>
      <c r="E741" s="31" t="s">
        <v>42</v>
      </c>
      <c r="F741" s="31" t="s">
        <v>46</v>
      </c>
      <c r="G741" s="31" t="s">
        <v>61</v>
      </c>
      <c r="H741" s="31" t="s">
        <v>175</v>
      </c>
      <c r="I741" s="32" t="str">
        <f aca="false">INDEX(Productos!$B$2:$B$13,MATCH($H741,Productos!$A$2:$A$13,0))</f>
        <v>Tirafondo madera 5x60 cabeza plana Torx</v>
      </c>
      <c r="J741" s="32" t="str">
        <f aca="false">INDEX(Productos!$C$2:$C$13,MATCH($H741,Productos!$A$2:$A$13,0))</f>
        <v>Madera</v>
      </c>
      <c r="K741" s="31" t="s">
        <v>246</v>
      </c>
      <c r="L741" s="46" t="n">
        <v>144</v>
      </c>
      <c r="M741" s="50" t="n">
        <f aca="false">INDEX(Productos!$F$2:$F$13,MATCH($H741,Productos!$A$2:$A$13,0))</f>
        <v>26</v>
      </c>
      <c r="N741" s="51" t="n">
        <v>0.09</v>
      </c>
      <c r="O741" s="52" t="n">
        <f aca="false">M741*(1-N741)</f>
        <v>23.66</v>
      </c>
      <c r="P741" s="21" t="n">
        <f aca="false">L741*O741</f>
        <v>3407.04</v>
      </c>
      <c r="Q741" s="50" t="n">
        <f aca="false">INDEX(Productos!$E$2:$E$13,MATCH($H741,Productos!$A$2:$A$13,0))*INDEX(Parametros!$B$26:$B$43,MATCH($C741,Parametros!$A$26:$A$43,0))</f>
        <v>13.5608</v>
      </c>
      <c r="R741" s="21" t="n">
        <f aca="false">L741*Q741</f>
        <v>1952.7552</v>
      </c>
      <c r="S741" s="18" t="n">
        <f aca="false">L741*INDEX(Parametros!$B$20:$B$22,MATCH($E741,Parametros!$A$20:$A$22,0))</f>
        <v>345.6</v>
      </c>
      <c r="T741" s="18" t="n">
        <f aca="false">P741*INDEX(Parametros!$B$13:$B$16,MATCH($F741,Parametros!$A$13:$A$16,0))</f>
        <v>136.2816</v>
      </c>
      <c r="U741" s="21" t="n">
        <f aca="false">P741-R741-S741-T741</f>
        <v>972.4032</v>
      </c>
      <c r="V741" s="19" t="n">
        <f aca="false">IFERROR(U741/P741,0)</f>
        <v>0.285409974640744</v>
      </c>
      <c r="W741" s="48" t="n">
        <f aca="false">B741+INDEX(Parametros!$C$13:$C$16,MATCH($F741,Parametros!$A$13:$A$16,0))</f>
        <v>45987</v>
      </c>
      <c r="X741" s="31" t="s">
        <v>67</v>
      </c>
      <c r="Y741" s="53" t="n">
        <f aca="false">IF(COUNTIF($A$2:$A741,A741)=1,1,0)</f>
        <v>1</v>
      </c>
    </row>
    <row r="742" customFormat="false" ht="15" hidden="false" customHeight="false" outlineLevel="0" collapsed="false">
      <c r="A742" s="31" t="s">
        <v>636</v>
      </c>
      <c r="B742" s="36" t="n">
        <v>45912</v>
      </c>
      <c r="C742" s="49" t="n">
        <f aca="false">DATE(YEAR(B742),MONTH(B742),1)</f>
        <v>45901</v>
      </c>
      <c r="D742" s="31" t="s">
        <v>192</v>
      </c>
      <c r="E742" s="31" t="s">
        <v>41</v>
      </c>
      <c r="F742" s="31" t="s">
        <v>45</v>
      </c>
      <c r="G742" s="31" t="s">
        <v>58</v>
      </c>
      <c r="H742" s="31" t="s">
        <v>169</v>
      </c>
      <c r="I742" s="32" t="str">
        <f aca="false">INDEX(Productos!$B$2:$B$13,MATCH($H742,Productos!$A$2:$A$13,0))</f>
        <v>Tornillo DIN 912 M10x60 Allen inox A2</v>
      </c>
      <c r="J742" s="32" t="str">
        <f aca="false">INDEX(Productos!$C$2:$C$13,MATCH($H742,Productos!$A$2:$A$13,0))</f>
        <v>Inoxidable</v>
      </c>
      <c r="K742" s="31" t="s">
        <v>246</v>
      </c>
      <c r="L742" s="46" t="n">
        <v>135</v>
      </c>
      <c r="M742" s="50" t="n">
        <f aca="false">INDEX(Productos!$F$2:$F$13,MATCH($H742,Productos!$A$2:$A$13,0))</f>
        <v>79</v>
      </c>
      <c r="N742" s="51" t="n">
        <v>0.208</v>
      </c>
      <c r="O742" s="52" t="n">
        <f aca="false">M742*(1-N742)</f>
        <v>62.568</v>
      </c>
      <c r="P742" s="21" t="n">
        <f aca="false">L742*O742</f>
        <v>8446.68</v>
      </c>
      <c r="Q742" s="50" t="n">
        <f aca="false">INDEX(Productos!$E$2:$E$13,MATCH($H742,Productos!$A$2:$A$13,0))*INDEX(Parametros!$B$26:$B$43,MATCH($C742,Parametros!$A$26:$A$43,0))</f>
        <v>42.504</v>
      </c>
      <c r="R742" s="21" t="n">
        <f aca="false">L742*Q742</f>
        <v>5738.04</v>
      </c>
      <c r="S742" s="18" t="n">
        <f aca="false">L742*INDEX(Parametros!$B$20:$B$22,MATCH($E742,Parametros!$A$20:$A$22,0))</f>
        <v>114.75</v>
      </c>
      <c r="T742" s="18" t="n">
        <f aca="false">P742*INDEX(Parametros!$B$13:$B$16,MATCH($F742,Parametros!$A$13:$A$16,0))</f>
        <v>253.4004</v>
      </c>
      <c r="U742" s="21" t="n">
        <f aca="false">P742-R742-S742-T742</f>
        <v>2340.4896</v>
      </c>
      <c r="V742" s="19" t="n">
        <f aca="false">IFERROR(U742/P742,0)</f>
        <v>0.27708988620381</v>
      </c>
      <c r="W742" s="48" t="n">
        <f aca="false">B742+INDEX(Parametros!$C$13:$C$16,MATCH($F742,Parametros!$A$13:$A$16,0))</f>
        <v>45972</v>
      </c>
      <c r="X742" s="31" t="s">
        <v>67</v>
      </c>
      <c r="Y742" s="53" t="n">
        <f aca="false">IF(COUNTIF($A$2:$A742,A742)=1,1,0)</f>
        <v>1</v>
      </c>
    </row>
    <row r="743" customFormat="false" ht="15" hidden="false" customHeight="false" outlineLevel="0" collapsed="false">
      <c r="A743" s="31" t="s">
        <v>637</v>
      </c>
      <c r="B743" s="36" t="n">
        <v>45915</v>
      </c>
      <c r="C743" s="49" t="n">
        <f aca="false">DATE(YEAR(B743),MONTH(B743),1)</f>
        <v>45901</v>
      </c>
      <c r="D743" s="31" t="s">
        <v>192</v>
      </c>
      <c r="E743" s="31" t="s">
        <v>41</v>
      </c>
      <c r="F743" s="31" t="s">
        <v>45</v>
      </c>
      <c r="G743" s="31" t="s">
        <v>58</v>
      </c>
      <c r="H743" s="31" t="s">
        <v>181</v>
      </c>
      <c r="I743" s="32" t="str">
        <f aca="false">INDEX(Productos!$B$2:$B$13,MATCH($H743,Productos!$A$2:$A$13,0))</f>
        <v>Autotaladrante 5,5x55 punta broca</v>
      </c>
      <c r="J743" s="32" t="str">
        <f aca="false">INDEX(Productos!$C$2:$C$13,MATCH($H743,Productos!$A$2:$A$13,0))</f>
        <v>Autotaladrante</v>
      </c>
      <c r="K743" s="31" t="s">
        <v>246</v>
      </c>
      <c r="L743" s="46" t="n">
        <v>27</v>
      </c>
      <c r="M743" s="50" t="n">
        <f aca="false">INDEX(Productos!$F$2:$F$13,MATCH($H743,Productos!$A$2:$A$13,0))</f>
        <v>39</v>
      </c>
      <c r="N743" s="51" t="n">
        <v>0.188</v>
      </c>
      <c r="O743" s="52" t="n">
        <f aca="false">M743*(1-N743)</f>
        <v>31.668</v>
      </c>
      <c r="P743" s="21" t="n">
        <f aca="false">L743*O743</f>
        <v>855.036</v>
      </c>
      <c r="Q743" s="50" t="n">
        <f aca="false">INDEX(Productos!$E$2:$E$13,MATCH($H743,Productos!$A$2:$A$13,0))*INDEX(Parametros!$B$26:$B$43,MATCH($C743,Parametros!$A$26:$A$43,0))</f>
        <v>20.5436</v>
      </c>
      <c r="R743" s="21" t="n">
        <f aca="false">L743*Q743</f>
        <v>554.6772</v>
      </c>
      <c r="S743" s="18" t="n">
        <f aca="false">L743*INDEX(Parametros!$B$20:$B$22,MATCH($E743,Parametros!$A$20:$A$22,0))</f>
        <v>22.95</v>
      </c>
      <c r="T743" s="18" t="n">
        <f aca="false">P743*INDEX(Parametros!$B$13:$B$16,MATCH($F743,Parametros!$A$13:$A$16,0))</f>
        <v>25.65108</v>
      </c>
      <c r="U743" s="21" t="n">
        <f aca="false">P743-R743-S743-T743</f>
        <v>251.75772</v>
      </c>
      <c r="V743" s="19" t="n">
        <f aca="false">IFERROR(U743/P743,0)</f>
        <v>0.294441076165214</v>
      </c>
      <c r="W743" s="48" t="n">
        <f aca="false">B743+INDEX(Parametros!$C$13:$C$16,MATCH($F743,Parametros!$A$13:$A$16,0))</f>
        <v>45975</v>
      </c>
      <c r="X743" s="31" t="s">
        <v>67</v>
      </c>
      <c r="Y743" s="53" t="n">
        <f aca="false">IF(COUNTIF($A$2:$A743,A743)=1,1,0)</f>
        <v>1</v>
      </c>
    </row>
    <row r="744" customFormat="false" ht="15" hidden="false" customHeight="false" outlineLevel="0" collapsed="false">
      <c r="A744" s="31" t="s">
        <v>638</v>
      </c>
      <c r="B744" s="36" t="n">
        <v>45915</v>
      </c>
      <c r="C744" s="49" t="n">
        <f aca="false">DATE(YEAR(B744),MONTH(B744),1)</f>
        <v>45901</v>
      </c>
      <c r="D744" s="31" t="s">
        <v>215</v>
      </c>
      <c r="E744" s="31" t="s">
        <v>42</v>
      </c>
      <c r="F744" s="31" t="s">
        <v>46</v>
      </c>
      <c r="G744" s="31" t="s">
        <v>61</v>
      </c>
      <c r="H744" s="31" t="s">
        <v>173</v>
      </c>
      <c r="I744" s="32" t="str">
        <f aca="false">INDEX(Productos!$B$2:$B$13,MATCH($H744,Productos!$A$2:$A$13,0))</f>
        <v>Tornillo DIN 933 M12x70 clase 8.8</v>
      </c>
      <c r="J744" s="32" t="str">
        <f aca="false">INDEX(Productos!$C$2:$C$13,MATCH($H744,Productos!$A$2:$A$13,0))</f>
        <v>Métrica</v>
      </c>
      <c r="K744" s="31" t="s">
        <v>246</v>
      </c>
      <c r="L744" s="46" t="n">
        <v>47</v>
      </c>
      <c r="M744" s="50" t="n">
        <f aca="false">INDEX(Productos!$F$2:$F$13,MATCH($H744,Productos!$A$2:$A$13,0))</f>
        <v>64</v>
      </c>
      <c r="N744" s="51" t="n">
        <v>0.14</v>
      </c>
      <c r="O744" s="52" t="n">
        <f aca="false">M744*(1-N744)</f>
        <v>55.04</v>
      </c>
      <c r="P744" s="21" t="n">
        <f aca="false">L744*O744</f>
        <v>2586.88</v>
      </c>
      <c r="Q744" s="50" t="n">
        <f aca="false">INDEX(Productos!$E$2:$E$13,MATCH($H744,Productos!$A$2:$A$13,0))*INDEX(Parametros!$B$26:$B$43,MATCH($C744,Parametros!$A$26:$A$43,0))</f>
        <v>33.902</v>
      </c>
      <c r="R744" s="21" t="n">
        <f aca="false">L744*Q744</f>
        <v>1593.394</v>
      </c>
      <c r="S744" s="18" t="n">
        <f aca="false">L744*INDEX(Parametros!$B$20:$B$22,MATCH($E744,Parametros!$A$20:$A$22,0))</f>
        <v>112.8</v>
      </c>
      <c r="T744" s="18" t="n">
        <f aca="false">P744*INDEX(Parametros!$B$13:$B$16,MATCH($F744,Parametros!$A$13:$A$16,0))</f>
        <v>103.4752</v>
      </c>
      <c r="U744" s="21" t="n">
        <f aca="false">P744-R744-S744-T744</f>
        <v>777.2108</v>
      </c>
      <c r="V744" s="19" t="n">
        <f aca="false">IFERROR(U744/P744,0)</f>
        <v>0.300443313953488</v>
      </c>
      <c r="W744" s="48" t="n">
        <f aca="false">B744+INDEX(Parametros!$C$13:$C$16,MATCH($F744,Parametros!$A$13:$A$16,0))</f>
        <v>45990</v>
      </c>
      <c r="X744" s="31" t="s">
        <v>67</v>
      </c>
      <c r="Y744" s="53" t="n">
        <f aca="false">IF(COUNTIF($A$2:$A744,A744)=1,1,0)</f>
        <v>1</v>
      </c>
    </row>
    <row r="745" customFormat="false" ht="15" hidden="false" customHeight="false" outlineLevel="0" collapsed="false">
      <c r="A745" s="31" t="s">
        <v>639</v>
      </c>
      <c r="B745" s="36" t="n">
        <v>45915</v>
      </c>
      <c r="C745" s="49" t="n">
        <f aca="false">DATE(YEAR(B745),MONTH(B745),1)</f>
        <v>45901</v>
      </c>
      <c r="D745" s="31" t="s">
        <v>213</v>
      </c>
      <c r="E745" s="31" t="s">
        <v>42</v>
      </c>
      <c r="F745" s="31" t="s">
        <v>46</v>
      </c>
      <c r="G745" s="31" t="s">
        <v>61</v>
      </c>
      <c r="H745" s="31" t="s">
        <v>171</v>
      </c>
      <c r="I745" s="32" t="str">
        <f aca="false">INDEX(Productos!$B$2:$B$13,MATCH($H745,Productos!$A$2:$A$13,0))</f>
        <v>Tornillo DIN 7991 M8x30 avellanado inox A2</v>
      </c>
      <c r="J745" s="32" t="str">
        <f aca="false">INDEX(Productos!$C$2:$C$13,MATCH($H745,Productos!$A$2:$A$13,0))</f>
        <v>Inoxidable</v>
      </c>
      <c r="K745" s="31" t="s">
        <v>246</v>
      </c>
      <c r="L745" s="46" t="n">
        <v>88</v>
      </c>
      <c r="M745" s="50" t="n">
        <f aca="false">INDEX(Productos!$F$2:$F$13,MATCH($H745,Productos!$A$2:$A$13,0))</f>
        <v>88</v>
      </c>
      <c r="N745" s="51" t="n">
        <v>0.118</v>
      </c>
      <c r="O745" s="52" t="n">
        <f aca="false">M745*(1-N745)</f>
        <v>77.616</v>
      </c>
      <c r="P745" s="21" t="n">
        <f aca="false">L745*O745</f>
        <v>6830.208</v>
      </c>
      <c r="Q745" s="50" t="n">
        <f aca="false">INDEX(Productos!$E$2:$E$13,MATCH($H745,Productos!$A$2:$A$13,0))*INDEX(Parametros!$B$26:$B$43,MATCH($C745,Parametros!$A$26:$A$43,0))</f>
        <v>47.058</v>
      </c>
      <c r="R745" s="21" t="n">
        <f aca="false">L745*Q745</f>
        <v>4141.104</v>
      </c>
      <c r="S745" s="18" t="n">
        <f aca="false">L745*INDEX(Parametros!$B$20:$B$22,MATCH($E745,Parametros!$A$20:$A$22,0))</f>
        <v>211.2</v>
      </c>
      <c r="T745" s="18" t="n">
        <f aca="false">P745*INDEX(Parametros!$B$13:$B$16,MATCH($F745,Parametros!$A$13:$A$16,0))</f>
        <v>273.20832</v>
      </c>
      <c r="U745" s="21" t="n">
        <f aca="false">P745-R745-S745-T745</f>
        <v>2204.69568</v>
      </c>
      <c r="V745" s="19" t="n">
        <f aca="false">IFERROR(U745/P745,0)</f>
        <v>0.322786023500309</v>
      </c>
      <c r="W745" s="48" t="n">
        <f aca="false">B745+INDEX(Parametros!$C$13:$C$16,MATCH($F745,Parametros!$A$13:$A$16,0))</f>
        <v>45990</v>
      </c>
      <c r="X745" s="31" t="s">
        <v>67</v>
      </c>
      <c r="Y745" s="53" t="n">
        <f aca="false">IF(COUNTIF($A$2:$A745,A745)=1,1,0)</f>
        <v>1</v>
      </c>
    </row>
    <row r="746" customFormat="false" ht="15" hidden="false" customHeight="false" outlineLevel="0" collapsed="false">
      <c r="A746" s="31" t="s">
        <v>640</v>
      </c>
      <c r="B746" s="36" t="n">
        <v>45915</v>
      </c>
      <c r="C746" s="49" t="n">
        <f aca="false">DATE(YEAR(B746),MONTH(B746),1)</f>
        <v>45901</v>
      </c>
      <c r="D746" s="31" t="s">
        <v>203</v>
      </c>
      <c r="E746" s="31" t="s">
        <v>41</v>
      </c>
      <c r="F746" s="31" t="s">
        <v>46</v>
      </c>
      <c r="G746" s="31" t="s">
        <v>58</v>
      </c>
      <c r="H746" s="31" t="s">
        <v>167</v>
      </c>
      <c r="I746" s="32" t="str">
        <f aca="false">INDEX(Productos!$B$2:$B$13,MATCH($H746,Productos!$A$2:$A$13,0))</f>
        <v>Tornillo DIN 912 M6x25 Allen zincado</v>
      </c>
      <c r="J746" s="32" t="str">
        <f aca="false">INDEX(Productos!$C$2:$C$13,MATCH($H746,Productos!$A$2:$A$13,0))</f>
        <v>Métrica</v>
      </c>
      <c r="K746" s="31" t="s">
        <v>246</v>
      </c>
      <c r="L746" s="46" t="n">
        <v>58</v>
      </c>
      <c r="M746" s="50" t="n">
        <f aca="false">INDEX(Productos!$F$2:$F$13,MATCH($H746,Productos!$A$2:$A$13,0))</f>
        <v>42</v>
      </c>
      <c r="N746" s="51" t="n">
        <v>0.099</v>
      </c>
      <c r="O746" s="52" t="n">
        <f aca="false">M746*(1-N746)</f>
        <v>37.842</v>
      </c>
      <c r="P746" s="21" t="n">
        <f aca="false">L746*O746</f>
        <v>2194.836</v>
      </c>
      <c r="Q746" s="50" t="n">
        <f aca="false">INDEX(Productos!$E$2:$E$13,MATCH($H746,Productos!$A$2:$A$13,0))*INDEX(Parametros!$B$26:$B$43,MATCH($C746,Parametros!$A$26:$A$43,0))</f>
        <v>22.0616</v>
      </c>
      <c r="R746" s="21" t="n">
        <f aca="false">L746*Q746</f>
        <v>1279.5728</v>
      </c>
      <c r="S746" s="18" t="n">
        <f aca="false">L746*INDEX(Parametros!$B$20:$B$22,MATCH($E746,Parametros!$A$20:$A$22,0))</f>
        <v>49.3</v>
      </c>
      <c r="T746" s="18" t="n">
        <f aca="false">P746*INDEX(Parametros!$B$13:$B$16,MATCH($F746,Parametros!$A$13:$A$16,0))</f>
        <v>87.79344</v>
      </c>
      <c r="U746" s="21" t="n">
        <f aca="false">P746-R746-S746-T746</f>
        <v>778.16976</v>
      </c>
      <c r="V746" s="19" t="n">
        <f aca="false">IFERROR(U746/P746,0)</f>
        <v>0.354545742825432</v>
      </c>
      <c r="W746" s="48" t="n">
        <f aca="false">B746+INDEX(Parametros!$C$13:$C$16,MATCH($F746,Parametros!$A$13:$A$16,0))</f>
        <v>45990</v>
      </c>
      <c r="X746" s="31" t="s">
        <v>67</v>
      </c>
      <c r="Y746" s="53" t="n">
        <f aca="false">IF(COUNTIF($A$2:$A746,A746)=1,1,0)</f>
        <v>1</v>
      </c>
    </row>
    <row r="747" customFormat="false" ht="15" hidden="false" customHeight="false" outlineLevel="0" collapsed="false">
      <c r="A747" s="31" t="s">
        <v>641</v>
      </c>
      <c r="B747" s="36" t="n">
        <v>45915</v>
      </c>
      <c r="C747" s="49" t="n">
        <f aca="false">DATE(YEAR(B747),MONTH(B747),1)</f>
        <v>45901</v>
      </c>
      <c r="D747" s="31" t="s">
        <v>227</v>
      </c>
      <c r="E747" s="31" t="s">
        <v>43</v>
      </c>
      <c r="F747" s="31" t="s">
        <v>46</v>
      </c>
      <c r="G747" s="31" t="s">
        <v>59</v>
      </c>
      <c r="H747" s="31" t="s">
        <v>175</v>
      </c>
      <c r="I747" s="32" t="str">
        <f aca="false">INDEX(Productos!$B$2:$B$13,MATCH($H747,Productos!$A$2:$A$13,0))</f>
        <v>Tirafondo madera 5x60 cabeza plana Torx</v>
      </c>
      <c r="J747" s="32" t="str">
        <f aca="false">INDEX(Productos!$C$2:$C$13,MATCH($H747,Productos!$A$2:$A$13,0))</f>
        <v>Madera</v>
      </c>
      <c r="K747" s="31" t="s">
        <v>246</v>
      </c>
      <c r="L747" s="46" t="n">
        <v>45</v>
      </c>
      <c r="M747" s="50" t="n">
        <f aca="false">INDEX(Productos!$F$2:$F$13,MATCH($H747,Productos!$A$2:$A$13,0))</f>
        <v>26</v>
      </c>
      <c r="N747" s="51" t="n">
        <v>0.132</v>
      </c>
      <c r="O747" s="52" t="n">
        <f aca="false">M747*(1-N747)</f>
        <v>22.568</v>
      </c>
      <c r="P747" s="21" t="n">
        <f aca="false">L747*O747</f>
        <v>1015.56</v>
      </c>
      <c r="Q747" s="50" t="n">
        <f aca="false">INDEX(Productos!$E$2:$E$13,MATCH($H747,Productos!$A$2:$A$13,0))*INDEX(Parametros!$B$26:$B$43,MATCH($C747,Parametros!$A$26:$A$43,0))</f>
        <v>13.5608</v>
      </c>
      <c r="R747" s="21" t="n">
        <f aca="false">L747*Q747</f>
        <v>610.236</v>
      </c>
      <c r="S747" s="18" t="n">
        <f aca="false">L747*INDEX(Parametros!$B$20:$B$22,MATCH($E747,Parametros!$A$20:$A$22,0))</f>
        <v>85.5</v>
      </c>
      <c r="T747" s="18" t="n">
        <f aca="false">P747*INDEX(Parametros!$B$13:$B$16,MATCH($F747,Parametros!$A$13:$A$16,0))</f>
        <v>40.6224</v>
      </c>
      <c r="U747" s="21" t="n">
        <f aca="false">P747-R747-S747-T747</f>
        <v>279.2016</v>
      </c>
      <c r="V747" s="19" t="n">
        <f aca="false">IFERROR(U747/P747,0)</f>
        <v>0.274923785891528</v>
      </c>
      <c r="W747" s="48" t="n">
        <f aca="false">B747+INDEX(Parametros!$C$13:$C$16,MATCH($F747,Parametros!$A$13:$A$16,0))</f>
        <v>45990</v>
      </c>
      <c r="X747" s="31" t="s">
        <v>67</v>
      </c>
      <c r="Y747" s="53" t="n">
        <f aca="false">IF(COUNTIF($A$2:$A747,A747)=1,1,0)</f>
        <v>1</v>
      </c>
    </row>
    <row r="748" customFormat="false" ht="15" hidden="false" customHeight="false" outlineLevel="0" collapsed="false">
      <c r="A748" s="31" t="s">
        <v>642</v>
      </c>
      <c r="B748" s="36" t="n">
        <v>45916</v>
      </c>
      <c r="C748" s="49" t="n">
        <f aca="false">DATE(YEAR(B748),MONTH(B748),1)</f>
        <v>45901</v>
      </c>
      <c r="D748" s="31" t="s">
        <v>195</v>
      </c>
      <c r="E748" s="31" t="s">
        <v>41</v>
      </c>
      <c r="F748" s="31" t="s">
        <v>45</v>
      </c>
      <c r="G748" s="31" t="s">
        <v>58</v>
      </c>
      <c r="H748" s="31" t="s">
        <v>165</v>
      </c>
      <c r="I748" s="32" t="str">
        <f aca="false">INDEX(Productos!$B$2:$B$13,MATCH($H748,Productos!$A$2:$A$13,0))</f>
        <v>Tornillo DIN 933 M8x40 rosca completa zincado</v>
      </c>
      <c r="J748" s="32" t="str">
        <f aca="false">INDEX(Productos!$C$2:$C$13,MATCH($H748,Productos!$A$2:$A$13,0))</f>
        <v>Métrica</v>
      </c>
      <c r="K748" s="31" t="s">
        <v>246</v>
      </c>
      <c r="L748" s="46" t="n">
        <v>124</v>
      </c>
      <c r="M748" s="50" t="n">
        <f aca="false">INDEX(Productos!$F$2:$F$13,MATCH($H748,Productos!$A$2:$A$13,0))</f>
        <v>37.5</v>
      </c>
      <c r="N748" s="51" t="n">
        <v>0.141</v>
      </c>
      <c r="O748" s="52" t="n">
        <f aca="false">M748*(1-N748)</f>
        <v>32.2125</v>
      </c>
      <c r="P748" s="21" t="n">
        <f aca="false">L748*O748</f>
        <v>3994.35</v>
      </c>
      <c r="Q748" s="50" t="n">
        <f aca="false">INDEX(Productos!$E$2:$E$13,MATCH($H748,Productos!$A$2:$A$13,0))*INDEX(Parametros!$B$26:$B$43,MATCH($C748,Parametros!$A$26:$A$43,0))</f>
        <v>19.6328</v>
      </c>
      <c r="R748" s="21" t="n">
        <f aca="false">L748*Q748</f>
        <v>2434.4672</v>
      </c>
      <c r="S748" s="18" t="n">
        <f aca="false">L748*INDEX(Parametros!$B$20:$B$22,MATCH($E748,Parametros!$A$20:$A$22,0))</f>
        <v>105.4</v>
      </c>
      <c r="T748" s="18" t="n">
        <f aca="false">P748*INDEX(Parametros!$B$13:$B$16,MATCH($F748,Parametros!$A$13:$A$16,0))</f>
        <v>119.8305</v>
      </c>
      <c r="U748" s="21" t="n">
        <f aca="false">P748-R748-S748-T748</f>
        <v>1334.6523</v>
      </c>
      <c r="V748" s="19" t="n">
        <f aca="false">IFERROR(U748/P748,0)</f>
        <v>0.334135040745052</v>
      </c>
      <c r="W748" s="48" t="n">
        <f aca="false">B748+INDEX(Parametros!$C$13:$C$16,MATCH($F748,Parametros!$A$13:$A$16,0))</f>
        <v>45976</v>
      </c>
      <c r="X748" s="31" t="s">
        <v>67</v>
      </c>
      <c r="Y748" s="53" t="n">
        <f aca="false">IF(COUNTIF($A$2:$A748,A748)=1,1,0)</f>
        <v>1</v>
      </c>
    </row>
    <row r="749" customFormat="false" ht="15" hidden="false" customHeight="false" outlineLevel="0" collapsed="false">
      <c r="A749" s="31" t="s">
        <v>642</v>
      </c>
      <c r="B749" s="36" t="n">
        <v>45916</v>
      </c>
      <c r="C749" s="49" t="n">
        <f aca="false">DATE(YEAR(B749),MONTH(B749),1)</f>
        <v>45901</v>
      </c>
      <c r="D749" s="31" t="s">
        <v>195</v>
      </c>
      <c r="E749" s="31" t="s">
        <v>41</v>
      </c>
      <c r="F749" s="31" t="s">
        <v>45</v>
      </c>
      <c r="G749" s="31" t="s">
        <v>58</v>
      </c>
      <c r="H749" s="31" t="s">
        <v>181</v>
      </c>
      <c r="I749" s="32" t="str">
        <f aca="false">INDEX(Productos!$B$2:$B$13,MATCH($H749,Productos!$A$2:$A$13,0))</f>
        <v>Autotaladrante 5,5x55 punta broca</v>
      </c>
      <c r="J749" s="32" t="str">
        <f aca="false">INDEX(Productos!$C$2:$C$13,MATCH($H749,Productos!$A$2:$A$13,0))</f>
        <v>Autotaladrante</v>
      </c>
      <c r="K749" s="31" t="s">
        <v>246</v>
      </c>
      <c r="L749" s="46" t="n">
        <v>143</v>
      </c>
      <c r="M749" s="50" t="n">
        <f aca="false">INDEX(Productos!$F$2:$F$13,MATCH($H749,Productos!$A$2:$A$13,0))</f>
        <v>39</v>
      </c>
      <c r="N749" s="51" t="n">
        <v>0.147</v>
      </c>
      <c r="O749" s="52" t="n">
        <f aca="false">M749*(1-N749)</f>
        <v>33.267</v>
      </c>
      <c r="P749" s="21" t="n">
        <f aca="false">L749*O749</f>
        <v>4757.181</v>
      </c>
      <c r="Q749" s="50" t="n">
        <f aca="false">INDEX(Productos!$E$2:$E$13,MATCH($H749,Productos!$A$2:$A$13,0))*INDEX(Parametros!$B$26:$B$43,MATCH($C749,Parametros!$A$26:$A$43,0))</f>
        <v>20.5436</v>
      </c>
      <c r="R749" s="21" t="n">
        <f aca="false">L749*Q749</f>
        <v>2937.7348</v>
      </c>
      <c r="S749" s="18" t="n">
        <f aca="false">L749*INDEX(Parametros!$B$20:$B$22,MATCH($E749,Parametros!$A$20:$A$22,0))</f>
        <v>121.55</v>
      </c>
      <c r="T749" s="18" t="n">
        <f aca="false">P749*INDEX(Parametros!$B$13:$B$16,MATCH($F749,Parametros!$A$13:$A$16,0))</f>
        <v>142.71543</v>
      </c>
      <c r="U749" s="21" t="n">
        <f aca="false">P749-R749-S749-T749</f>
        <v>1555.18077</v>
      </c>
      <c r="V749" s="19" t="n">
        <f aca="false">IFERROR(U749/P749,0)</f>
        <v>0.326912255388223</v>
      </c>
      <c r="W749" s="48" t="n">
        <f aca="false">B749+INDEX(Parametros!$C$13:$C$16,MATCH($F749,Parametros!$A$13:$A$16,0))</f>
        <v>45976</v>
      </c>
      <c r="X749" s="31" t="s">
        <v>67</v>
      </c>
      <c r="Y749" s="53" t="n">
        <f aca="false">IF(COUNTIF($A$2:$A749,A749)=1,1,0)</f>
        <v>0</v>
      </c>
    </row>
    <row r="750" customFormat="false" ht="15" hidden="false" customHeight="false" outlineLevel="0" collapsed="false">
      <c r="A750" s="31" t="s">
        <v>643</v>
      </c>
      <c r="B750" s="36" t="n">
        <v>45916</v>
      </c>
      <c r="C750" s="49" t="n">
        <f aca="false">DATE(YEAR(B750),MONTH(B750),1)</f>
        <v>45901</v>
      </c>
      <c r="D750" s="31" t="s">
        <v>199</v>
      </c>
      <c r="E750" s="31" t="s">
        <v>41</v>
      </c>
      <c r="F750" s="31" t="s">
        <v>45</v>
      </c>
      <c r="G750" s="31" t="s">
        <v>58</v>
      </c>
      <c r="H750" s="31" t="s">
        <v>165</v>
      </c>
      <c r="I750" s="32" t="str">
        <f aca="false">INDEX(Productos!$B$2:$B$13,MATCH($H750,Productos!$A$2:$A$13,0))</f>
        <v>Tornillo DIN 933 M8x40 rosca completa zincado</v>
      </c>
      <c r="J750" s="32" t="str">
        <f aca="false">INDEX(Productos!$C$2:$C$13,MATCH($H750,Productos!$A$2:$A$13,0))</f>
        <v>Métrica</v>
      </c>
      <c r="K750" s="31" t="s">
        <v>246</v>
      </c>
      <c r="L750" s="46" t="n">
        <v>246</v>
      </c>
      <c r="M750" s="50" t="n">
        <f aca="false">INDEX(Productos!$F$2:$F$13,MATCH($H750,Productos!$A$2:$A$13,0))</f>
        <v>37.5</v>
      </c>
      <c r="N750" s="51" t="n">
        <v>0.164</v>
      </c>
      <c r="O750" s="52" t="n">
        <f aca="false">M750*(1-N750)</f>
        <v>31.35</v>
      </c>
      <c r="P750" s="21" t="n">
        <f aca="false">L750*O750</f>
        <v>7712.1</v>
      </c>
      <c r="Q750" s="50" t="n">
        <f aca="false">INDEX(Productos!$E$2:$E$13,MATCH($H750,Productos!$A$2:$A$13,0))*INDEX(Parametros!$B$26:$B$43,MATCH($C750,Parametros!$A$26:$A$43,0))</f>
        <v>19.6328</v>
      </c>
      <c r="R750" s="21" t="n">
        <f aca="false">L750*Q750</f>
        <v>4829.6688</v>
      </c>
      <c r="S750" s="18" t="n">
        <f aca="false">L750*INDEX(Parametros!$B$20:$B$22,MATCH($E750,Parametros!$A$20:$A$22,0))</f>
        <v>209.1</v>
      </c>
      <c r="T750" s="18" t="n">
        <f aca="false">P750*INDEX(Parametros!$B$13:$B$16,MATCH($F750,Parametros!$A$13:$A$16,0))</f>
        <v>231.363</v>
      </c>
      <c r="U750" s="21" t="n">
        <f aca="false">P750-R750-S750-T750</f>
        <v>2441.9682</v>
      </c>
      <c r="V750" s="19" t="n">
        <f aca="false">IFERROR(U750/P750,0)</f>
        <v>0.316641148325359</v>
      </c>
      <c r="W750" s="48" t="n">
        <f aca="false">B750+INDEX(Parametros!$C$13:$C$16,MATCH($F750,Parametros!$A$13:$A$16,0))</f>
        <v>45976</v>
      </c>
      <c r="X750" s="31" t="s">
        <v>67</v>
      </c>
      <c r="Y750" s="53" t="n">
        <f aca="false">IF(COUNTIF($A$2:$A750,A750)=1,1,0)</f>
        <v>1</v>
      </c>
    </row>
    <row r="751" customFormat="false" ht="15" hidden="false" customHeight="false" outlineLevel="0" collapsed="false">
      <c r="A751" s="31" t="s">
        <v>644</v>
      </c>
      <c r="B751" s="36" t="n">
        <v>45916</v>
      </c>
      <c r="C751" s="49" t="n">
        <f aca="false">DATE(YEAR(B751),MONTH(B751),1)</f>
        <v>45901</v>
      </c>
      <c r="D751" s="31" t="s">
        <v>216</v>
      </c>
      <c r="E751" s="31" t="s">
        <v>42</v>
      </c>
      <c r="F751" s="31" t="s">
        <v>45</v>
      </c>
      <c r="G751" s="31" t="s">
        <v>61</v>
      </c>
      <c r="H751" s="31" t="s">
        <v>181</v>
      </c>
      <c r="I751" s="32" t="str">
        <f aca="false">INDEX(Productos!$B$2:$B$13,MATCH($H751,Productos!$A$2:$A$13,0))</f>
        <v>Autotaladrante 5,5x55 punta broca</v>
      </c>
      <c r="J751" s="32" t="str">
        <f aca="false">INDEX(Productos!$C$2:$C$13,MATCH($H751,Productos!$A$2:$A$13,0))</f>
        <v>Autotaladrante</v>
      </c>
      <c r="K751" s="31" t="s">
        <v>246</v>
      </c>
      <c r="L751" s="46" t="n">
        <v>52</v>
      </c>
      <c r="M751" s="50" t="n">
        <f aca="false">INDEX(Productos!$F$2:$F$13,MATCH($H751,Productos!$A$2:$A$13,0))</f>
        <v>39</v>
      </c>
      <c r="N751" s="51" t="n">
        <v>0.15</v>
      </c>
      <c r="O751" s="52" t="n">
        <f aca="false">M751*(1-N751)</f>
        <v>33.15</v>
      </c>
      <c r="P751" s="21" t="n">
        <f aca="false">L751*O751</f>
        <v>1723.8</v>
      </c>
      <c r="Q751" s="50" t="n">
        <f aca="false">INDEX(Productos!$E$2:$E$13,MATCH($H751,Productos!$A$2:$A$13,0))*INDEX(Parametros!$B$26:$B$43,MATCH($C751,Parametros!$A$26:$A$43,0))</f>
        <v>20.5436</v>
      </c>
      <c r="R751" s="21" t="n">
        <f aca="false">L751*Q751</f>
        <v>1068.2672</v>
      </c>
      <c r="S751" s="18" t="n">
        <f aca="false">L751*INDEX(Parametros!$B$20:$B$22,MATCH($E751,Parametros!$A$20:$A$22,0))</f>
        <v>124.8</v>
      </c>
      <c r="T751" s="18" t="n">
        <f aca="false">P751*INDEX(Parametros!$B$13:$B$16,MATCH($F751,Parametros!$A$13:$A$16,0))</f>
        <v>51.714</v>
      </c>
      <c r="U751" s="21" t="n">
        <f aca="false">P751-R751-S751-T751</f>
        <v>479.0188</v>
      </c>
      <c r="V751" s="19" t="n">
        <f aca="false">IFERROR(U751/P751,0)</f>
        <v>0.277885369532428</v>
      </c>
      <c r="W751" s="48" t="n">
        <f aca="false">B751+INDEX(Parametros!$C$13:$C$16,MATCH($F751,Parametros!$A$13:$A$16,0))</f>
        <v>45976</v>
      </c>
      <c r="X751" s="31" t="s">
        <v>67</v>
      </c>
      <c r="Y751" s="53" t="n">
        <f aca="false">IF(COUNTIF($A$2:$A751,A751)=1,1,0)</f>
        <v>1</v>
      </c>
    </row>
    <row r="752" customFormat="false" ht="15" hidden="false" customHeight="false" outlineLevel="0" collapsed="false">
      <c r="A752" s="31" t="s">
        <v>645</v>
      </c>
      <c r="B752" s="36" t="n">
        <v>45916</v>
      </c>
      <c r="C752" s="49" t="n">
        <f aca="false">DATE(YEAR(B752),MONTH(B752),1)</f>
        <v>45901</v>
      </c>
      <c r="D752" s="31" t="s">
        <v>223</v>
      </c>
      <c r="E752" s="31" t="s">
        <v>43</v>
      </c>
      <c r="F752" s="31" t="s">
        <v>46</v>
      </c>
      <c r="G752" s="31" t="s">
        <v>59</v>
      </c>
      <c r="H752" s="31" t="s">
        <v>167</v>
      </c>
      <c r="I752" s="32" t="str">
        <f aca="false">INDEX(Productos!$B$2:$B$13,MATCH($H752,Productos!$A$2:$A$13,0))</f>
        <v>Tornillo DIN 912 M6x25 Allen zincado</v>
      </c>
      <c r="J752" s="32" t="str">
        <f aca="false">INDEX(Productos!$C$2:$C$13,MATCH($H752,Productos!$A$2:$A$13,0))</f>
        <v>Métrica</v>
      </c>
      <c r="K752" s="31" t="s">
        <v>246</v>
      </c>
      <c r="L752" s="46" t="n">
        <v>130</v>
      </c>
      <c r="M752" s="50" t="n">
        <f aca="false">INDEX(Productos!$F$2:$F$13,MATCH($H752,Productos!$A$2:$A$13,0))</f>
        <v>42</v>
      </c>
      <c r="N752" s="51" t="n">
        <v>0.174</v>
      </c>
      <c r="O752" s="52" t="n">
        <f aca="false">M752*(1-N752)</f>
        <v>34.692</v>
      </c>
      <c r="P752" s="21" t="n">
        <f aca="false">L752*O752</f>
        <v>4509.96</v>
      </c>
      <c r="Q752" s="50" t="n">
        <f aca="false">INDEX(Productos!$E$2:$E$13,MATCH($H752,Productos!$A$2:$A$13,0))*INDEX(Parametros!$B$26:$B$43,MATCH($C752,Parametros!$A$26:$A$43,0))</f>
        <v>22.0616</v>
      </c>
      <c r="R752" s="21" t="n">
        <f aca="false">L752*Q752</f>
        <v>2868.008</v>
      </c>
      <c r="S752" s="18" t="n">
        <f aca="false">L752*INDEX(Parametros!$B$20:$B$22,MATCH($E752,Parametros!$A$20:$A$22,0))</f>
        <v>247</v>
      </c>
      <c r="T752" s="18" t="n">
        <f aca="false">P752*INDEX(Parametros!$B$13:$B$16,MATCH($F752,Parametros!$A$13:$A$16,0))</f>
        <v>180.3984</v>
      </c>
      <c r="U752" s="21" t="n">
        <f aca="false">P752-R752-S752-T752</f>
        <v>1214.5536</v>
      </c>
      <c r="V752" s="19" t="n">
        <f aca="false">IFERROR(U752/P752,0)</f>
        <v>0.26930473884469</v>
      </c>
      <c r="W752" s="48" t="n">
        <f aca="false">B752+INDEX(Parametros!$C$13:$C$16,MATCH($F752,Parametros!$A$13:$A$16,0))</f>
        <v>45991</v>
      </c>
      <c r="X752" s="31" t="s">
        <v>69</v>
      </c>
      <c r="Y752" s="53" t="n">
        <f aca="false">IF(COUNTIF($A$2:$A752,A752)=1,1,0)</f>
        <v>1</v>
      </c>
    </row>
    <row r="753" customFormat="false" ht="15" hidden="false" customHeight="false" outlineLevel="0" collapsed="false">
      <c r="A753" s="31" t="s">
        <v>646</v>
      </c>
      <c r="B753" s="36" t="n">
        <v>45917</v>
      </c>
      <c r="C753" s="49" t="n">
        <f aca="false">DATE(YEAR(B753),MONTH(B753),1)</f>
        <v>45901</v>
      </c>
      <c r="D753" s="31" t="s">
        <v>216</v>
      </c>
      <c r="E753" s="31" t="s">
        <v>42</v>
      </c>
      <c r="F753" s="31" t="s">
        <v>45</v>
      </c>
      <c r="G753" s="31" t="s">
        <v>61</v>
      </c>
      <c r="H753" s="31" t="s">
        <v>171</v>
      </c>
      <c r="I753" s="32" t="str">
        <f aca="false">INDEX(Productos!$B$2:$B$13,MATCH($H753,Productos!$A$2:$A$13,0))</f>
        <v>Tornillo DIN 7991 M8x30 avellanado inox A2</v>
      </c>
      <c r="J753" s="32" t="str">
        <f aca="false">INDEX(Productos!$C$2:$C$13,MATCH($H753,Productos!$A$2:$A$13,0))</f>
        <v>Inoxidable</v>
      </c>
      <c r="K753" s="31" t="s">
        <v>246</v>
      </c>
      <c r="L753" s="46" t="n">
        <v>270</v>
      </c>
      <c r="M753" s="50" t="n">
        <f aca="false">INDEX(Productos!$F$2:$F$13,MATCH($H753,Productos!$A$2:$A$13,0))</f>
        <v>88</v>
      </c>
      <c r="N753" s="51" t="n">
        <v>0.189</v>
      </c>
      <c r="O753" s="52" t="n">
        <f aca="false">M753*(1-N753)</f>
        <v>71.368</v>
      </c>
      <c r="P753" s="21" t="n">
        <f aca="false">L753*O753</f>
        <v>19269.36</v>
      </c>
      <c r="Q753" s="50" t="n">
        <f aca="false">INDEX(Productos!$E$2:$E$13,MATCH($H753,Productos!$A$2:$A$13,0))*INDEX(Parametros!$B$26:$B$43,MATCH($C753,Parametros!$A$26:$A$43,0))</f>
        <v>47.058</v>
      </c>
      <c r="R753" s="21" t="n">
        <f aca="false">L753*Q753</f>
        <v>12705.66</v>
      </c>
      <c r="S753" s="18" t="n">
        <f aca="false">L753*INDEX(Parametros!$B$20:$B$22,MATCH($E753,Parametros!$A$20:$A$22,0))</f>
        <v>648</v>
      </c>
      <c r="T753" s="18" t="n">
        <f aca="false">P753*INDEX(Parametros!$B$13:$B$16,MATCH($F753,Parametros!$A$13:$A$16,0))</f>
        <v>578.0808</v>
      </c>
      <c r="U753" s="21" t="n">
        <f aca="false">P753-R753-S753-T753</f>
        <v>5337.6192</v>
      </c>
      <c r="V753" s="19" t="n">
        <f aca="false">IFERROR(U753/P753,0)</f>
        <v>0.27700033628517</v>
      </c>
      <c r="W753" s="48" t="n">
        <f aca="false">B753+INDEX(Parametros!$C$13:$C$16,MATCH($F753,Parametros!$A$13:$A$16,0))</f>
        <v>45977</v>
      </c>
      <c r="X753" s="31" t="s">
        <v>67</v>
      </c>
      <c r="Y753" s="53" t="n">
        <f aca="false">IF(COUNTIF($A$2:$A753,A753)=1,1,0)</f>
        <v>1</v>
      </c>
    </row>
    <row r="754" customFormat="false" ht="15" hidden="false" customHeight="false" outlineLevel="0" collapsed="false">
      <c r="A754" s="31" t="s">
        <v>646</v>
      </c>
      <c r="B754" s="36" t="n">
        <v>45917</v>
      </c>
      <c r="C754" s="49" t="n">
        <f aca="false">DATE(YEAR(B754),MONTH(B754),1)</f>
        <v>45901</v>
      </c>
      <c r="D754" s="31" t="s">
        <v>216</v>
      </c>
      <c r="E754" s="31" t="s">
        <v>42</v>
      </c>
      <c r="F754" s="31" t="s">
        <v>45</v>
      </c>
      <c r="G754" s="31" t="s">
        <v>61</v>
      </c>
      <c r="H754" s="31" t="s">
        <v>177</v>
      </c>
      <c r="I754" s="32" t="str">
        <f aca="false">INDEX(Productos!$B$2:$B$13,MATCH($H754,Productos!$A$2:$A$13,0))</f>
        <v>Tirafondo madera 6x100 cabeza plana Torx</v>
      </c>
      <c r="J754" s="32" t="str">
        <f aca="false">INDEX(Productos!$C$2:$C$13,MATCH($H754,Productos!$A$2:$A$13,0))</f>
        <v>Madera</v>
      </c>
      <c r="K754" s="31" t="s">
        <v>246</v>
      </c>
      <c r="L754" s="46" t="n">
        <v>121</v>
      </c>
      <c r="M754" s="50" t="n">
        <f aca="false">INDEX(Productos!$F$2:$F$13,MATCH($H754,Productos!$A$2:$A$13,0))</f>
        <v>34</v>
      </c>
      <c r="N754" s="51" t="n">
        <v>0.19</v>
      </c>
      <c r="O754" s="52" t="n">
        <f aca="false">M754*(1-N754)</f>
        <v>27.54</v>
      </c>
      <c r="P754" s="21" t="n">
        <f aca="false">L754*O754</f>
        <v>3332.34</v>
      </c>
      <c r="Q754" s="50" t="n">
        <f aca="false">INDEX(Productos!$E$2:$E$13,MATCH($H754,Productos!$A$2:$A$13,0))*INDEX(Parametros!$B$26:$B$43,MATCH($C754,Parametros!$A$26:$A$43,0))</f>
        <v>18.0136</v>
      </c>
      <c r="R754" s="21" t="n">
        <f aca="false">L754*Q754</f>
        <v>2179.6456</v>
      </c>
      <c r="S754" s="18" t="n">
        <f aca="false">L754*INDEX(Parametros!$B$20:$B$22,MATCH($E754,Parametros!$A$20:$A$22,0))</f>
        <v>290.4</v>
      </c>
      <c r="T754" s="18" t="n">
        <f aca="false">P754*INDEX(Parametros!$B$13:$B$16,MATCH($F754,Parametros!$A$13:$A$16,0))</f>
        <v>99.9702</v>
      </c>
      <c r="U754" s="21" t="n">
        <f aca="false">P754-R754-S754-T754</f>
        <v>762.3242</v>
      </c>
      <c r="V754" s="19" t="n">
        <f aca="false">IFERROR(U754/P754,0)</f>
        <v>0.228765432098766</v>
      </c>
      <c r="W754" s="48" t="n">
        <f aca="false">B754+INDEX(Parametros!$C$13:$C$16,MATCH($F754,Parametros!$A$13:$A$16,0))</f>
        <v>45977</v>
      </c>
      <c r="X754" s="31" t="s">
        <v>67</v>
      </c>
      <c r="Y754" s="53" t="n">
        <f aca="false">IF(COUNTIF($A$2:$A754,A754)=1,1,0)</f>
        <v>0</v>
      </c>
    </row>
    <row r="755" customFormat="false" ht="15" hidden="false" customHeight="false" outlineLevel="0" collapsed="false">
      <c r="A755" s="31" t="s">
        <v>646</v>
      </c>
      <c r="B755" s="36" t="n">
        <v>45917</v>
      </c>
      <c r="C755" s="49" t="n">
        <f aca="false">DATE(YEAR(B755),MONTH(B755),1)</f>
        <v>45901</v>
      </c>
      <c r="D755" s="31" t="s">
        <v>216</v>
      </c>
      <c r="E755" s="31" t="s">
        <v>42</v>
      </c>
      <c r="F755" s="31" t="s">
        <v>45</v>
      </c>
      <c r="G755" s="31" t="s">
        <v>61</v>
      </c>
      <c r="H755" s="31" t="s">
        <v>183</v>
      </c>
      <c r="I755" s="32" t="str">
        <f aca="false">INDEX(Productos!$B$2:$B$13,MATCH($H755,Productos!$A$2:$A$13,0))</f>
        <v>Tornillo estructural M16x90 clase 10.9</v>
      </c>
      <c r="J755" s="32" t="str">
        <f aca="false">INDEX(Productos!$C$2:$C$13,MATCH($H755,Productos!$A$2:$A$13,0))</f>
        <v>Especial</v>
      </c>
      <c r="K755" s="31" t="s">
        <v>246</v>
      </c>
      <c r="L755" s="46" t="n">
        <v>87</v>
      </c>
      <c r="M755" s="50" t="n">
        <f aca="false">INDEX(Productos!$F$2:$F$13,MATCH($H755,Productos!$A$2:$A$13,0))</f>
        <v>112</v>
      </c>
      <c r="N755" s="51" t="n">
        <v>0.172</v>
      </c>
      <c r="O755" s="52" t="n">
        <f aca="false">M755*(1-N755)</f>
        <v>92.736</v>
      </c>
      <c r="P755" s="21" t="n">
        <f aca="false">L755*O755</f>
        <v>8068.032</v>
      </c>
      <c r="Q755" s="50" t="n">
        <f aca="false">INDEX(Productos!$E$2:$E$13,MATCH($H755,Productos!$A$2:$A$13,0))*INDEX(Parametros!$B$26:$B$43,MATCH($C755,Parametros!$A$26:$A$43,0))</f>
        <v>60.72</v>
      </c>
      <c r="R755" s="21" t="n">
        <f aca="false">L755*Q755</f>
        <v>5282.64</v>
      </c>
      <c r="S755" s="18" t="n">
        <f aca="false">L755*INDEX(Parametros!$B$20:$B$22,MATCH($E755,Parametros!$A$20:$A$22,0))</f>
        <v>208.8</v>
      </c>
      <c r="T755" s="18" t="n">
        <f aca="false">P755*INDEX(Parametros!$B$13:$B$16,MATCH($F755,Parametros!$A$13:$A$16,0))</f>
        <v>242.04096</v>
      </c>
      <c r="U755" s="21" t="n">
        <f aca="false">P755-R755-S755-T755</f>
        <v>2334.55104</v>
      </c>
      <c r="V755" s="19" t="n">
        <f aca="false">IFERROR(U755/P755,0)</f>
        <v>0.28935817805383</v>
      </c>
      <c r="W755" s="48" t="n">
        <f aca="false">B755+INDEX(Parametros!$C$13:$C$16,MATCH($F755,Parametros!$A$13:$A$16,0))</f>
        <v>45977</v>
      </c>
      <c r="X755" s="31" t="s">
        <v>67</v>
      </c>
      <c r="Y755" s="53" t="n">
        <f aca="false">IF(COUNTIF($A$2:$A755,A755)=1,1,0)</f>
        <v>0</v>
      </c>
    </row>
    <row r="756" customFormat="false" ht="15" hidden="false" customHeight="false" outlineLevel="0" collapsed="false">
      <c r="A756" s="31" t="s">
        <v>647</v>
      </c>
      <c r="B756" s="36" t="n">
        <v>45917</v>
      </c>
      <c r="C756" s="49" t="n">
        <f aca="false">DATE(YEAR(B756),MONTH(B756),1)</f>
        <v>45901</v>
      </c>
      <c r="D756" s="31" t="s">
        <v>202</v>
      </c>
      <c r="E756" s="31" t="s">
        <v>41</v>
      </c>
      <c r="F756" s="31" t="s">
        <v>46</v>
      </c>
      <c r="G756" s="31" t="s">
        <v>62</v>
      </c>
      <c r="H756" s="31" t="s">
        <v>177</v>
      </c>
      <c r="I756" s="32" t="str">
        <f aca="false">INDEX(Productos!$B$2:$B$13,MATCH($H756,Productos!$A$2:$A$13,0))</f>
        <v>Tirafondo madera 6x100 cabeza plana Torx</v>
      </c>
      <c r="J756" s="32" t="str">
        <f aca="false">INDEX(Productos!$C$2:$C$13,MATCH($H756,Productos!$A$2:$A$13,0))</f>
        <v>Madera</v>
      </c>
      <c r="K756" s="31" t="s">
        <v>246</v>
      </c>
      <c r="L756" s="46" t="n">
        <v>136</v>
      </c>
      <c r="M756" s="50" t="n">
        <f aca="false">INDEX(Productos!$F$2:$F$13,MATCH($H756,Productos!$A$2:$A$13,0))</f>
        <v>34</v>
      </c>
      <c r="N756" s="51" t="n">
        <v>0.178</v>
      </c>
      <c r="O756" s="52" t="n">
        <f aca="false">M756*(1-N756)</f>
        <v>27.948</v>
      </c>
      <c r="P756" s="21" t="n">
        <f aca="false">L756*O756</f>
        <v>3800.928</v>
      </c>
      <c r="Q756" s="50" t="n">
        <f aca="false">INDEX(Productos!$E$2:$E$13,MATCH($H756,Productos!$A$2:$A$13,0))*INDEX(Parametros!$B$26:$B$43,MATCH($C756,Parametros!$A$26:$A$43,0))</f>
        <v>18.0136</v>
      </c>
      <c r="R756" s="21" t="n">
        <f aca="false">L756*Q756</f>
        <v>2449.8496</v>
      </c>
      <c r="S756" s="18" t="n">
        <f aca="false">L756*INDEX(Parametros!$B$20:$B$22,MATCH($E756,Parametros!$A$20:$A$22,0))</f>
        <v>115.6</v>
      </c>
      <c r="T756" s="18" t="n">
        <f aca="false">P756*INDEX(Parametros!$B$13:$B$16,MATCH($F756,Parametros!$A$13:$A$16,0))</f>
        <v>152.03712</v>
      </c>
      <c r="U756" s="21" t="n">
        <f aca="false">P756-R756-S756-T756</f>
        <v>1083.44128</v>
      </c>
      <c r="V756" s="19" t="n">
        <f aca="false">IFERROR(U756/P756,0)</f>
        <v>0.285046514956348</v>
      </c>
      <c r="W756" s="48" t="n">
        <f aca="false">B756+INDEX(Parametros!$C$13:$C$16,MATCH($F756,Parametros!$A$13:$A$16,0))</f>
        <v>45992</v>
      </c>
      <c r="X756" s="31" t="s">
        <v>67</v>
      </c>
      <c r="Y756" s="53" t="n">
        <f aca="false">IF(COUNTIF($A$2:$A756,A756)=1,1,0)</f>
        <v>1</v>
      </c>
    </row>
    <row r="757" customFormat="false" ht="15" hidden="false" customHeight="false" outlineLevel="0" collapsed="false">
      <c r="A757" s="31" t="s">
        <v>647</v>
      </c>
      <c r="B757" s="36" t="n">
        <v>45917</v>
      </c>
      <c r="C757" s="49" t="n">
        <f aca="false">DATE(YEAR(B757),MONTH(B757),1)</f>
        <v>45901</v>
      </c>
      <c r="D757" s="31" t="s">
        <v>202</v>
      </c>
      <c r="E757" s="31" t="s">
        <v>41</v>
      </c>
      <c r="F757" s="31" t="s">
        <v>46</v>
      </c>
      <c r="G757" s="31" t="s">
        <v>62</v>
      </c>
      <c r="H757" s="31" t="s">
        <v>171</v>
      </c>
      <c r="I757" s="32" t="str">
        <f aca="false">INDEX(Productos!$B$2:$B$13,MATCH($H757,Productos!$A$2:$A$13,0))</f>
        <v>Tornillo DIN 7991 M8x30 avellanado inox A2</v>
      </c>
      <c r="J757" s="32" t="str">
        <f aca="false">INDEX(Productos!$C$2:$C$13,MATCH($H757,Productos!$A$2:$A$13,0))</f>
        <v>Inoxidable</v>
      </c>
      <c r="K757" s="31" t="s">
        <v>246</v>
      </c>
      <c r="L757" s="46" t="n">
        <v>46</v>
      </c>
      <c r="M757" s="50" t="n">
        <f aca="false">INDEX(Productos!$F$2:$F$13,MATCH($H757,Productos!$A$2:$A$13,0))</f>
        <v>88</v>
      </c>
      <c r="N757" s="51" t="n">
        <v>0.161</v>
      </c>
      <c r="O757" s="52" t="n">
        <f aca="false">M757*(1-N757)</f>
        <v>73.832</v>
      </c>
      <c r="P757" s="21" t="n">
        <f aca="false">L757*O757</f>
        <v>3396.272</v>
      </c>
      <c r="Q757" s="50" t="n">
        <f aca="false">INDEX(Productos!$E$2:$E$13,MATCH($H757,Productos!$A$2:$A$13,0))*INDEX(Parametros!$B$26:$B$43,MATCH($C757,Parametros!$A$26:$A$43,0))</f>
        <v>47.058</v>
      </c>
      <c r="R757" s="21" t="n">
        <f aca="false">L757*Q757</f>
        <v>2164.668</v>
      </c>
      <c r="S757" s="18" t="n">
        <f aca="false">L757*INDEX(Parametros!$B$20:$B$22,MATCH($E757,Parametros!$A$20:$A$22,0))</f>
        <v>39.1</v>
      </c>
      <c r="T757" s="18" t="n">
        <f aca="false">P757*INDEX(Parametros!$B$13:$B$16,MATCH($F757,Parametros!$A$13:$A$16,0))</f>
        <v>135.85088</v>
      </c>
      <c r="U757" s="21" t="n">
        <f aca="false">P757-R757-S757-T757</f>
        <v>1056.65312</v>
      </c>
      <c r="V757" s="19" t="n">
        <f aca="false">IFERROR(U757/P757,0)</f>
        <v>0.311121464947448</v>
      </c>
      <c r="W757" s="48" t="n">
        <f aca="false">B757+INDEX(Parametros!$C$13:$C$16,MATCH($F757,Parametros!$A$13:$A$16,0))</f>
        <v>45992</v>
      </c>
      <c r="X757" s="31" t="s">
        <v>67</v>
      </c>
      <c r="Y757" s="53" t="n">
        <f aca="false">IF(COUNTIF($A$2:$A757,A757)=1,1,0)</f>
        <v>0</v>
      </c>
    </row>
    <row r="758" customFormat="false" ht="15" hidden="false" customHeight="false" outlineLevel="0" collapsed="false">
      <c r="A758" s="31" t="s">
        <v>648</v>
      </c>
      <c r="B758" s="36" t="n">
        <v>45917</v>
      </c>
      <c r="C758" s="49" t="n">
        <f aca="false">DATE(YEAR(B758),MONTH(B758),1)</f>
        <v>45901</v>
      </c>
      <c r="D758" s="31" t="s">
        <v>200</v>
      </c>
      <c r="E758" s="31" t="s">
        <v>41</v>
      </c>
      <c r="F758" s="31" t="s">
        <v>45</v>
      </c>
      <c r="G758" s="31" t="s">
        <v>62</v>
      </c>
      <c r="H758" s="31" t="s">
        <v>171</v>
      </c>
      <c r="I758" s="32" t="str">
        <f aca="false">INDEX(Productos!$B$2:$B$13,MATCH($H758,Productos!$A$2:$A$13,0))</f>
        <v>Tornillo DIN 7991 M8x30 avellanado inox A2</v>
      </c>
      <c r="J758" s="32" t="str">
        <f aca="false">INDEX(Productos!$C$2:$C$13,MATCH($H758,Productos!$A$2:$A$13,0))</f>
        <v>Inoxidable</v>
      </c>
      <c r="K758" s="31" t="s">
        <v>246</v>
      </c>
      <c r="L758" s="46" t="n">
        <v>34</v>
      </c>
      <c r="M758" s="50" t="n">
        <f aca="false">INDEX(Productos!$F$2:$F$13,MATCH($H758,Productos!$A$2:$A$13,0))</f>
        <v>88</v>
      </c>
      <c r="N758" s="51" t="n">
        <v>0.166</v>
      </c>
      <c r="O758" s="52" t="n">
        <f aca="false">M758*(1-N758)</f>
        <v>73.392</v>
      </c>
      <c r="P758" s="21" t="n">
        <f aca="false">L758*O758</f>
        <v>2495.328</v>
      </c>
      <c r="Q758" s="50" t="n">
        <f aca="false">INDEX(Productos!$E$2:$E$13,MATCH($H758,Productos!$A$2:$A$13,0))*INDEX(Parametros!$B$26:$B$43,MATCH($C758,Parametros!$A$26:$A$43,0))</f>
        <v>47.058</v>
      </c>
      <c r="R758" s="21" t="n">
        <f aca="false">L758*Q758</f>
        <v>1599.972</v>
      </c>
      <c r="S758" s="18" t="n">
        <f aca="false">L758*INDEX(Parametros!$B$20:$B$22,MATCH($E758,Parametros!$A$20:$A$22,0))</f>
        <v>28.9</v>
      </c>
      <c r="T758" s="18" t="n">
        <f aca="false">P758*INDEX(Parametros!$B$13:$B$16,MATCH($F758,Parametros!$A$13:$A$16,0))</f>
        <v>74.85984</v>
      </c>
      <c r="U758" s="21" t="n">
        <f aca="false">P758-R758-S758-T758</f>
        <v>791.59616</v>
      </c>
      <c r="V758" s="19" t="n">
        <f aca="false">IFERROR(U758/P758,0)</f>
        <v>0.317231305864399</v>
      </c>
      <c r="W758" s="48" t="n">
        <f aca="false">B758+INDEX(Parametros!$C$13:$C$16,MATCH($F758,Parametros!$A$13:$A$16,0))</f>
        <v>45977</v>
      </c>
      <c r="X758" s="31" t="s">
        <v>67</v>
      </c>
      <c r="Y758" s="53" t="n">
        <f aca="false">IF(COUNTIF($A$2:$A758,A758)=1,1,0)</f>
        <v>1</v>
      </c>
    </row>
    <row r="759" customFormat="false" ht="15" hidden="false" customHeight="false" outlineLevel="0" collapsed="false">
      <c r="A759" s="31" t="s">
        <v>648</v>
      </c>
      <c r="B759" s="36" t="n">
        <v>45917</v>
      </c>
      <c r="C759" s="49" t="n">
        <f aca="false">DATE(YEAR(B759),MONTH(B759),1)</f>
        <v>45901</v>
      </c>
      <c r="D759" s="31" t="s">
        <v>200</v>
      </c>
      <c r="E759" s="31" t="s">
        <v>41</v>
      </c>
      <c r="F759" s="31" t="s">
        <v>45</v>
      </c>
      <c r="G759" s="31" t="s">
        <v>62</v>
      </c>
      <c r="H759" s="31" t="s">
        <v>165</v>
      </c>
      <c r="I759" s="32" t="str">
        <f aca="false">INDEX(Productos!$B$2:$B$13,MATCH($H759,Productos!$A$2:$A$13,0))</f>
        <v>Tornillo DIN 933 M8x40 rosca completa zincado</v>
      </c>
      <c r="J759" s="32" t="str">
        <f aca="false">INDEX(Productos!$C$2:$C$13,MATCH($H759,Productos!$A$2:$A$13,0))</f>
        <v>Métrica</v>
      </c>
      <c r="K759" s="31" t="s">
        <v>246</v>
      </c>
      <c r="L759" s="46" t="n">
        <v>145</v>
      </c>
      <c r="M759" s="50" t="n">
        <f aca="false">INDEX(Productos!$F$2:$F$13,MATCH($H759,Productos!$A$2:$A$13,0))</f>
        <v>37.5</v>
      </c>
      <c r="N759" s="51" t="n">
        <v>0.194</v>
      </c>
      <c r="O759" s="52" t="n">
        <f aca="false">M759*(1-N759)</f>
        <v>30.225</v>
      </c>
      <c r="P759" s="21" t="n">
        <f aca="false">L759*O759</f>
        <v>4382.625</v>
      </c>
      <c r="Q759" s="50" t="n">
        <f aca="false">INDEX(Productos!$E$2:$E$13,MATCH($H759,Productos!$A$2:$A$13,0))*INDEX(Parametros!$B$26:$B$43,MATCH($C759,Parametros!$A$26:$A$43,0))</f>
        <v>19.6328</v>
      </c>
      <c r="R759" s="21" t="n">
        <f aca="false">L759*Q759</f>
        <v>2846.756</v>
      </c>
      <c r="S759" s="18" t="n">
        <f aca="false">L759*INDEX(Parametros!$B$20:$B$22,MATCH($E759,Parametros!$A$20:$A$22,0))</f>
        <v>123.25</v>
      </c>
      <c r="T759" s="18" t="n">
        <f aca="false">P759*INDEX(Parametros!$B$13:$B$16,MATCH($F759,Parametros!$A$13:$A$16,0))</f>
        <v>131.47875</v>
      </c>
      <c r="U759" s="21" t="n">
        <f aca="false">P759-R759-S759-T759</f>
        <v>1281.14025</v>
      </c>
      <c r="V759" s="19" t="n">
        <f aca="false">IFERROR(U759/P759,0)</f>
        <v>0.292322580645161</v>
      </c>
      <c r="W759" s="48" t="n">
        <f aca="false">B759+INDEX(Parametros!$C$13:$C$16,MATCH($F759,Parametros!$A$13:$A$16,0))</f>
        <v>45977</v>
      </c>
      <c r="X759" s="31" t="s">
        <v>67</v>
      </c>
      <c r="Y759" s="53" t="n">
        <f aca="false">IF(COUNTIF($A$2:$A759,A759)=1,1,0)</f>
        <v>0</v>
      </c>
    </row>
    <row r="760" customFormat="false" ht="15" hidden="false" customHeight="false" outlineLevel="0" collapsed="false">
      <c r="A760" s="31" t="s">
        <v>649</v>
      </c>
      <c r="B760" s="36" t="n">
        <v>45918</v>
      </c>
      <c r="C760" s="49" t="n">
        <f aca="false">DATE(YEAR(B760),MONTH(B760),1)</f>
        <v>45901</v>
      </c>
      <c r="D760" s="31" t="s">
        <v>226</v>
      </c>
      <c r="E760" s="31" t="s">
        <v>43</v>
      </c>
      <c r="F760" s="31" t="s">
        <v>46</v>
      </c>
      <c r="G760" s="31" t="s">
        <v>59</v>
      </c>
      <c r="H760" s="31" t="s">
        <v>171</v>
      </c>
      <c r="I760" s="32" t="str">
        <f aca="false">INDEX(Productos!$B$2:$B$13,MATCH($H760,Productos!$A$2:$A$13,0))</f>
        <v>Tornillo DIN 7991 M8x30 avellanado inox A2</v>
      </c>
      <c r="J760" s="32" t="str">
        <f aca="false">INDEX(Productos!$C$2:$C$13,MATCH($H760,Productos!$A$2:$A$13,0))</f>
        <v>Inoxidable</v>
      </c>
      <c r="K760" s="31" t="s">
        <v>246</v>
      </c>
      <c r="L760" s="46" t="n">
        <v>39</v>
      </c>
      <c r="M760" s="50" t="n">
        <f aca="false">INDEX(Productos!$F$2:$F$13,MATCH($H760,Productos!$A$2:$A$13,0))</f>
        <v>88</v>
      </c>
      <c r="N760" s="51" t="n">
        <v>0.121</v>
      </c>
      <c r="O760" s="52" t="n">
        <f aca="false">M760*(1-N760)</f>
        <v>77.352</v>
      </c>
      <c r="P760" s="21" t="n">
        <f aca="false">L760*O760</f>
        <v>3016.728</v>
      </c>
      <c r="Q760" s="50" t="n">
        <f aca="false">INDEX(Productos!$E$2:$E$13,MATCH($H760,Productos!$A$2:$A$13,0))*INDEX(Parametros!$B$26:$B$43,MATCH($C760,Parametros!$A$26:$A$43,0))</f>
        <v>47.058</v>
      </c>
      <c r="R760" s="21" t="n">
        <f aca="false">L760*Q760</f>
        <v>1835.262</v>
      </c>
      <c r="S760" s="18" t="n">
        <f aca="false">L760*INDEX(Parametros!$B$20:$B$22,MATCH($E760,Parametros!$A$20:$A$22,0))</f>
        <v>74.1</v>
      </c>
      <c r="T760" s="18" t="n">
        <f aca="false">P760*INDEX(Parametros!$B$13:$B$16,MATCH($F760,Parametros!$A$13:$A$16,0))</f>
        <v>120.66912</v>
      </c>
      <c r="U760" s="21" t="n">
        <f aca="false">P760-R760-S760-T760</f>
        <v>986.69688</v>
      </c>
      <c r="V760" s="19" t="n">
        <f aca="false">IFERROR(U760/P760,0)</f>
        <v>0.327075188747544</v>
      </c>
      <c r="W760" s="48" t="n">
        <f aca="false">B760+INDEX(Parametros!$C$13:$C$16,MATCH($F760,Parametros!$A$13:$A$16,0))</f>
        <v>45993</v>
      </c>
      <c r="X760" s="31" t="s">
        <v>67</v>
      </c>
      <c r="Y760" s="53" t="n">
        <f aca="false">IF(COUNTIF($A$2:$A760,A760)=1,1,0)</f>
        <v>1</v>
      </c>
    </row>
    <row r="761" customFormat="false" ht="15" hidden="false" customHeight="false" outlineLevel="0" collapsed="false">
      <c r="A761" s="31" t="s">
        <v>649</v>
      </c>
      <c r="B761" s="36" t="n">
        <v>45918</v>
      </c>
      <c r="C761" s="49" t="n">
        <f aca="false">DATE(YEAR(B761),MONTH(B761),1)</f>
        <v>45901</v>
      </c>
      <c r="D761" s="31" t="s">
        <v>226</v>
      </c>
      <c r="E761" s="31" t="s">
        <v>43</v>
      </c>
      <c r="F761" s="31" t="s">
        <v>46</v>
      </c>
      <c r="G761" s="31" t="s">
        <v>59</v>
      </c>
      <c r="H761" s="31" t="s">
        <v>181</v>
      </c>
      <c r="I761" s="32" t="str">
        <f aca="false">INDEX(Productos!$B$2:$B$13,MATCH($H761,Productos!$A$2:$A$13,0))</f>
        <v>Autotaladrante 5,5x55 punta broca</v>
      </c>
      <c r="J761" s="32" t="str">
        <f aca="false">INDEX(Productos!$C$2:$C$13,MATCH($H761,Productos!$A$2:$A$13,0))</f>
        <v>Autotaladrante</v>
      </c>
      <c r="K761" s="31" t="s">
        <v>246</v>
      </c>
      <c r="L761" s="46" t="n">
        <v>120</v>
      </c>
      <c r="M761" s="50" t="n">
        <f aca="false">INDEX(Productos!$F$2:$F$13,MATCH($H761,Productos!$A$2:$A$13,0))</f>
        <v>39</v>
      </c>
      <c r="N761" s="51" t="n">
        <v>0.122</v>
      </c>
      <c r="O761" s="52" t="n">
        <f aca="false">M761*(1-N761)</f>
        <v>34.242</v>
      </c>
      <c r="P761" s="21" t="n">
        <f aca="false">L761*O761</f>
        <v>4109.04</v>
      </c>
      <c r="Q761" s="50" t="n">
        <f aca="false">INDEX(Productos!$E$2:$E$13,MATCH($H761,Productos!$A$2:$A$13,0))*INDEX(Parametros!$B$26:$B$43,MATCH($C761,Parametros!$A$26:$A$43,0))</f>
        <v>20.5436</v>
      </c>
      <c r="R761" s="21" t="n">
        <f aca="false">L761*Q761</f>
        <v>2465.232</v>
      </c>
      <c r="S761" s="18" t="n">
        <f aca="false">L761*INDEX(Parametros!$B$20:$B$22,MATCH($E761,Parametros!$A$20:$A$22,0))</f>
        <v>228</v>
      </c>
      <c r="T761" s="18" t="n">
        <f aca="false">P761*INDEX(Parametros!$B$13:$B$16,MATCH($F761,Parametros!$A$13:$A$16,0))</f>
        <v>164.3616</v>
      </c>
      <c r="U761" s="21" t="n">
        <f aca="false">P761-R761-S761-T761</f>
        <v>1251.4464</v>
      </c>
      <c r="V761" s="19" t="n">
        <f aca="false">IFERROR(U761/P761,0)</f>
        <v>0.304559313124233</v>
      </c>
      <c r="W761" s="48" t="n">
        <f aca="false">B761+INDEX(Parametros!$C$13:$C$16,MATCH($F761,Parametros!$A$13:$A$16,0))</f>
        <v>45993</v>
      </c>
      <c r="X761" s="31" t="s">
        <v>67</v>
      </c>
      <c r="Y761" s="53" t="n">
        <f aca="false">IF(COUNTIF($A$2:$A761,A761)=1,1,0)</f>
        <v>0</v>
      </c>
    </row>
    <row r="762" customFormat="false" ht="15" hidden="false" customHeight="false" outlineLevel="0" collapsed="false">
      <c r="A762" s="31" t="s">
        <v>650</v>
      </c>
      <c r="B762" s="36" t="n">
        <v>45918</v>
      </c>
      <c r="C762" s="49" t="n">
        <f aca="false">DATE(YEAR(B762),MONTH(B762),1)</f>
        <v>45901</v>
      </c>
      <c r="D762" s="31" t="s">
        <v>204</v>
      </c>
      <c r="E762" s="31" t="s">
        <v>41</v>
      </c>
      <c r="F762" s="31" t="s">
        <v>47</v>
      </c>
      <c r="G762" s="31" t="s">
        <v>62</v>
      </c>
      <c r="H762" s="31" t="s">
        <v>167</v>
      </c>
      <c r="I762" s="32" t="str">
        <f aca="false">INDEX(Productos!$B$2:$B$13,MATCH($H762,Productos!$A$2:$A$13,0))</f>
        <v>Tornillo DIN 912 M6x25 Allen zincado</v>
      </c>
      <c r="J762" s="32" t="str">
        <f aca="false">INDEX(Productos!$C$2:$C$13,MATCH($H762,Productos!$A$2:$A$13,0))</f>
        <v>Métrica</v>
      </c>
      <c r="K762" s="31" t="s">
        <v>246</v>
      </c>
      <c r="L762" s="46" t="n">
        <v>13</v>
      </c>
      <c r="M762" s="50" t="n">
        <f aca="false">INDEX(Productos!$F$2:$F$13,MATCH($H762,Productos!$A$2:$A$13,0))</f>
        <v>42</v>
      </c>
      <c r="N762" s="51" t="n">
        <v>0.074</v>
      </c>
      <c r="O762" s="52" t="n">
        <f aca="false">M762*(1-N762)</f>
        <v>38.892</v>
      </c>
      <c r="P762" s="21" t="n">
        <f aca="false">L762*O762</f>
        <v>505.596</v>
      </c>
      <c r="Q762" s="50" t="n">
        <f aca="false">INDEX(Productos!$E$2:$E$13,MATCH($H762,Productos!$A$2:$A$13,0))*INDEX(Parametros!$B$26:$B$43,MATCH($C762,Parametros!$A$26:$A$43,0))</f>
        <v>22.0616</v>
      </c>
      <c r="R762" s="21" t="n">
        <f aca="false">L762*Q762</f>
        <v>286.8008</v>
      </c>
      <c r="S762" s="18" t="n">
        <f aca="false">L762*INDEX(Parametros!$B$20:$B$22,MATCH($E762,Parametros!$A$20:$A$22,0))</f>
        <v>11.05</v>
      </c>
      <c r="T762" s="18" t="n">
        <f aca="false">P762*INDEX(Parametros!$B$13:$B$16,MATCH($F762,Parametros!$A$13:$A$16,0))</f>
        <v>17.69586</v>
      </c>
      <c r="U762" s="21" t="n">
        <f aca="false">P762-R762-S762-T762</f>
        <v>190.04934</v>
      </c>
      <c r="V762" s="19" t="n">
        <f aca="false">IFERROR(U762/P762,0)</f>
        <v>0.375891700092564</v>
      </c>
      <c r="W762" s="48" t="n">
        <f aca="false">B762+INDEX(Parametros!$C$13:$C$16,MATCH($F762,Parametros!$A$13:$A$16,0))</f>
        <v>45963</v>
      </c>
      <c r="X762" s="31" t="s">
        <v>67</v>
      </c>
      <c r="Y762" s="53" t="n">
        <f aca="false">IF(COUNTIF($A$2:$A762,A762)=1,1,0)</f>
        <v>1</v>
      </c>
    </row>
    <row r="763" customFormat="false" ht="15" hidden="false" customHeight="false" outlineLevel="0" collapsed="false">
      <c r="A763" s="31" t="s">
        <v>651</v>
      </c>
      <c r="B763" s="36" t="n">
        <v>45919</v>
      </c>
      <c r="C763" s="49" t="n">
        <f aca="false">DATE(YEAR(B763),MONTH(B763),1)</f>
        <v>45901</v>
      </c>
      <c r="D763" s="31" t="s">
        <v>193</v>
      </c>
      <c r="E763" s="31" t="s">
        <v>41</v>
      </c>
      <c r="F763" s="31" t="s">
        <v>45</v>
      </c>
      <c r="G763" s="31" t="s">
        <v>62</v>
      </c>
      <c r="H763" s="31" t="s">
        <v>165</v>
      </c>
      <c r="I763" s="32" t="str">
        <f aca="false">INDEX(Productos!$B$2:$B$13,MATCH($H763,Productos!$A$2:$A$13,0))</f>
        <v>Tornillo DIN 933 M8x40 rosca completa zincado</v>
      </c>
      <c r="J763" s="32" t="str">
        <f aca="false">INDEX(Productos!$C$2:$C$13,MATCH($H763,Productos!$A$2:$A$13,0))</f>
        <v>Métrica</v>
      </c>
      <c r="K763" s="31" t="s">
        <v>246</v>
      </c>
      <c r="L763" s="46" t="n">
        <v>102</v>
      </c>
      <c r="M763" s="50" t="n">
        <f aca="false">INDEX(Productos!$F$2:$F$13,MATCH($H763,Productos!$A$2:$A$13,0))</f>
        <v>37.5</v>
      </c>
      <c r="N763" s="51" t="n">
        <v>0.194</v>
      </c>
      <c r="O763" s="52" t="n">
        <f aca="false">M763*(1-N763)</f>
        <v>30.225</v>
      </c>
      <c r="P763" s="21" t="n">
        <f aca="false">L763*O763</f>
        <v>3082.95</v>
      </c>
      <c r="Q763" s="50" t="n">
        <f aca="false">INDEX(Productos!$E$2:$E$13,MATCH($H763,Productos!$A$2:$A$13,0))*INDEX(Parametros!$B$26:$B$43,MATCH($C763,Parametros!$A$26:$A$43,0))</f>
        <v>19.6328</v>
      </c>
      <c r="R763" s="21" t="n">
        <f aca="false">L763*Q763</f>
        <v>2002.5456</v>
      </c>
      <c r="S763" s="18" t="n">
        <f aca="false">L763*INDEX(Parametros!$B$20:$B$22,MATCH($E763,Parametros!$A$20:$A$22,0))</f>
        <v>86.7</v>
      </c>
      <c r="T763" s="18" t="n">
        <f aca="false">P763*INDEX(Parametros!$B$13:$B$16,MATCH($F763,Parametros!$A$13:$A$16,0))</f>
        <v>92.4885</v>
      </c>
      <c r="U763" s="21" t="n">
        <f aca="false">P763-R763-S763-T763</f>
        <v>901.2159</v>
      </c>
      <c r="V763" s="19" t="n">
        <f aca="false">IFERROR(U763/P763,0)</f>
        <v>0.292322580645161</v>
      </c>
      <c r="W763" s="48" t="n">
        <f aca="false">B763+INDEX(Parametros!$C$13:$C$16,MATCH($F763,Parametros!$A$13:$A$16,0))</f>
        <v>45979</v>
      </c>
      <c r="X763" s="31" t="s">
        <v>67</v>
      </c>
      <c r="Y763" s="53" t="n">
        <f aca="false">IF(COUNTIF($A$2:$A763,A763)=1,1,0)</f>
        <v>1</v>
      </c>
    </row>
    <row r="764" customFormat="false" ht="15" hidden="false" customHeight="false" outlineLevel="0" collapsed="false">
      <c r="A764" s="31" t="s">
        <v>651</v>
      </c>
      <c r="B764" s="36" t="n">
        <v>45919</v>
      </c>
      <c r="C764" s="49" t="n">
        <f aca="false">DATE(YEAR(B764),MONTH(B764),1)</f>
        <v>45901</v>
      </c>
      <c r="D764" s="31" t="s">
        <v>193</v>
      </c>
      <c r="E764" s="31" t="s">
        <v>41</v>
      </c>
      <c r="F764" s="31" t="s">
        <v>45</v>
      </c>
      <c r="G764" s="31" t="s">
        <v>62</v>
      </c>
      <c r="H764" s="31" t="s">
        <v>167</v>
      </c>
      <c r="I764" s="32" t="str">
        <f aca="false">INDEX(Productos!$B$2:$B$13,MATCH($H764,Productos!$A$2:$A$13,0))</f>
        <v>Tornillo DIN 912 M6x25 Allen zincado</v>
      </c>
      <c r="J764" s="32" t="str">
        <f aca="false">INDEX(Productos!$C$2:$C$13,MATCH($H764,Productos!$A$2:$A$13,0))</f>
        <v>Métrica</v>
      </c>
      <c r="K764" s="31" t="s">
        <v>246</v>
      </c>
      <c r="L764" s="46" t="n">
        <v>65</v>
      </c>
      <c r="M764" s="50" t="n">
        <f aca="false">INDEX(Productos!$F$2:$F$13,MATCH($H764,Productos!$A$2:$A$13,0))</f>
        <v>42</v>
      </c>
      <c r="N764" s="51" t="n">
        <v>0.216</v>
      </c>
      <c r="O764" s="52" t="n">
        <f aca="false">M764*(1-N764)</f>
        <v>32.928</v>
      </c>
      <c r="P764" s="21" t="n">
        <f aca="false">L764*O764</f>
        <v>2140.32</v>
      </c>
      <c r="Q764" s="50" t="n">
        <f aca="false">INDEX(Productos!$E$2:$E$13,MATCH($H764,Productos!$A$2:$A$13,0))*INDEX(Parametros!$B$26:$B$43,MATCH($C764,Parametros!$A$26:$A$43,0))</f>
        <v>22.0616</v>
      </c>
      <c r="R764" s="21" t="n">
        <f aca="false">L764*Q764</f>
        <v>1434.004</v>
      </c>
      <c r="S764" s="18" t="n">
        <f aca="false">L764*INDEX(Parametros!$B$20:$B$22,MATCH($E764,Parametros!$A$20:$A$22,0))</f>
        <v>55.25</v>
      </c>
      <c r="T764" s="18" t="n">
        <f aca="false">P764*INDEX(Parametros!$B$13:$B$16,MATCH($F764,Parametros!$A$13:$A$16,0))</f>
        <v>64.2096</v>
      </c>
      <c r="U764" s="21" t="n">
        <f aca="false">P764-R764-S764-T764</f>
        <v>586.8564</v>
      </c>
      <c r="V764" s="19" t="n">
        <f aca="false">IFERROR(U764/P764,0)</f>
        <v>0.274190962099125</v>
      </c>
      <c r="W764" s="48" t="n">
        <f aca="false">B764+INDEX(Parametros!$C$13:$C$16,MATCH($F764,Parametros!$A$13:$A$16,0))</f>
        <v>45979</v>
      </c>
      <c r="X764" s="31" t="s">
        <v>67</v>
      </c>
      <c r="Y764" s="53" t="n">
        <f aca="false">IF(COUNTIF($A$2:$A764,A764)=1,1,0)</f>
        <v>0</v>
      </c>
    </row>
    <row r="765" customFormat="false" ht="15" hidden="false" customHeight="false" outlineLevel="0" collapsed="false">
      <c r="A765" s="31" t="s">
        <v>652</v>
      </c>
      <c r="B765" s="36" t="n">
        <v>45919</v>
      </c>
      <c r="C765" s="49" t="n">
        <f aca="false">DATE(YEAR(B765),MONTH(B765),1)</f>
        <v>45901</v>
      </c>
      <c r="D765" s="31" t="s">
        <v>200</v>
      </c>
      <c r="E765" s="31" t="s">
        <v>41</v>
      </c>
      <c r="F765" s="31" t="s">
        <v>45</v>
      </c>
      <c r="G765" s="31" t="s">
        <v>62</v>
      </c>
      <c r="H765" s="31" t="s">
        <v>165</v>
      </c>
      <c r="I765" s="32" t="str">
        <f aca="false">INDEX(Productos!$B$2:$B$13,MATCH($H765,Productos!$A$2:$A$13,0))</f>
        <v>Tornillo DIN 933 M8x40 rosca completa zincado</v>
      </c>
      <c r="J765" s="32" t="str">
        <f aca="false">INDEX(Productos!$C$2:$C$13,MATCH($H765,Productos!$A$2:$A$13,0))</f>
        <v>Métrica</v>
      </c>
      <c r="K765" s="31" t="s">
        <v>246</v>
      </c>
      <c r="L765" s="46" t="n">
        <v>110</v>
      </c>
      <c r="M765" s="50" t="n">
        <f aca="false">INDEX(Productos!$F$2:$F$13,MATCH($H765,Productos!$A$2:$A$13,0))</f>
        <v>37.5</v>
      </c>
      <c r="N765" s="51" t="n">
        <v>0.17</v>
      </c>
      <c r="O765" s="52" t="n">
        <f aca="false">M765*(1-N765)</f>
        <v>31.125</v>
      </c>
      <c r="P765" s="21" t="n">
        <f aca="false">L765*O765</f>
        <v>3423.75</v>
      </c>
      <c r="Q765" s="50" t="n">
        <f aca="false">INDEX(Productos!$E$2:$E$13,MATCH($H765,Productos!$A$2:$A$13,0))*INDEX(Parametros!$B$26:$B$43,MATCH($C765,Parametros!$A$26:$A$43,0))</f>
        <v>19.6328</v>
      </c>
      <c r="R765" s="21" t="n">
        <f aca="false">L765*Q765</f>
        <v>2159.608</v>
      </c>
      <c r="S765" s="18" t="n">
        <f aca="false">L765*INDEX(Parametros!$B$20:$B$22,MATCH($E765,Parametros!$A$20:$A$22,0))</f>
        <v>93.5</v>
      </c>
      <c r="T765" s="18" t="n">
        <f aca="false">P765*INDEX(Parametros!$B$13:$B$16,MATCH($F765,Parametros!$A$13:$A$16,0))</f>
        <v>102.7125</v>
      </c>
      <c r="U765" s="21" t="n">
        <f aca="false">P765-R765-S765-T765</f>
        <v>1067.9295</v>
      </c>
      <c r="V765" s="19" t="n">
        <f aca="false">IFERROR(U765/P765,0)</f>
        <v>0.311918072289157</v>
      </c>
      <c r="W765" s="48" t="n">
        <f aca="false">B765+INDEX(Parametros!$C$13:$C$16,MATCH($F765,Parametros!$A$13:$A$16,0))</f>
        <v>45979</v>
      </c>
      <c r="X765" s="31" t="s">
        <v>67</v>
      </c>
      <c r="Y765" s="53" t="n">
        <f aca="false">IF(COUNTIF($A$2:$A765,A765)=1,1,0)</f>
        <v>1</v>
      </c>
    </row>
    <row r="766" customFormat="false" ht="15" hidden="false" customHeight="false" outlineLevel="0" collapsed="false">
      <c r="A766" s="31" t="s">
        <v>652</v>
      </c>
      <c r="B766" s="36" t="n">
        <v>45919</v>
      </c>
      <c r="C766" s="49" t="n">
        <f aca="false">DATE(YEAR(B766),MONTH(B766),1)</f>
        <v>45901</v>
      </c>
      <c r="D766" s="31" t="s">
        <v>200</v>
      </c>
      <c r="E766" s="31" t="s">
        <v>41</v>
      </c>
      <c r="F766" s="31" t="s">
        <v>45</v>
      </c>
      <c r="G766" s="31" t="s">
        <v>62</v>
      </c>
      <c r="H766" s="31" t="s">
        <v>177</v>
      </c>
      <c r="I766" s="32" t="str">
        <f aca="false">INDEX(Productos!$B$2:$B$13,MATCH($H766,Productos!$A$2:$A$13,0))</f>
        <v>Tirafondo madera 6x100 cabeza plana Torx</v>
      </c>
      <c r="J766" s="32" t="str">
        <f aca="false">INDEX(Productos!$C$2:$C$13,MATCH($H766,Productos!$A$2:$A$13,0))</f>
        <v>Madera</v>
      </c>
      <c r="K766" s="31" t="s">
        <v>246</v>
      </c>
      <c r="L766" s="46" t="n">
        <v>46</v>
      </c>
      <c r="M766" s="50" t="n">
        <f aca="false">INDEX(Productos!$F$2:$F$13,MATCH($H766,Productos!$A$2:$A$13,0))</f>
        <v>34</v>
      </c>
      <c r="N766" s="51" t="n">
        <v>0.213</v>
      </c>
      <c r="O766" s="52" t="n">
        <f aca="false">M766*(1-N766)</f>
        <v>26.758</v>
      </c>
      <c r="P766" s="21" t="n">
        <f aca="false">L766*O766</f>
        <v>1230.868</v>
      </c>
      <c r="Q766" s="50" t="n">
        <f aca="false">INDEX(Productos!$E$2:$E$13,MATCH($H766,Productos!$A$2:$A$13,0))*INDEX(Parametros!$B$26:$B$43,MATCH($C766,Parametros!$A$26:$A$43,0))</f>
        <v>18.0136</v>
      </c>
      <c r="R766" s="21" t="n">
        <f aca="false">L766*Q766</f>
        <v>828.6256</v>
      </c>
      <c r="S766" s="18" t="n">
        <f aca="false">L766*INDEX(Parametros!$B$20:$B$22,MATCH($E766,Parametros!$A$20:$A$22,0))</f>
        <v>39.1</v>
      </c>
      <c r="T766" s="18" t="n">
        <f aca="false">P766*INDEX(Parametros!$B$13:$B$16,MATCH($F766,Parametros!$A$13:$A$16,0))</f>
        <v>36.92604</v>
      </c>
      <c r="U766" s="21" t="n">
        <f aca="false">P766-R766-S766-T766</f>
        <v>326.21636</v>
      </c>
      <c r="V766" s="19" t="n">
        <f aca="false">IFERROR(U766/P766,0)</f>
        <v>0.265029523880709</v>
      </c>
      <c r="W766" s="48" t="n">
        <f aca="false">B766+INDEX(Parametros!$C$13:$C$16,MATCH($F766,Parametros!$A$13:$A$16,0))</f>
        <v>45979</v>
      </c>
      <c r="X766" s="31" t="s">
        <v>67</v>
      </c>
      <c r="Y766" s="53" t="n">
        <f aca="false">IF(COUNTIF($A$2:$A766,A766)=1,1,0)</f>
        <v>0</v>
      </c>
    </row>
    <row r="767" customFormat="false" ht="15" hidden="false" customHeight="false" outlineLevel="0" collapsed="false">
      <c r="A767" s="31" t="s">
        <v>653</v>
      </c>
      <c r="B767" s="36" t="n">
        <v>45919</v>
      </c>
      <c r="C767" s="49" t="n">
        <f aca="false">DATE(YEAR(B767),MONTH(B767),1)</f>
        <v>45901</v>
      </c>
      <c r="D767" s="31" t="s">
        <v>224</v>
      </c>
      <c r="E767" s="31" t="s">
        <v>43</v>
      </c>
      <c r="F767" s="31" t="s">
        <v>45</v>
      </c>
      <c r="G767" s="31" t="s">
        <v>59</v>
      </c>
      <c r="H767" s="31" t="s">
        <v>179</v>
      </c>
      <c r="I767" s="32" t="str">
        <f aca="false">INDEX(Productos!$B$2:$B$13,MATCH($H767,Productos!$A$2:$A$13,0))</f>
        <v>Autotaladrante DIN 7504 4,8x38 zincado</v>
      </c>
      <c r="J767" s="32" t="str">
        <f aca="false">INDEX(Productos!$C$2:$C$13,MATCH($H767,Productos!$A$2:$A$13,0))</f>
        <v>Autotaladrante</v>
      </c>
      <c r="K767" s="31" t="s">
        <v>246</v>
      </c>
      <c r="L767" s="46" t="n">
        <v>83</v>
      </c>
      <c r="M767" s="50" t="n">
        <f aca="false">INDEX(Productos!$F$2:$F$13,MATCH($H767,Productos!$A$2:$A$13,0))</f>
        <v>29.5</v>
      </c>
      <c r="N767" s="51" t="n">
        <v>0.134</v>
      </c>
      <c r="O767" s="52" t="n">
        <f aca="false">M767*(1-N767)</f>
        <v>25.547</v>
      </c>
      <c r="P767" s="21" t="n">
        <f aca="false">L767*O767</f>
        <v>2120.401</v>
      </c>
      <c r="Q767" s="50" t="n">
        <f aca="false">INDEX(Productos!$E$2:$E$13,MATCH($H767,Productos!$A$2:$A$13,0))*INDEX(Parametros!$B$26:$B$43,MATCH($C767,Parametros!$A$26:$A$43,0))</f>
        <v>15.3824</v>
      </c>
      <c r="R767" s="21" t="n">
        <f aca="false">L767*Q767</f>
        <v>1276.7392</v>
      </c>
      <c r="S767" s="18" t="n">
        <f aca="false">L767*INDEX(Parametros!$B$20:$B$22,MATCH($E767,Parametros!$A$20:$A$22,0))</f>
        <v>157.7</v>
      </c>
      <c r="T767" s="18" t="n">
        <f aca="false">P767*INDEX(Parametros!$B$13:$B$16,MATCH($F767,Parametros!$A$13:$A$16,0))</f>
        <v>63.61203</v>
      </c>
      <c r="U767" s="21" t="n">
        <f aca="false">P767-R767-S767-T767</f>
        <v>622.34977</v>
      </c>
      <c r="V767" s="19" t="n">
        <f aca="false">IFERROR(U767/P767,0)</f>
        <v>0.293505695384977</v>
      </c>
      <c r="W767" s="48" t="n">
        <f aca="false">B767+INDEX(Parametros!$C$13:$C$16,MATCH($F767,Parametros!$A$13:$A$16,0))</f>
        <v>45979</v>
      </c>
      <c r="X767" s="31" t="s">
        <v>67</v>
      </c>
      <c r="Y767" s="53" t="n">
        <f aca="false">IF(COUNTIF($A$2:$A767,A767)=1,1,0)</f>
        <v>1</v>
      </c>
    </row>
    <row r="768" customFormat="false" ht="15" hidden="false" customHeight="false" outlineLevel="0" collapsed="false">
      <c r="A768" s="31" t="s">
        <v>653</v>
      </c>
      <c r="B768" s="36" t="n">
        <v>45919</v>
      </c>
      <c r="C768" s="49" t="n">
        <f aca="false">DATE(YEAR(B768),MONTH(B768),1)</f>
        <v>45901</v>
      </c>
      <c r="D768" s="31" t="s">
        <v>224</v>
      </c>
      <c r="E768" s="31" t="s">
        <v>43</v>
      </c>
      <c r="F768" s="31" t="s">
        <v>45</v>
      </c>
      <c r="G768" s="31" t="s">
        <v>59</v>
      </c>
      <c r="H768" s="31" t="s">
        <v>167</v>
      </c>
      <c r="I768" s="32" t="str">
        <f aca="false">INDEX(Productos!$B$2:$B$13,MATCH($H768,Productos!$A$2:$A$13,0))</f>
        <v>Tornillo DIN 912 M6x25 Allen zincado</v>
      </c>
      <c r="J768" s="32" t="str">
        <f aca="false">INDEX(Productos!$C$2:$C$13,MATCH($H768,Productos!$A$2:$A$13,0))</f>
        <v>Métrica</v>
      </c>
      <c r="K768" s="31" t="s">
        <v>246</v>
      </c>
      <c r="L768" s="46" t="n">
        <v>82</v>
      </c>
      <c r="M768" s="50" t="n">
        <f aca="false">INDEX(Productos!$F$2:$F$13,MATCH($H768,Productos!$A$2:$A$13,0))</f>
        <v>42</v>
      </c>
      <c r="N768" s="51" t="n">
        <v>0.162</v>
      </c>
      <c r="O768" s="52" t="n">
        <f aca="false">M768*(1-N768)</f>
        <v>35.196</v>
      </c>
      <c r="P768" s="21" t="n">
        <f aca="false">L768*O768</f>
        <v>2886.072</v>
      </c>
      <c r="Q768" s="50" t="n">
        <f aca="false">INDEX(Productos!$E$2:$E$13,MATCH($H768,Productos!$A$2:$A$13,0))*INDEX(Parametros!$B$26:$B$43,MATCH($C768,Parametros!$A$26:$A$43,0))</f>
        <v>22.0616</v>
      </c>
      <c r="R768" s="21" t="n">
        <f aca="false">L768*Q768</f>
        <v>1809.0512</v>
      </c>
      <c r="S768" s="18" t="n">
        <f aca="false">L768*INDEX(Parametros!$B$20:$B$22,MATCH($E768,Parametros!$A$20:$A$22,0))</f>
        <v>155.8</v>
      </c>
      <c r="T768" s="18" t="n">
        <f aca="false">P768*INDEX(Parametros!$B$13:$B$16,MATCH($F768,Parametros!$A$13:$A$16,0))</f>
        <v>86.58216</v>
      </c>
      <c r="U768" s="21" t="n">
        <f aca="false">P768-R768-S768-T768</f>
        <v>834.63864</v>
      </c>
      <c r="V768" s="19" t="n">
        <f aca="false">IFERROR(U768/P768,0)</f>
        <v>0.289195363109444</v>
      </c>
      <c r="W768" s="48" t="n">
        <f aca="false">B768+INDEX(Parametros!$C$13:$C$16,MATCH($F768,Parametros!$A$13:$A$16,0))</f>
        <v>45979</v>
      </c>
      <c r="X768" s="31" t="s">
        <v>67</v>
      </c>
      <c r="Y768" s="53" t="n">
        <f aca="false">IF(COUNTIF($A$2:$A768,A768)=1,1,0)</f>
        <v>0</v>
      </c>
    </row>
    <row r="769" customFormat="false" ht="15" hidden="false" customHeight="false" outlineLevel="0" collapsed="false">
      <c r="A769" s="31" t="s">
        <v>653</v>
      </c>
      <c r="B769" s="36" t="n">
        <v>45919</v>
      </c>
      <c r="C769" s="49" t="n">
        <f aca="false">DATE(YEAR(B769),MONTH(B769),1)</f>
        <v>45901</v>
      </c>
      <c r="D769" s="31" t="s">
        <v>224</v>
      </c>
      <c r="E769" s="31" t="s">
        <v>43</v>
      </c>
      <c r="F769" s="31" t="s">
        <v>45</v>
      </c>
      <c r="G769" s="31" t="s">
        <v>59</v>
      </c>
      <c r="H769" s="31" t="s">
        <v>183</v>
      </c>
      <c r="I769" s="32" t="str">
        <f aca="false">INDEX(Productos!$B$2:$B$13,MATCH($H769,Productos!$A$2:$A$13,0))</f>
        <v>Tornillo estructural M16x90 clase 10.9</v>
      </c>
      <c r="J769" s="32" t="str">
        <f aca="false">INDEX(Productos!$C$2:$C$13,MATCH($H769,Productos!$A$2:$A$13,0))</f>
        <v>Especial</v>
      </c>
      <c r="K769" s="31" t="s">
        <v>246</v>
      </c>
      <c r="L769" s="46" t="n">
        <v>175</v>
      </c>
      <c r="M769" s="50" t="n">
        <f aca="false">INDEX(Productos!$F$2:$F$13,MATCH($H769,Productos!$A$2:$A$13,0))</f>
        <v>112</v>
      </c>
      <c r="N769" s="51" t="n">
        <v>0.207</v>
      </c>
      <c r="O769" s="52" t="n">
        <f aca="false">M769*(1-N769)</f>
        <v>88.816</v>
      </c>
      <c r="P769" s="21" t="n">
        <f aca="false">L769*O769</f>
        <v>15542.8</v>
      </c>
      <c r="Q769" s="50" t="n">
        <f aca="false">INDEX(Productos!$E$2:$E$13,MATCH($H769,Productos!$A$2:$A$13,0))*INDEX(Parametros!$B$26:$B$43,MATCH($C769,Parametros!$A$26:$A$43,0))</f>
        <v>60.72</v>
      </c>
      <c r="R769" s="21" t="n">
        <f aca="false">L769*Q769</f>
        <v>10626</v>
      </c>
      <c r="S769" s="18" t="n">
        <f aca="false">L769*INDEX(Parametros!$B$20:$B$22,MATCH($E769,Parametros!$A$20:$A$22,0))</f>
        <v>332.5</v>
      </c>
      <c r="T769" s="18" t="n">
        <f aca="false">P769*INDEX(Parametros!$B$13:$B$16,MATCH($F769,Parametros!$A$13:$A$16,0))</f>
        <v>466.284</v>
      </c>
      <c r="U769" s="21" t="n">
        <f aca="false">P769-R769-S769-T769</f>
        <v>4118.016</v>
      </c>
      <c r="V769" s="19" t="n">
        <f aca="false">IFERROR(U769/P769,0)</f>
        <v>0.264946856422266</v>
      </c>
      <c r="W769" s="48" t="n">
        <f aca="false">B769+INDEX(Parametros!$C$13:$C$16,MATCH($F769,Parametros!$A$13:$A$16,0))</f>
        <v>45979</v>
      </c>
      <c r="X769" s="31" t="s">
        <v>67</v>
      </c>
      <c r="Y769" s="53" t="n">
        <f aca="false">IF(COUNTIF($A$2:$A769,A769)=1,1,0)</f>
        <v>0</v>
      </c>
    </row>
    <row r="770" customFormat="false" ht="15" hidden="false" customHeight="false" outlineLevel="0" collapsed="false">
      <c r="A770" s="31" t="s">
        <v>653</v>
      </c>
      <c r="B770" s="36" t="n">
        <v>45919</v>
      </c>
      <c r="C770" s="49" t="n">
        <f aca="false">DATE(YEAR(B770),MONTH(B770),1)</f>
        <v>45901</v>
      </c>
      <c r="D770" s="31" t="s">
        <v>224</v>
      </c>
      <c r="E770" s="31" t="s">
        <v>43</v>
      </c>
      <c r="F770" s="31" t="s">
        <v>45</v>
      </c>
      <c r="G770" s="31" t="s">
        <v>59</v>
      </c>
      <c r="H770" s="31" t="s">
        <v>173</v>
      </c>
      <c r="I770" s="32" t="str">
        <f aca="false">INDEX(Productos!$B$2:$B$13,MATCH($H770,Productos!$A$2:$A$13,0))</f>
        <v>Tornillo DIN 933 M12x70 clase 8.8</v>
      </c>
      <c r="J770" s="32" t="str">
        <f aca="false">INDEX(Productos!$C$2:$C$13,MATCH($H770,Productos!$A$2:$A$13,0))</f>
        <v>Métrica</v>
      </c>
      <c r="K770" s="31" t="s">
        <v>246</v>
      </c>
      <c r="L770" s="46" t="n">
        <v>146</v>
      </c>
      <c r="M770" s="50" t="n">
        <f aca="false">INDEX(Productos!$F$2:$F$13,MATCH($H770,Productos!$A$2:$A$13,0))</f>
        <v>64</v>
      </c>
      <c r="N770" s="51" t="n">
        <v>0.135</v>
      </c>
      <c r="O770" s="52" t="n">
        <f aca="false">M770*(1-N770)</f>
        <v>55.36</v>
      </c>
      <c r="P770" s="21" t="n">
        <f aca="false">L770*O770</f>
        <v>8082.56</v>
      </c>
      <c r="Q770" s="50" t="n">
        <f aca="false">INDEX(Productos!$E$2:$E$13,MATCH($H770,Productos!$A$2:$A$13,0))*INDEX(Parametros!$B$26:$B$43,MATCH($C770,Parametros!$A$26:$A$43,0))</f>
        <v>33.902</v>
      </c>
      <c r="R770" s="21" t="n">
        <f aca="false">L770*Q770</f>
        <v>4949.692</v>
      </c>
      <c r="S770" s="18" t="n">
        <f aca="false">L770*INDEX(Parametros!$B$20:$B$22,MATCH($E770,Parametros!$A$20:$A$22,0))</f>
        <v>277.4</v>
      </c>
      <c r="T770" s="18" t="n">
        <f aca="false">P770*INDEX(Parametros!$B$13:$B$16,MATCH($F770,Parametros!$A$13:$A$16,0))</f>
        <v>242.4768</v>
      </c>
      <c r="U770" s="21" t="n">
        <f aca="false">P770-R770-S770-T770</f>
        <v>2612.9912</v>
      </c>
      <c r="V770" s="19" t="n">
        <f aca="false">IFERROR(U770/P770,0)</f>
        <v>0.323287572254335</v>
      </c>
      <c r="W770" s="48" t="n">
        <f aca="false">B770+INDEX(Parametros!$C$13:$C$16,MATCH($F770,Parametros!$A$13:$A$16,0))</f>
        <v>45979</v>
      </c>
      <c r="X770" s="31" t="s">
        <v>67</v>
      </c>
      <c r="Y770" s="53" t="n">
        <f aca="false">IF(COUNTIF($A$2:$A770,A770)=1,1,0)</f>
        <v>0</v>
      </c>
    </row>
    <row r="771" customFormat="false" ht="15" hidden="false" customHeight="false" outlineLevel="0" collapsed="false">
      <c r="A771" s="31" t="s">
        <v>654</v>
      </c>
      <c r="B771" s="36" t="n">
        <v>45919</v>
      </c>
      <c r="C771" s="49" t="n">
        <f aca="false">DATE(YEAR(B771),MONTH(B771),1)</f>
        <v>45901</v>
      </c>
      <c r="D771" s="31" t="s">
        <v>223</v>
      </c>
      <c r="E771" s="31" t="s">
        <v>43</v>
      </c>
      <c r="F771" s="31" t="s">
        <v>46</v>
      </c>
      <c r="G771" s="31" t="s">
        <v>59</v>
      </c>
      <c r="H771" s="31" t="s">
        <v>171</v>
      </c>
      <c r="I771" s="32" t="str">
        <f aca="false">INDEX(Productos!$B$2:$B$13,MATCH($H771,Productos!$A$2:$A$13,0))</f>
        <v>Tornillo DIN 7991 M8x30 avellanado inox A2</v>
      </c>
      <c r="J771" s="32" t="str">
        <f aca="false">INDEX(Productos!$C$2:$C$13,MATCH($H771,Productos!$A$2:$A$13,0))</f>
        <v>Inoxidable</v>
      </c>
      <c r="K771" s="31" t="s">
        <v>246</v>
      </c>
      <c r="L771" s="46" t="n">
        <v>311</v>
      </c>
      <c r="M771" s="50" t="n">
        <f aca="false">INDEX(Productos!$F$2:$F$13,MATCH($H771,Productos!$A$2:$A$13,0))</f>
        <v>88</v>
      </c>
      <c r="N771" s="51" t="n">
        <v>0.121</v>
      </c>
      <c r="O771" s="52" t="n">
        <f aca="false">M771*(1-N771)</f>
        <v>77.352</v>
      </c>
      <c r="P771" s="21" t="n">
        <f aca="false">L771*O771</f>
        <v>24056.472</v>
      </c>
      <c r="Q771" s="50" t="n">
        <f aca="false">INDEX(Productos!$E$2:$E$13,MATCH($H771,Productos!$A$2:$A$13,0))*INDEX(Parametros!$B$26:$B$43,MATCH($C771,Parametros!$A$26:$A$43,0))</f>
        <v>47.058</v>
      </c>
      <c r="R771" s="21" t="n">
        <f aca="false">L771*Q771</f>
        <v>14635.038</v>
      </c>
      <c r="S771" s="18" t="n">
        <f aca="false">L771*INDEX(Parametros!$B$20:$B$22,MATCH($E771,Parametros!$A$20:$A$22,0))</f>
        <v>590.9</v>
      </c>
      <c r="T771" s="18" t="n">
        <f aca="false">P771*INDEX(Parametros!$B$13:$B$16,MATCH($F771,Parametros!$A$13:$A$16,0))</f>
        <v>962.25888</v>
      </c>
      <c r="U771" s="21" t="n">
        <f aca="false">P771-R771-S771-T771</f>
        <v>7868.27512</v>
      </c>
      <c r="V771" s="19" t="n">
        <f aca="false">IFERROR(U771/P771,0)</f>
        <v>0.327075188747544</v>
      </c>
      <c r="W771" s="48" t="n">
        <f aca="false">B771+INDEX(Parametros!$C$13:$C$16,MATCH($F771,Parametros!$A$13:$A$16,0))</f>
        <v>45994</v>
      </c>
      <c r="X771" s="31" t="s">
        <v>67</v>
      </c>
      <c r="Y771" s="53" t="n">
        <f aca="false">IF(COUNTIF($A$2:$A771,A771)=1,1,0)</f>
        <v>1</v>
      </c>
    </row>
    <row r="772" customFormat="false" ht="15" hidden="false" customHeight="false" outlineLevel="0" collapsed="false">
      <c r="A772" s="31" t="s">
        <v>654</v>
      </c>
      <c r="B772" s="36" t="n">
        <v>45919</v>
      </c>
      <c r="C772" s="49" t="n">
        <f aca="false">DATE(YEAR(B772),MONTH(B772),1)</f>
        <v>45901</v>
      </c>
      <c r="D772" s="31" t="s">
        <v>223</v>
      </c>
      <c r="E772" s="31" t="s">
        <v>43</v>
      </c>
      <c r="F772" s="31" t="s">
        <v>46</v>
      </c>
      <c r="G772" s="31" t="s">
        <v>59</v>
      </c>
      <c r="H772" s="31" t="s">
        <v>181</v>
      </c>
      <c r="I772" s="32" t="str">
        <f aca="false">INDEX(Productos!$B$2:$B$13,MATCH($H772,Productos!$A$2:$A$13,0))</f>
        <v>Autotaladrante 5,5x55 punta broca</v>
      </c>
      <c r="J772" s="32" t="str">
        <f aca="false">INDEX(Productos!$C$2:$C$13,MATCH($H772,Productos!$A$2:$A$13,0))</f>
        <v>Autotaladrante</v>
      </c>
      <c r="K772" s="31" t="s">
        <v>246</v>
      </c>
      <c r="L772" s="46" t="n">
        <v>280</v>
      </c>
      <c r="M772" s="50" t="n">
        <f aca="false">INDEX(Productos!$F$2:$F$13,MATCH($H772,Productos!$A$2:$A$13,0))</f>
        <v>39</v>
      </c>
      <c r="N772" s="51" t="n">
        <v>0.09</v>
      </c>
      <c r="O772" s="52" t="n">
        <f aca="false">M772*(1-N772)</f>
        <v>35.49</v>
      </c>
      <c r="P772" s="21" t="n">
        <f aca="false">L772*O772</f>
        <v>9937.2</v>
      </c>
      <c r="Q772" s="50" t="n">
        <f aca="false">INDEX(Productos!$E$2:$E$13,MATCH($H772,Productos!$A$2:$A$13,0))*INDEX(Parametros!$B$26:$B$43,MATCH($C772,Parametros!$A$26:$A$43,0))</f>
        <v>20.5436</v>
      </c>
      <c r="R772" s="21" t="n">
        <f aca="false">L772*Q772</f>
        <v>5752.208</v>
      </c>
      <c r="S772" s="18" t="n">
        <f aca="false">L772*INDEX(Parametros!$B$20:$B$22,MATCH($E772,Parametros!$A$20:$A$22,0))</f>
        <v>532</v>
      </c>
      <c r="T772" s="18" t="n">
        <f aca="false">P772*INDEX(Parametros!$B$13:$B$16,MATCH($F772,Parametros!$A$13:$A$16,0))</f>
        <v>397.488</v>
      </c>
      <c r="U772" s="21" t="n">
        <f aca="false">P772-R772-S772-T772</f>
        <v>3255.504</v>
      </c>
      <c r="V772" s="19" t="n">
        <f aca="false">IFERROR(U772/P772,0)</f>
        <v>0.327607776838546</v>
      </c>
      <c r="W772" s="48" t="n">
        <f aca="false">B772+INDEX(Parametros!$C$13:$C$16,MATCH($F772,Parametros!$A$13:$A$16,0))</f>
        <v>45994</v>
      </c>
      <c r="X772" s="31" t="s">
        <v>67</v>
      </c>
      <c r="Y772" s="53" t="n">
        <f aca="false">IF(COUNTIF($A$2:$A772,A772)=1,1,0)</f>
        <v>0</v>
      </c>
    </row>
    <row r="773" customFormat="false" ht="15" hidden="false" customHeight="false" outlineLevel="0" collapsed="false">
      <c r="A773" s="31" t="s">
        <v>655</v>
      </c>
      <c r="B773" s="36" t="n">
        <v>45922</v>
      </c>
      <c r="C773" s="49" t="n">
        <f aca="false">DATE(YEAR(B773),MONTH(B773),1)</f>
        <v>45901</v>
      </c>
      <c r="D773" s="31" t="s">
        <v>194</v>
      </c>
      <c r="E773" s="31" t="s">
        <v>41</v>
      </c>
      <c r="F773" s="31" t="s">
        <v>46</v>
      </c>
      <c r="G773" s="31" t="s">
        <v>58</v>
      </c>
      <c r="H773" s="31" t="s">
        <v>173</v>
      </c>
      <c r="I773" s="32" t="str">
        <f aca="false">INDEX(Productos!$B$2:$B$13,MATCH($H773,Productos!$A$2:$A$13,0))</f>
        <v>Tornillo DIN 933 M12x70 clase 8.8</v>
      </c>
      <c r="J773" s="32" t="str">
        <f aca="false">INDEX(Productos!$C$2:$C$13,MATCH($H773,Productos!$A$2:$A$13,0))</f>
        <v>Métrica</v>
      </c>
      <c r="K773" s="31" t="s">
        <v>246</v>
      </c>
      <c r="L773" s="46" t="n">
        <v>61</v>
      </c>
      <c r="M773" s="50" t="n">
        <f aca="false">INDEX(Productos!$F$2:$F$13,MATCH($H773,Productos!$A$2:$A$13,0))</f>
        <v>64</v>
      </c>
      <c r="N773" s="51" t="n">
        <v>0.088</v>
      </c>
      <c r="O773" s="52" t="n">
        <f aca="false">M773*(1-N773)</f>
        <v>58.368</v>
      </c>
      <c r="P773" s="21" t="n">
        <f aca="false">L773*O773</f>
        <v>3560.448</v>
      </c>
      <c r="Q773" s="50" t="n">
        <f aca="false">INDEX(Productos!$E$2:$E$13,MATCH($H773,Productos!$A$2:$A$13,0))*INDEX(Parametros!$B$26:$B$43,MATCH($C773,Parametros!$A$26:$A$43,0))</f>
        <v>33.902</v>
      </c>
      <c r="R773" s="21" t="n">
        <f aca="false">L773*Q773</f>
        <v>2068.022</v>
      </c>
      <c r="S773" s="18" t="n">
        <f aca="false">L773*INDEX(Parametros!$B$20:$B$22,MATCH($E773,Parametros!$A$20:$A$22,0))</f>
        <v>51.85</v>
      </c>
      <c r="T773" s="18" t="n">
        <f aca="false">P773*INDEX(Parametros!$B$13:$B$16,MATCH($F773,Parametros!$A$13:$A$16,0))</f>
        <v>142.41792</v>
      </c>
      <c r="U773" s="21" t="n">
        <f aca="false">P773-R773-S773-T773</f>
        <v>1298.15808</v>
      </c>
      <c r="V773" s="19" t="n">
        <f aca="false">IFERROR(U773/P773,0)</f>
        <v>0.364605263157895</v>
      </c>
      <c r="W773" s="48" t="n">
        <f aca="false">B773+INDEX(Parametros!$C$13:$C$16,MATCH($F773,Parametros!$A$13:$A$16,0))</f>
        <v>45997</v>
      </c>
      <c r="X773" s="31" t="s">
        <v>67</v>
      </c>
      <c r="Y773" s="53" t="n">
        <f aca="false">IF(COUNTIF($A$2:$A773,A773)=1,1,0)</f>
        <v>1</v>
      </c>
    </row>
    <row r="774" customFormat="false" ht="15" hidden="false" customHeight="false" outlineLevel="0" collapsed="false">
      <c r="A774" s="31" t="s">
        <v>655</v>
      </c>
      <c r="B774" s="36" t="n">
        <v>45922</v>
      </c>
      <c r="C774" s="49" t="n">
        <f aca="false">DATE(YEAR(B774),MONTH(B774),1)</f>
        <v>45901</v>
      </c>
      <c r="D774" s="31" t="s">
        <v>194</v>
      </c>
      <c r="E774" s="31" t="s">
        <v>41</v>
      </c>
      <c r="F774" s="31" t="s">
        <v>46</v>
      </c>
      <c r="G774" s="31" t="s">
        <v>58</v>
      </c>
      <c r="H774" s="31" t="s">
        <v>185</v>
      </c>
      <c r="I774" s="32" t="str">
        <f aca="false">INDEX(Productos!$B$2:$B$13,MATCH($H774,Productos!$A$2:$A$13,0))</f>
        <v>Varilla roscada M10 x 1 m zincada</v>
      </c>
      <c r="J774" s="32" t="str">
        <f aca="false">INDEX(Productos!$C$2:$C$13,MATCH($H774,Productos!$A$2:$A$13,0))</f>
        <v>Especial</v>
      </c>
      <c r="K774" s="31" t="s">
        <v>246</v>
      </c>
      <c r="L774" s="46" t="n">
        <v>77</v>
      </c>
      <c r="M774" s="50" t="n">
        <f aca="false">INDEX(Productos!$F$2:$F$13,MATCH($H774,Productos!$A$2:$A$13,0))</f>
        <v>54</v>
      </c>
      <c r="N774" s="51" t="n">
        <v>0.177</v>
      </c>
      <c r="O774" s="52" t="n">
        <f aca="false">M774*(1-N774)</f>
        <v>44.442</v>
      </c>
      <c r="P774" s="21" t="n">
        <f aca="false">L774*O774</f>
        <v>3422.034</v>
      </c>
      <c r="Q774" s="50" t="n">
        <f aca="false">INDEX(Productos!$E$2:$E$13,MATCH($H774,Productos!$A$2:$A$13,0))*INDEX(Parametros!$B$26:$B$43,MATCH($C774,Parametros!$A$26:$A$43,0))</f>
        <v>28.842</v>
      </c>
      <c r="R774" s="21" t="n">
        <f aca="false">L774*Q774</f>
        <v>2220.834</v>
      </c>
      <c r="S774" s="18" t="n">
        <f aca="false">L774*INDEX(Parametros!$B$20:$B$22,MATCH($E774,Parametros!$A$20:$A$22,0))</f>
        <v>65.45</v>
      </c>
      <c r="T774" s="18" t="n">
        <f aca="false">P774*INDEX(Parametros!$B$13:$B$16,MATCH($F774,Parametros!$A$13:$A$16,0))</f>
        <v>136.88136</v>
      </c>
      <c r="U774" s="21" t="n">
        <f aca="false">P774-R774-S774-T774</f>
        <v>998.86864</v>
      </c>
      <c r="V774" s="19" t="n">
        <f aca="false">IFERROR(U774/P774,0)</f>
        <v>0.291893254128977</v>
      </c>
      <c r="W774" s="48" t="n">
        <f aca="false">B774+INDEX(Parametros!$C$13:$C$16,MATCH($F774,Parametros!$A$13:$A$16,0))</f>
        <v>45997</v>
      </c>
      <c r="X774" s="31" t="s">
        <v>67</v>
      </c>
      <c r="Y774" s="53" t="n">
        <f aca="false">IF(COUNTIF($A$2:$A774,A774)=1,1,0)</f>
        <v>0</v>
      </c>
    </row>
    <row r="775" customFormat="false" ht="15" hidden="false" customHeight="false" outlineLevel="0" collapsed="false">
      <c r="A775" s="31" t="s">
        <v>656</v>
      </c>
      <c r="B775" s="36" t="n">
        <v>45922</v>
      </c>
      <c r="C775" s="49" t="n">
        <f aca="false">DATE(YEAR(B775),MONTH(B775),1)</f>
        <v>45901</v>
      </c>
      <c r="D775" s="31" t="s">
        <v>217</v>
      </c>
      <c r="E775" s="31" t="s">
        <v>42</v>
      </c>
      <c r="F775" s="31" t="s">
        <v>47</v>
      </c>
      <c r="G775" s="31" t="s">
        <v>61</v>
      </c>
      <c r="H775" s="31" t="s">
        <v>167</v>
      </c>
      <c r="I775" s="32" t="str">
        <f aca="false">INDEX(Productos!$B$2:$B$13,MATCH($H775,Productos!$A$2:$A$13,0))</f>
        <v>Tornillo DIN 912 M6x25 Allen zincado</v>
      </c>
      <c r="J775" s="32" t="str">
        <f aca="false">INDEX(Productos!$C$2:$C$13,MATCH($H775,Productos!$A$2:$A$13,0))</f>
        <v>Métrica</v>
      </c>
      <c r="K775" s="31" t="s">
        <v>246</v>
      </c>
      <c r="L775" s="46" t="n">
        <v>88</v>
      </c>
      <c r="M775" s="50" t="n">
        <f aca="false">INDEX(Productos!$F$2:$F$13,MATCH($H775,Productos!$A$2:$A$13,0))</f>
        <v>42</v>
      </c>
      <c r="N775" s="51" t="n">
        <v>0.053</v>
      </c>
      <c r="O775" s="52" t="n">
        <f aca="false">M775*(1-N775)</f>
        <v>39.774</v>
      </c>
      <c r="P775" s="21" t="n">
        <f aca="false">L775*O775</f>
        <v>3500.112</v>
      </c>
      <c r="Q775" s="50" t="n">
        <f aca="false">INDEX(Productos!$E$2:$E$13,MATCH($H775,Productos!$A$2:$A$13,0))*INDEX(Parametros!$B$26:$B$43,MATCH($C775,Parametros!$A$26:$A$43,0))</f>
        <v>22.0616</v>
      </c>
      <c r="R775" s="21" t="n">
        <f aca="false">L775*Q775</f>
        <v>1941.4208</v>
      </c>
      <c r="S775" s="18" t="n">
        <f aca="false">L775*INDEX(Parametros!$B$20:$B$22,MATCH($E775,Parametros!$A$20:$A$22,0))</f>
        <v>211.2</v>
      </c>
      <c r="T775" s="18" t="n">
        <f aca="false">P775*INDEX(Parametros!$B$13:$B$16,MATCH($F775,Parametros!$A$13:$A$16,0))</f>
        <v>122.50392</v>
      </c>
      <c r="U775" s="21" t="n">
        <f aca="false">P775-R775-S775-T775</f>
        <v>1224.98728</v>
      </c>
      <c r="V775" s="19" t="n">
        <f aca="false">IFERROR(U775/P775,0)</f>
        <v>0.349985166188968</v>
      </c>
      <c r="W775" s="48" t="n">
        <f aca="false">B775+INDEX(Parametros!$C$13:$C$16,MATCH($F775,Parametros!$A$13:$A$16,0))</f>
        <v>45967</v>
      </c>
      <c r="X775" s="31" t="s">
        <v>67</v>
      </c>
      <c r="Y775" s="53" t="n">
        <f aca="false">IF(COUNTIF($A$2:$A775,A775)=1,1,0)</f>
        <v>1</v>
      </c>
    </row>
    <row r="776" customFormat="false" ht="15" hidden="false" customHeight="false" outlineLevel="0" collapsed="false">
      <c r="A776" s="31" t="s">
        <v>656</v>
      </c>
      <c r="B776" s="36" t="n">
        <v>45922</v>
      </c>
      <c r="C776" s="49" t="n">
        <f aca="false">DATE(YEAR(B776),MONTH(B776),1)</f>
        <v>45901</v>
      </c>
      <c r="D776" s="31" t="s">
        <v>217</v>
      </c>
      <c r="E776" s="31" t="s">
        <v>42</v>
      </c>
      <c r="F776" s="31" t="s">
        <v>47</v>
      </c>
      <c r="G776" s="31" t="s">
        <v>61</v>
      </c>
      <c r="H776" s="31" t="s">
        <v>181</v>
      </c>
      <c r="I776" s="32" t="str">
        <f aca="false">INDEX(Productos!$B$2:$B$13,MATCH($H776,Productos!$A$2:$A$13,0))</f>
        <v>Autotaladrante 5,5x55 punta broca</v>
      </c>
      <c r="J776" s="32" t="str">
        <f aca="false">INDEX(Productos!$C$2:$C$13,MATCH($H776,Productos!$A$2:$A$13,0))</f>
        <v>Autotaladrante</v>
      </c>
      <c r="K776" s="31" t="s">
        <v>246</v>
      </c>
      <c r="L776" s="46" t="n">
        <v>102</v>
      </c>
      <c r="M776" s="50" t="n">
        <f aca="false">INDEX(Productos!$F$2:$F$13,MATCH($H776,Productos!$A$2:$A$13,0))</f>
        <v>39</v>
      </c>
      <c r="N776" s="51" t="n">
        <v>0.09</v>
      </c>
      <c r="O776" s="52" t="n">
        <f aca="false">M776*(1-N776)</f>
        <v>35.49</v>
      </c>
      <c r="P776" s="21" t="n">
        <f aca="false">L776*O776</f>
        <v>3619.98</v>
      </c>
      <c r="Q776" s="50" t="n">
        <f aca="false">INDEX(Productos!$E$2:$E$13,MATCH($H776,Productos!$A$2:$A$13,0))*INDEX(Parametros!$B$26:$B$43,MATCH($C776,Parametros!$A$26:$A$43,0))</f>
        <v>20.5436</v>
      </c>
      <c r="R776" s="21" t="n">
        <f aca="false">L776*Q776</f>
        <v>2095.4472</v>
      </c>
      <c r="S776" s="18" t="n">
        <f aca="false">L776*INDEX(Parametros!$B$20:$B$22,MATCH($E776,Parametros!$A$20:$A$22,0))</f>
        <v>244.8</v>
      </c>
      <c r="T776" s="18" t="n">
        <f aca="false">P776*INDEX(Parametros!$B$13:$B$16,MATCH($F776,Parametros!$A$13:$A$16,0))</f>
        <v>126.6993</v>
      </c>
      <c r="U776" s="21" t="n">
        <f aca="false">P776-R776-S776-T776</f>
        <v>1153.0335</v>
      </c>
      <c r="V776" s="19" t="n">
        <f aca="false">IFERROR(U776/P776,0)</f>
        <v>0.318519301211609</v>
      </c>
      <c r="W776" s="48" t="n">
        <f aca="false">B776+INDEX(Parametros!$C$13:$C$16,MATCH($F776,Parametros!$A$13:$A$16,0))</f>
        <v>45967</v>
      </c>
      <c r="X776" s="31" t="s">
        <v>67</v>
      </c>
      <c r="Y776" s="53" t="n">
        <f aca="false">IF(COUNTIF($A$2:$A776,A776)=1,1,0)</f>
        <v>0</v>
      </c>
    </row>
    <row r="777" customFormat="false" ht="15" hidden="false" customHeight="false" outlineLevel="0" collapsed="false">
      <c r="A777" s="31" t="s">
        <v>657</v>
      </c>
      <c r="B777" s="36" t="n">
        <v>45922</v>
      </c>
      <c r="C777" s="49" t="n">
        <f aca="false">DATE(YEAR(B777),MONTH(B777),1)</f>
        <v>45901</v>
      </c>
      <c r="D777" s="31" t="s">
        <v>209</v>
      </c>
      <c r="E777" s="31" t="s">
        <v>41</v>
      </c>
      <c r="F777" s="31" t="s">
        <v>45</v>
      </c>
      <c r="G777" s="31" t="s">
        <v>62</v>
      </c>
      <c r="H777" s="31" t="s">
        <v>179</v>
      </c>
      <c r="I777" s="32" t="str">
        <f aca="false">INDEX(Productos!$B$2:$B$13,MATCH($H777,Productos!$A$2:$A$13,0))</f>
        <v>Autotaladrante DIN 7504 4,8x38 zincado</v>
      </c>
      <c r="J777" s="32" t="str">
        <f aca="false">INDEX(Productos!$C$2:$C$13,MATCH($H777,Productos!$A$2:$A$13,0))</f>
        <v>Autotaladrante</v>
      </c>
      <c r="K777" s="31" t="s">
        <v>246</v>
      </c>
      <c r="L777" s="46" t="n">
        <v>146</v>
      </c>
      <c r="M777" s="50" t="n">
        <f aca="false">INDEX(Productos!$F$2:$F$13,MATCH($H777,Productos!$A$2:$A$13,0))</f>
        <v>29.5</v>
      </c>
      <c r="N777" s="51" t="n">
        <v>0.143</v>
      </c>
      <c r="O777" s="52" t="n">
        <f aca="false">M777*(1-N777)</f>
        <v>25.2815</v>
      </c>
      <c r="P777" s="21" t="n">
        <f aca="false">L777*O777</f>
        <v>3691.099</v>
      </c>
      <c r="Q777" s="50" t="n">
        <f aca="false">INDEX(Productos!$E$2:$E$13,MATCH($H777,Productos!$A$2:$A$13,0))*INDEX(Parametros!$B$26:$B$43,MATCH($C777,Parametros!$A$26:$A$43,0))</f>
        <v>15.3824</v>
      </c>
      <c r="R777" s="21" t="n">
        <f aca="false">L777*Q777</f>
        <v>2245.8304</v>
      </c>
      <c r="S777" s="18" t="n">
        <f aca="false">L777*INDEX(Parametros!$B$20:$B$22,MATCH($E777,Parametros!$A$20:$A$22,0))</f>
        <v>124.1</v>
      </c>
      <c r="T777" s="18" t="n">
        <f aca="false">P777*INDEX(Parametros!$B$13:$B$16,MATCH($F777,Parametros!$A$13:$A$16,0))</f>
        <v>110.73297</v>
      </c>
      <c r="U777" s="21" t="n">
        <f aca="false">P777-R777-S777-T777</f>
        <v>1210.43563</v>
      </c>
      <c r="V777" s="19" t="n">
        <f aca="false">IFERROR(U777/P777,0)</f>
        <v>0.327933666910587</v>
      </c>
      <c r="W777" s="48" t="n">
        <f aca="false">B777+INDEX(Parametros!$C$13:$C$16,MATCH($F777,Parametros!$A$13:$A$16,0))</f>
        <v>45982</v>
      </c>
      <c r="X777" s="31" t="s">
        <v>67</v>
      </c>
      <c r="Y777" s="53" t="n">
        <f aca="false">IF(COUNTIF($A$2:$A777,A777)=1,1,0)</f>
        <v>1</v>
      </c>
    </row>
    <row r="778" customFormat="false" ht="15" hidden="false" customHeight="false" outlineLevel="0" collapsed="false">
      <c r="A778" s="31" t="s">
        <v>658</v>
      </c>
      <c r="B778" s="36" t="n">
        <v>45923</v>
      </c>
      <c r="C778" s="49" t="n">
        <f aca="false">DATE(YEAR(B778),MONTH(B778),1)</f>
        <v>45901</v>
      </c>
      <c r="D778" s="31" t="s">
        <v>207</v>
      </c>
      <c r="E778" s="31" t="s">
        <v>41</v>
      </c>
      <c r="F778" s="31" t="s">
        <v>47</v>
      </c>
      <c r="G778" s="31" t="s">
        <v>62</v>
      </c>
      <c r="H778" s="31" t="s">
        <v>169</v>
      </c>
      <c r="I778" s="32" t="str">
        <f aca="false">INDEX(Productos!$B$2:$B$13,MATCH($H778,Productos!$A$2:$A$13,0))</f>
        <v>Tornillo DIN 912 M10x60 Allen inox A2</v>
      </c>
      <c r="J778" s="32" t="str">
        <f aca="false">INDEX(Productos!$C$2:$C$13,MATCH($H778,Productos!$A$2:$A$13,0))</f>
        <v>Inoxidable</v>
      </c>
      <c r="K778" s="31" t="s">
        <v>246</v>
      </c>
      <c r="L778" s="46" t="n">
        <v>16</v>
      </c>
      <c r="M778" s="50" t="n">
        <f aca="false">INDEX(Productos!$F$2:$F$13,MATCH($H778,Productos!$A$2:$A$13,0))</f>
        <v>79</v>
      </c>
      <c r="N778" s="51" t="n">
        <v>0.048</v>
      </c>
      <c r="O778" s="52" t="n">
        <f aca="false">M778*(1-N778)</f>
        <v>75.208</v>
      </c>
      <c r="P778" s="21" t="n">
        <f aca="false">L778*O778</f>
        <v>1203.328</v>
      </c>
      <c r="Q778" s="50" t="n">
        <f aca="false">INDEX(Productos!$E$2:$E$13,MATCH($H778,Productos!$A$2:$A$13,0))*INDEX(Parametros!$B$26:$B$43,MATCH($C778,Parametros!$A$26:$A$43,0))</f>
        <v>42.504</v>
      </c>
      <c r="R778" s="21" t="n">
        <f aca="false">L778*Q778</f>
        <v>680.064</v>
      </c>
      <c r="S778" s="18" t="n">
        <f aca="false">L778*INDEX(Parametros!$B$20:$B$22,MATCH($E778,Parametros!$A$20:$A$22,0))</f>
        <v>13.6</v>
      </c>
      <c r="T778" s="18" t="n">
        <f aca="false">P778*INDEX(Parametros!$B$13:$B$16,MATCH($F778,Parametros!$A$13:$A$16,0))</f>
        <v>42.11648</v>
      </c>
      <c r="U778" s="21" t="n">
        <f aca="false">P778-R778-S778-T778</f>
        <v>467.54752</v>
      </c>
      <c r="V778" s="19" t="n">
        <f aca="false">IFERROR(U778/P778,0)</f>
        <v>0.388545367514094</v>
      </c>
      <c r="W778" s="48" t="n">
        <f aca="false">B778+INDEX(Parametros!$C$13:$C$16,MATCH($F778,Parametros!$A$13:$A$16,0))</f>
        <v>45968</v>
      </c>
      <c r="X778" s="31" t="s">
        <v>67</v>
      </c>
      <c r="Y778" s="53" t="n">
        <f aca="false">IF(COUNTIF($A$2:$A778,A778)=1,1,0)</f>
        <v>1</v>
      </c>
    </row>
    <row r="779" customFormat="false" ht="15" hidden="false" customHeight="false" outlineLevel="0" collapsed="false">
      <c r="A779" s="31" t="s">
        <v>658</v>
      </c>
      <c r="B779" s="36" t="n">
        <v>45923</v>
      </c>
      <c r="C779" s="49" t="n">
        <f aca="false">DATE(YEAR(B779),MONTH(B779),1)</f>
        <v>45901</v>
      </c>
      <c r="D779" s="31" t="s">
        <v>207</v>
      </c>
      <c r="E779" s="31" t="s">
        <v>41</v>
      </c>
      <c r="F779" s="31" t="s">
        <v>47</v>
      </c>
      <c r="G779" s="31" t="s">
        <v>62</v>
      </c>
      <c r="H779" s="31" t="s">
        <v>165</v>
      </c>
      <c r="I779" s="32" t="str">
        <f aca="false">INDEX(Productos!$B$2:$B$13,MATCH($H779,Productos!$A$2:$A$13,0))</f>
        <v>Tornillo DIN 933 M8x40 rosca completa zincado</v>
      </c>
      <c r="J779" s="32" t="str">
        <f aca="false">INDEX(Productos!$C$2:$C$13,MATCH($H779,Productos!$A$2:$A$13,0))</f>
        <v>Métrica</v>
      </c>
      <c r="K779" s="31" t="s">
        <v>246</v>
      </c>
      <c r="L779" s="46" t="n">
        <v>57</v>
      </c>
      <c r="M779" s="50" t="n">
        <f aca="false">INDEX(Productos!$F$2:$F$13,MATCH($H779,Productos!$A$2:$A$13,0))</f>
        <v>37.5</v>
      </c>
      <c r="N779" s="51" t="n">
        <v>0.07</v>
      </c>
      <c r="O779" s="52" t="n">
        <f aca="false">M779*(1-N779)</f>
        <v>34.875</v>
      </c>
      <c r="P779" s="21" t="n">
        <f aca="false">L779*O779</f>
        <v>1987.875</v>
      </c>
      <c r="Q779" s="50" t="n">
        <f aca="false">INDEX(Productos!$E$2:$E$13,MATCH($H779,Productos!$A$2:$A$13,0))*INDEX(Parametros!$B$26:$B$43,MATCH($C779,Parametros!$A$26:$A$43,0))</f>
        <v>19.6328</v>
      </c>
      <c r="R779" s="21" t="n">
        <f aca="false">L779*Q779</f>
        <v>1119.0696</v>
      </c>
      <c r="S779" s="18" t="n">
        <f aca="false">L779*INDEX(Parametros!$B$20:$B$22,MATCH($E779,Parametros!$A$20:$A$22,0))</f>
        <v>48.45</v>
      </c>
      <c r="T779" s="18" t="n">
        <f aca="false">P779*INDEX(Parametros!$B$13:$B$16,MATCH($F779,Parametros!$A$13:$A$16,0))</f>
        <v>69.575625</v>
      </c>
      <c r="U779" s="21" t="n">
        <f aca="false">P779-R779-S779-T779</f>
        <v>750.779775</v>
      </c>
      <c r="V779" s="19" t="n">
        <f aca="false">IFERROR(U779/P779,0)</f>
        <v>0.377679569892473</v>
      </c>
      <c r="W779" s="48" t="n">
        <f aca="false">B779+INDEX(Parametros!$C$13:$C$16,MATCH($F779,Parametros!$A$13:$A$16,0))</f>
        <v>45968</v>
      </c>
      <c r="X779" s="31" t="s">
        <v>67</v>
      </c>
      <c r="Y779" s="53" t="n">
        <f aca="false">IF(COUNTIF($A$2:$A779,A779)=1,1,0)</f>
        <v>0</v>
      </c>
    </row>
    <row r="780" customFormat="false" ht="15" hidden="false" customHeight="false" outlineLevel="0" collapsed="false">
      <c r="A780" s="31" t="s">
        <v>659</v>
      </c>
      <c r="B780" s="36" t="n">
        <v>45923</v>
      </c>
      <c r="C780" s="49" t="n">
        <f aca="false">DATE(YEAR(B780),MONTH(B780),1)</f>
        <v>45901</v>
      </c>
      <c r="D780" s="31" t="s">
        <v>228</v>
      </c>
      <c r="E780" s="31" t="s">
        <v>43</v>
      </c>
      <c r="F780" s="31" t="s">
        <v>47</v>
      </c>
      <c r="G780" s="31" t="s">
        <v>59</v>
      </c>
      <c r="H780" s="31" t="s">
        <v>183</v>
      </c>
      <c r="I780" s="32" t="str">
        <f aca="false">INDEX(Productos!$B$2:$B$13,MATCH($H780,Productos!$A$2:$A$13,0))</f>
        <v>Tornillo estructural M16x90 clase 10.9</v>
      </c>
      <c r="J780" s="32" t="str">
        <f aca="false">INDEX(Productos!$C$2:$C$13,MATCH($H780,Productos!$A$2:$A$13,0))</f>
        <v>Especial</v>
      </c>
      <c r="K780" s="31" t="s">
        <v>246</v>
      </c>
      <c r="L780" s="46" t="n">
        <v>63</v>
      </c>
      <c r="M780" s="50" t="n">
        <f aca="false">INDEX(Productos!$F$2:$F$13,MATCH($H780,Productos!$A$2:$A$13,0))</f>
        <v>112</v>
      </c>
      <c r="N780" s="51" t="n">
        <v>0.059</v>
      </c>
      <c r="O780" s="52" t="n">
        <f aca="false">M780*(1-N780)</f>
        <v>105.392</v>
      </c>
      <c r="P780" s="21" t="n">
        <f aca="false">L780*O780</f>
        <v>6639.696</v>
      </c>
      <c r="Q780" s="50" t="n">
        <f aca="false">INDEX(Productos!$E$2:$E$13,MATCH($H780,Productos!$A$2:$A$13,0))*INDEX(Parametros!$B$26:$B$43,MATCH($C780,Parametros!$A$26:$A$43,0))</f>
        <v>60.72</v>
      </c>
      <c r="R780" s="21" t="n">
        <f aca="false">L780*Q780</f>
        <v>3825.36</v>
      </c>
      <c r="S780" s="18" t="n">
        <f aca="false">L780*INDEX(Parametros!$B$20:$B$22,MATCH($E780,Parametros!$A$20:$A$22,0))</f>
        <v>119.7</v>
      </c>
      <c r="T780" s="18" t="n">
        <f aca="false">P780*INDEX(Parametros!$B$13:$B$16,MATCH($F780,Parametros!$A$13:$A$16,0))</f>
        <v>232.38936</v>
      </c>
      <c r="U780" s="21" t="n">
        <f aca="false">P780-R780-S780-T780</f>
        <v>2462.24664</v>
      </c>
      <c r="V780" s="19" t="n">
        <f aca="false">IFERROR(U780/P780,0)</f>
        <v>0.370837255199636</v>
      </c>
      <c r="W780" s="48" t="n">
        <f aca="false">B780+INDEX(Parametros!$C$13:$C$16,MATCH($F780,Parametros!$A$13:$A$16,0))</f>
        <v>45968</v>
      </c>
      <c r="X780" s="31" t="s">
        <v>67</v>
      </c>
      <c r="Y780" s="53" t="n">
        <f aca="false">IF(COUNTIF($A$2:$A780,A780)=1,1,0)</f>
        <v>1</v>
      </c>
    </row>
    <row r="781" customFormat="false" ht="15" hidden="false" customHeight="false" outlineLevel="0" collapsed="false">
      <c r="A781" s="31" t="s">
        <v>660</v>
      </c>
      <c r="B781" s="36" t="n">
        <v>45924</v>
      </c>
      <c r="C781" s="49" t="n">
        <f aca="false">DATE(YEAR(B781),MONTH(B781),1)</f>
        <v>45901</v>
      </c>
      <c r="D781" s="31" t="s">
        <v>224</v>
      </c>
      <c r="E781" s="31" t="s">
        <v>43</v>
      </c>
      <c r="F781" s="31" t="s">
        <v>45</v>
      </c>
      <c r="G781" s="31" t="s">
        <v>59</v>
      </c>
      <c r="H781" s="31" t="s">
        <v>165</v>
      </c>
      <c r="I781" s="32" t="str">
        <f aca="false">INDEX(Productos!$B$2:$B$13,MATCH($H781,Productos!$A$2:$A$13,0))</f>
        <v>Tornillo DIN 933 M8x40 rosca completa zincado</v>
      </c>
      <c r="J781" s="32" t="str">
        <f aca="false">INDEX(Productos!$C$2:$C$13,MATCH($H781,Productos!$A$2:$A$13,0))</f>
        <v>Métrica</v>
      </c>
      <c r="K781" s="31" t="s">
        <v>246</v>
      </c>
      <c r="L781" s="46" t="n">
        <v>105</v>
      </c>
      <c r="M781" s="50" t="n">
        <f aca="false">INDEX(Productos!$F$2:$F$13,MATCH($H781,Productos!$A$2:$A$13,0))</f>
        <v>37.5</v>
      </c>
      <c r="N781" s="51" t="n">
        <v>0.192</v>
      </c>
      <c r="O781" s="52" t="n">
        <f aca="false">M781*(1-N781)</f>
        <v>30.3</v>
      </c>
      <c r="P781" s="21" t="n">
        <f aca="false">L781*O781</f>
        <v>3181.5</v>
      </c>
      <c r="Q781" s="50" t="n">
        <f aca="false">INDEX(Productos!$E$2:$E$13,MATCH($H781,Productos!$A$2:$A$13,0))*INDEX(Parametros!$B$26:$B$43,MATCH($C781,Parametros!$A$26:$A$43,0))</f>
        <v>19.6328</v>
      </c>
      <c r="R781" s="21" t="n">
        <f aca="false">L781*Q781</f>
        <v>2061.444</v>
      </c>
      <c r="S781" s="18" t="n">
        <f aca="false">L781*INDEX(Parametros!$B$20:$B$22,MATCH($E781,Parametros!$A$20:$A$22,0))</f>
        <v>199.5</v>
      </c>
      <c r="T781" s="18" t="n">
        <f aca="false">P781*INDEX(Parametros!$B$13:$B$16,MATCH($F781,Parametros!$A$13:$A$16,0))</f>
        <v>95.445</v>
      </c>
      <c r="U781" s="21" t="n">
        <f aca="false">P781-R781-S781-T781</f>
        <v>825.111</v>
      </c>
      <c r="V781" s="19" t="n">
        <f aca="false">IFERROR(U781/P781,0)</f>
        <v>0.259346534653465</v>
      </c>
      <c r="W781" s="48" t="n">
        <f aca="false">B781+INDEX(Parametros!$C$13:$C$16,MATCH($F781,Parametros!$A$13:$A$16,0))</f>
        <v>45984</v>
      </c>
      <c r="X781" s="31" t="s">
        <v>67</v>
      </c>
      <c r="Y781" s="53" t="n">
        <f aca="false">IF(COUNTIF($A$2:$A781,A781)=1,1,0)</f>
        <v>1</v>
      </c>
    </row>
    <row r="782" customFormat="false" ht="15" hidden="false" customHeight="false" outlineLevel="0" collapsed="false">
      <c r="A782" s="31" t="s">
        <v>661</v>
      </c>
      <c r="B782" s="36" t="n">
        <v>45925</v>
      </c>
      <c r="C782" s="49" t="n">
        <f aca="false">DATE(YEAR(B782),MONTH(B782),1)</f>
        <v>45901</v>
      </c>
      <c r="D782" s="31" t="s">
        <v>221</v>
      </c>
      <c r="E782" s="31" t="s">
        <v>43</v>
      </c>
      <c r="F782" s="31" t="s">
        <v>45</v>
      </c>
      <c r="G782" s="31" t="s">
        <v>59</v>
      </c>
      <c r="H782" s="31" t="s">
        <v>171</v>
      </c>
      <c r="I782" s="32" t="str">
        <f aca="false">INDEX(Productos!$B$2:$B$13,MATCH($H782,Productos!$A$2:$A$13,0))</f>
        <v>Tornillo DIN 7991 M8x30 avellanado inox A2</v>
      </c>
      <c r="J782" s="32" t="str">
        <f aca="false">INDEX(Productos!$C$2:$C$13,MATCH($H782,Productos!$A$2:$A$13,0))</f>
        <v>Inoxidable</v>
      </c>
      <c r="K782" s="31" t="s">
        <v>246</v>
      </c>
      <c r="L782" s="46" t="n">
        <v>40</v>
      </c>
      <c r="M782" s="50" t="n">
        <f aca="false">INDEX(Productos!$F$2:$F$13,MATCH($H782,Productos!$A$2:$A$13,0))</f>
        <v>88</v>
      </c>
      <c r="N782" s="51" t="n">
        <v>0.22</v>
      </c>
      <c r="O782" s="52" t="n">
        <f aca="false">M782*(1-N782)</f>
        <v>68.64</v>
      </c>
      <c r="P782" s="21" t="n">
        <f aca="false">L782*O782</f>
        <v>2745.6</v>
      </c>
      <c r="Q782" s="50" t="n">
        <f aca="false">INDEX(Productos!$E$2:$E$13,MATCH($H782,Productos!$A$2:$A$13,0))*INDEX(Parametros!$B$26:$B$43,MATCH($C782,Parametros!$A$26:$A$43,0))</f>
        <v>47.058</v>
      </c>
      <c r="R782" s="21" t="n">
        <f aca="false">L782*Q782</f>
        <v>1882.32</v>
      </c>
      <c r="S782" s="18" t="n">
        <f aca="false">L782*INDEX(Parametros!$B$20:$B$22,MATCH($E782,Parametros!$A$20:$A$22,0))</f>
        <v>76</v>
      </c>
      <c r="T782" s="18" t="n">
        <f aca="false">P782*INDEX(Parametros!$B$13:$B$16,MATCH($F782,Parametros!$A$13:$A$16,0))</f>
        <v>82.368</v>
      </c>
      <c r="U782" s="21" t="n">
        <f aca="false">P782-R782-S782-T782</f>
        <v>704.912</v>
      </c>
      <c r="V782" s="19" t="n">
        <f aca="false">IFERROR(U782/P782,0)</f>
        <v>0.256742424242424</v>
      </c>
      <c r="W782" s="48" t="n">
        <f aca="false">B782+INDEX(Parametros!$C$13:$C$16,MATCH($F782,Parametros!$A$13:$A$16,0))</f>
        <v>45985</v>
      </c>
      <c r="X782" s="31" t="s">
        <v>69</v>
      </c>
      <c r="Y782" s="53" t="n">
        <f aca="false">IF(COUNTIF($A$2:$A782,A782)=1,1,0)</f>
        <v>1</v>
      </c>
    </row>
    <row r="783" customFormat="false" ht="15" hidden="false" customHeight="false" outlineLevel="0" collapsed="false">
      <c r="A783" s="31" t="s">
        <v>661</v>
      </c>
      <c r="B783" s="36" t="n">
        <v>45925</v>
      </c>
      <c r="C783" s="49" t="n">
        <f aca="false">DATE(YEAR(B783),MONTH(B783),1)</f>
        <v>45901</v>
      </c>
      <c r="D783" s="31" t="s">
        <v>221</v>
      </c>
      <c r="E783" s="31" t="s">
        <v>43</v>
      </c>
      <c r="F783" s="31" t="s">
        <v>45</v>
      </c>
      <c r="G783" s="31" t="s">
        <v>59</v>
      </c>
      <c r="H783" s="31" t="s">
        <v>177</v>
      </c>
      <c r="I783" s="32" t="str">
        <f aca="false">INDEX(Productos!$B$2:$B$13,MATCH($H783,Productos!$A$2:$A$13,0))</f>
        <v>Tirafondo madera 6x100 cabeza plana Torx</v>
      </c>
      <c r="J783" s="32" t="str">
        <f aca="false">INDEX(Productos!$C$2:$C$13,MATCH($H783,Productos!$A$2:$A$13,0))</f>
        <v>Madera</v>
      </c>
      <c r="K783" s="31" t="s">
        <v>246</v>
      </c>
      <c r="L783" s="46" t="n">
        <v>23</v>
      </c>
      <c r="M783" s="50" t="n">
        <f aca="false">INDEX(Productos!$F$2:$F$13,MATCH($H783,Productos!$A$2:$A$13,0))</f>
        <v>34</v>
      </c>
      <c r="N783" s="51" t="n">
        <v>0.142</v>
      </c>
      <c r="O783" s="52" t="n">
        <f aca="false">M783*(1-N783)</f>
        <v>29.172</v>
      </c>
      <c r="P783" s="21" t="n">
        <f aca="false">L783*O783</f>
        <v>670.956</v>
      </c>
      <c r="Q783" s="50" t="n">
        <f aca="false">INDEX(Productos!$E$2:$E$13,MATCH($H783,Productos!$A$2:$A$13,0))*INDEX(Parametros!$B$26:$B$43,MATCH($C783,Parametros!$A$26:$A$43,0))</f>
        <v>18.0136</v>
      </c>
      <c r="R783" s="21" t="n">
        <f aca="false">L783*Q783</f>
        <v>414.3128</v>
      </c>
      <c r="S783" s="18" t="n">
        <f aca="false">L783*INDEX(Parametros!$B$20:$B$22,MATCH($E783,Parametros!$A$20:$A$22,0))</f>
        <v>43.7</v>
      </c>
      <c r="T783" s="18" t="n">
        <f aca="false">P783*INDEX(Parametros!$B$13:$B$16,MATCH($F783,Parametros!$A$13:$A$16,0))</f>
        <v>20.12868</v>
      </c>
      <c r="U783" s="21" t="n">
        <f aca="false">P783-R783-S783-T783</f>
        <v>192.81452</v>
      </c>
      <c r="V783" s="19" t="n">
        <f aca="false">IFERROR(U783/P783,0)</f>
        <v>0.287372823255176</v>
      </c>
      <c r="W783" s="48" t="n">
        <f aca="false">B783+INDEX(Parametros!$C$13:$C$16,MATCH($F783,Parametros!$A$13:$A$16,0))</f>
        <v>45985</v>
      </c>
      <c r="X783" s="31" t="s">
        <v>67</v>
      </c>
      <c r="Y783" s="53" t="n">
        <f aca="false">IF(COUNTIF($A$2:$A783,A783)=1,1,0)</f>
        <v>0</v>
      </c>
    </row>
    <row r="784" customFormat="false" ht="15" hidden="false" customHeight="false" outlineLevel="0" collapsed="false">
      <c r="A784" s="31" t="s">
        <v>661</v>
      </c>
      <c r="B784" s="36" t="n">
        <v>45925</v>
      </c>
      <c r="C784" s="49" t="n">
        <f aca="false">DATE(YEAR(B784),MONTH(B784),1)</f>
        <v>45901</v>
      </c>
      <c r="D784" s="31" t="s">
        <v>221</v>
      </c>
      <c r="E784" s="31" t="s">
        <v>43</v>
      </c>
      <c r="F784" s="31" t="s">
        <v>45</v>
      </c>
      <c r="G784" s="31" t="s">
        <v>59</v>
      </c>
      <c r="H784" s="31" t="s">
        <v>173</v>
      </c>
      <c r="I784" s="32" t="str">
        <f aca="false">INDEX(Productos!$B$2:$B$13,MATCH($H784,Productos!$A$2:$A$13,0))</f>
        <v>Tornillo DIN 933 M12x70 clase 8.8</v>
      </c>
      <c r="J784" s="32" t="str">
        <f aca="false">INDEX(Productos!$C$2:$C$13,MATCH($H784,Productos!$A$2:$A$13,0))</f>
        <v>Métrica</v>
      </c>
      <c r="K784" s="31" t="s">
        <v>246</v>
      </c>
      <c r="L784" s="46" t="n">
        <v>316</v>
      </c>
      <c r="M784" s="50" t="n">
        <f aca="false">INDEX(Productos!$F$2:$F$13,MATCH($H784,Productos!$A$2:$A$13,0))</f>
        <v>64</v>
      </c>
      <c r="N784" s="51" t="n">
        <v>0.188</v>
      </c>
      <c r="O784" s="52" t="n">
        <f aca="false">M784*(1-N784)</f>
        <v>51.968</v>
      </c>
      <c r="P784" s="21" t="n">
        <f aca="false">L784*O784</f>
        <v>16421.888</v>
      </c>
      <c r="Q784" s="50" t="n">
        <f aca="false">INDEX(Productos!$E$2:$E$13,MATCH($H784,Productos!$A$2:$A$13,0))*INDEX(Parametros!$B$26:$B$43,MATCH($C784,Parametros!$A$26:$A$43,0))</f>
        <v>33.902</v>
      </c>
      <c r="R784" s="21" t="n">
        <f aca="false">L784*Q784</f>
        <v>10713.032</v>
      </c>
      <c r="S784" s="18" t="n">
        <f aca="false">L784*INDEX(Parametros!$B$20:$B$22,MATCH($E784,Parametros!$A$20:$A$22,0))</f>
        <v>600.4</v>
      </c>
      <c r="T784" s="18" t="n">
        <f aca="false">P784*INDEX(Parametros!$B$13:$B$16,MATCH($F784,Parametros!$A$13:$A$16,0))</f>
        <v>492.65664</v>
      </c>
      <c r="U784" s="21" t="n">
        <f aca="false">P784-R784-S784-T784</f>
        <v>4615.79936</v>
      </c>
      <c r="V784" s="19" t="n">
        <f aca="false">IFERROR(U784/P784,0)</f>
        <v>0.28107604679803</v>
      </c>
      <c r="W784" s="48" t="n">
        <f aca="false">B784+INDEX(Parametros!$C$13:$C$16,MATCH($F784,Parametros!$A$13:$A$16,0))</f>
        <v>45985</v>
      </c>
      <c r="X784" s="31" t="s">
        <v>67</v>
      </c>
      <c r="Y784" s="53" t="n">
        <f aca="false">IF(COUNTIF($A$2:$A784,A784)=1,1,0)</f>
        <v>0</v>
      </c>
    </row>
    <row r="785" customFormat="false" ht="15" hidden="false" customHeight="false" outlineLevel="0" collapsed="false">
      <c r="A785" s="31" t="s">
        <v>662</v>
      </c>
      <c r="B785" s="36" t="n">
        <v>45929</v>
      </c>
      <c r="C785" s="49" t="n">
        <f aca="false">DATE(YEAR(B785),MONTH(B785),1)</f>
        <v>45901</v>
      </c>
      <c r="D785" s="31" t="s">
        <v>218</v>
      </c>
      <c r="E785" s="31" t="s">
        <v>42</v>
      </c>
      <c r="F785" s="31" t="s">
        <v>45</v>
      </c>
      <c r="G785" s="31" t="s">
        <v>61</v>
      </c>
      <c r="H785" s="31" t="s">
        <v>171</v>
      </c>
      <c r="I785" s="32" t="str">
        <f aca="false">INDEX(Productos!$B$2:$B$13,MATCH($H785,Productos!$A$2:$A$13,0))</f>
        <v>Tornillo DIN 7991 M8x30 avellanado inox A2</v>
      </c>
      <c r="J785" s="32" t="str">
        <f aca="false">INDEX(Productos!$C$2:$C$13,MATCH($H785,Productos!$A$2:$A$13,0))</f>
        <v>Inoxidable</v>
      </c>
      <c r="K785" s="31" t="s">
        <v>246</v>
      </c>
      <c r="L785" s="46" t="n">
        <v>113</v>
      </c>
      <c r="M785" s="50" t="n">
        <f aca="false">INDEX(Productos!$F$2:$F$13,MATCH($H785,Productos!$A$2:$A$13,0))</f>
        <v>88</v>
      </c>
      <c r="N785" s="51" t="n">
        <v>0.15</v>
      </c>
      <c r="O785" s="52" t="n">
        <f aca="false">M785*(1-N785)</f>
        <v>74.8</v>
      </c>
      <c r="P785" s="21" t="n">
        <f aca="false">L785*O785</f>
        <v>8452.4</v>
      </c>
      <c r="Q785" s="50" t="n">
        <f aca="false">INDEX(Productos!$E$2:$E$13,MATCH($H785,Productos!$A$2:$A$13,0))*INDEX(Parametros!$B$26:$B$43,MATCH($C785,Parametros!$A$26:$A$43,0))</f>
        <v>47.058</v>
      </c>
      <c r="R785" s="21" t="n">
        <f aca="false">L785*Q785</f>
        <v>5317.554</v>
      </c>
      <c r="S785" s="18" t="n">
        <f aca="false">L785*INDEX(Parametros!$B$20:$B$22,MATCH($E785,Parametros!$A$20:$A$22,0))</f>
        <v>271.2</v>
      </c>
      <c r="T785" s="18" t="n">
        <f aca="false">P785*INDEX(Parametros!$B$13:$B$16,MATCH($F785,Parametros!$A$13:$A$16,0))</f>
        <v>253.572</v>
      </c>
      <c r="U785" s="21" t="n">
        <f aca="false">P785-R785-S785-T785</f>
        <v>2610.074</v>
      </c>
      <c r="V785" s="19" t="n">
        <f aca="false">IFERROR(U785/P785,0)</f>
        <v>0.30879679144385</v>
      </c>
      <c r="W785" s="48" t="n">
        <f aca="false">B785+INDEX(Parametros!$C$13:$C$16,MATCH($F785,Parametros!$A$13:$A$16,0))</f>
        <v>45989</v>
      </c>
      <c r="X785" s="31" t="s">
        <v>67</v>
      </c>
      <c r="Y785" s="53" t="n">
        <f aca="false">IF(COUNTIF($A$2:$A785,A785)=1,1,0)</f>
        <v>1</v>
      </c>
    </row>
    <row r="786" customFormat="false" ht="15" hidden="false" customHeight="false" outlineLevel="0" collapsed="false">
      <c r="A786" s="31" t="s">
        <v>663</v>
      </c>
      <c r="B786" s="36" t="n">
        <v>45929</v>
      </c>
      <c r="C786" s="49" t="n">
        <f aca="false">DATE(YEAR(B786),MONTH(B786),1)</f>
        <v>45901</v>
      </c>
      <c r="D786" s="31" t="s">
        <v>197</v>
      </c>
      <c r="E786" s="31" t="s">
        <v>41</v>
      </c>
      <c r="F786" s="31" t="s">
        <v>46</v>
      </c>
      <c r="G786" s="31" t="s">
        <v>58</v>
      </c>
      <c r="H786" s="31" t="s">
        <v>173</v>
      </c>
      <c r="I786" s="32" t="str">
        <f aca="false">INDEX(Productos!$B$2:$B$13,MATCH($H786,Productos!$A$2:$A$13,0))</f>
        <v>Tornillo DIN 933 M12x70 clase 8.8</v>
      </c>
      <c r="J786" s="32" t="str">
        <f aca="false">INDEX(Productos!$C$2:$C$13,MATCH($H786,Productos!$A$2:$A$13,0))</f>
        <v>Métrica</v>
      </c>
      <c r="K786" s="31" t="s">
        <v>246</v>
      </c>
      <c r="L786" s="46" t="n">
        <v>76</v>
      </c>
      <c r="M786" s="50" t="n">
        <f aca="false">INDEX(Productos!$F$2:$F$13,MATCH($H786,Productos!$A$2:$A$13,0))</f>
        <v>64</v>
      </c>
      <c r="N786" s="51" t="n">
        <v>0.179</v>
      </c>
      <c r="O786" s="52" t="n">
        <f aca="false">M786*(1-N786)</f>
        <v>52.544</v>
      </c>
      <c r="P786" s="21" t="n">
        <f aca="false">L786*O786</f>
        <v>3993.344</v>
      </c>
      <c r="Q786" s="50" t="n">
        <f aca="false">INDEX(Productos!$E$2:$E$13,MATCH($H786,Productos!$A$2:$A$13,0))*INDEX(Parametros!$B$26:$B$43,MATCH($C786,Parametros!$A$26:$A$43,0))</f>
        <v>33.902</v>
      </c>
      <c r="R786" s="21" t="n">
        <f aca="false">L786*Q786</f>
        <v>2576.552</v>
      </c>
      <c r="S786" s="18" t="n">
        <f aca="false">L786*INDEX(Parametros!$B$20:$B$22,MATCH($E786,Parametros!$A$20:$A$22,0))</f>
        <v>64.6</v>
      </c>
      <c r="T786" s="18" t="n">
        <f aca="false">P786*INDEX(Parametros!$B$13:$B$16,MATCH($F786,Parametros!$A$13:$A$16,0))</f>
        <v>159.73376</v>
      </c>
      <c r="U786" s="21" t="n">
        <f aca="false">P786-R786-S786-T786</f>
        <v>1192.45824</v>
      </c>
      <c r="V786" s="19" t="n">
        <f aca="false">IFERROR(U786/P786,0)</f>
        <v>0.298611449451888</v>
      </c>
      <c r="W786" s="48" t="n">
        <f aca="false">B786+INDEX(Parametros!$C$13:$C$16,MATCH($F786,Parametros!$A$13:$A$16,0))</f>
        <v>46004</v>
      </c>
      <c r="X786" s="31" t="s">
        <v>67</v>
      </c>
      <c r="Y786" s="53" t="n">
        <f aca="false">IF(COUNTIF($A$2:$A786,A786)=1,1,0)</f>
        <v>1</v>
      </c>
    </row>
    <row r="787" customFormat="false" ht="15" hidden="false" customHeight="false" outlineLevel="0" collapsed="false">
      <c r="A787" s="31" t="s">
        <v>664</v>
      </c>
      <c r="B787" s="36" t="n">
        <v>45932</v>
      </c>
      <c r="C787" s="49" t="n">
        <f aca="false">DATE(YEAR(B787),MONTH(B787),1)</f>
        <v>45931</v>
      </c>
      <c r="D787" s="31" t="s">
        <v>224</v>
      </c>
      <c r="E787" s="31" t="s">
        <v>43</v>
      </c>
      <c r="F787" s="31" t="s">
        <v>45</v>
      </c>
      <c r="G787" s="31" t="s">
        <v>59</v>
      </c>
      <c r="H787" s="31" t="s">
        <v>175</v>
      </c>
      <c r="I787" s="32" t="str">
        <f aca="false">INDEX(Productos!$B$2:$B$13,MATCH($H787,Productos!$A$2:$A$13,0))</f>
        <v>Tirafondo madera 5x60 cabeza plana Torx</v>
      </c>
      <c r="J787" s="32" t="str">
        <f aca="false">INDEX(Productos!$C$2:$C$13,MATCH($H787,Productos!$A$2:$A$13,0))</f>
        <v>Madera</v>
      </c>
      <c r="K787" s="31" t="s">
        <v>246</v>
      </c>
      <c r="L787" s="46" t="n">
        <v>55</v>
      </c>
      <c r="M787" s="50" t="n">
        <f aca="false">INDEX(Productos!$F$2:$F$13,MATCH($H787,Productos!$A$2:$A$13,0))</f>
        <v>26</v>
      </c>
      <c r="N787" s="51" t="n">
        <v>0.144</v>
      </c>
      <c r="O787" s="52" t="n">
        <f aca="false">M787*(1-N787)</f>
        <v>22.256</v>
      </c>
      <c r="P787" s="21" t="n">
        <f aca="false">L787*O787</f>
        <v>1224.08</v>
      </c>
      <c r="Q787" s="50" t="n">
        <f aca="false">INDEX(Productos!$E$2:$E$13,MATCH($H787,Productos!$A$2:$A$13,0))*INDEX(Parametros!$B$26:$B$43,MATCH($C787,Parametros!$A$26:$A$43,0))</f>
        <v>13.6546</v>
      </c>
      <c r="R787" s="21" t="n">
        <f aca="false">L787*Q787</f>
        <v>751.003</v>
      </c>
      <c r="S787" s="18" t="n">
        <f aca="false">L787*INDEX(Parametros!$B$20:$B$22,MATCH($E787,Parametros!$A$20:$A$22,0))</f>
        <v>104.5</v>
      </c>
      <c r="T787" s="18" t="n">
        <f aca="false">P787*INDEX(Parametros!$B$13:$B$16,MATCH($F787,Parametros!$A$13:$A$16,0))</f>
        <v>36.7224</v>
      </c>
      <c r="U787" s="21" t="n">
        <f aca="false">P787-R787-S787-T787</f>
        <v>331.8546</v>
      </c>
      <c r="V787" s="19" t="n">
        <f aca="false">IFERROR(U787/P787,0)</f>
        <v>0.271105319913731</v>
      </c>
      <c r="W787" s="48" t="n">
        <f aca="false">B787+INDEX(Parametros!$C$13:$C$16,MATCH($F787,Parametros!$A$13:$A$16,0))</f>
        <v>45992</v>
      </c>
      <c r="X787" s="31" t="s">
        <v>67</v>
      </c>
      <c r="Y787" s="53" t="n">
        <f aca="false">IF(COUNTIF($A$2:$A787,A787)=1,1,0)</f>
        <v>1</v>
      </c>
    </row>
    <row r="788" customFormat="false" ht="15" hidden="false" customHeight="false" outlineLevel="0" collapsed="false">
      <c r="A788" s="31" t="s">
        <v>664</v>
      </c>
      <c r="B788" s="36" t="n">
        <v>45932</v>
      </c>
      <c r="C788" s="49" t="n">
        <f aca="false">DATE(YEAR(B788),MONTH(B788),1)</f>
        <v>45931</v>
      </c>
      <c r="D788" s="31" t="s">
        <v>224</v>
      </c>
      <c r="E788" s="31" t="s">
        <v>43</v>
      </c>
      <c r="F788" s="31" t="s">
        <v>45</v>
      </c>
      <c r="G788" s="31" t="s">
        <v>59</v>
      </c>
      <c r="H788" s="31" t="s">
        <v>173</v>
      </c>
      <c r="I788" s="32" t="str">
        <f aca="false">INDEX(Productos!$B$2:$B$13,MATCH($H788,Productos!$A$2:$A$13,0))</f>
        <v>Tornillo DIN 933 M12x70 clase 8.8</v>
      </c>
      <c r="J788" s="32" t="str">
        <f aca="false">INDEX(Productos!$C$2:$C$13,MATCH($H788,Productos!$A$2:$A$13,0))</f>
        <v>Métrica</v>
      </c>
      <c r="K788" s="31" t="s">
        <v>246</v>
      </c>
      <c r="L788" s="46" t="n">
        <v>32</v>
      </c>
      <c r="M788" s="50" t="n">
        <f aca="false">INDEX(Productos!$F$2:$F$13,MATCH($H788,Productos!$A$2:$A$13,0))</f>
        <v>64</v>
      </c>
      <c r="N788" s="51" t="n">
        <v>0.191</v>
      </c>
      <c r="O788" s="52" t="n">
        <f aca="false">M788*(1-N788)</f>
        <v>51.776</v>
      </c>
      <c r="P788" s="21" t="n">
        <f aca="false">L788*O788</f>
        <v>1656.832</v>
      </c>
      <c r="Q788" s="50" t="n">
        <f aca="false">INDEX(Productos!$E$2:$E$13,MATCH($H788,Productos!$A$2:$A$13,0))*INDEX(Parametros!$B$26:$B$43,MATCH($C788,Parametros!$A$26:$A$43,0))</f>
        <v>34.1365</v>
      </c>
      <c r="R788" s="21" t="n">
        <f aca="false">L788*Q788</f>
        <v>1092.368</v>
      </c>
      <c r="S788" s="18" t="n">
        <f aca="false">L788*INDEX(Parametros!$B$20:$B$22,MATCH($E788,Parametros!$A$20:$A$22,0))</f>
        <v>60.8</v>
      </c>
      <c r="T788" s="18" t="n">
        <f aca="false">P788*INDEX(Parametros!$B$13:$B$16,MATCH($F788,Parametros!$A$13:$A$16,0))</f>
        <v>49.70496</v>
      </c>
      <c r="U788" s="21" t="n">
        <f aca="false">P788-R788-S788-T788</f>
        <v>453.95904</v>
      </c>
      <c r="V788" s="19" t="n">
        <f aca="false">IFERROR(U788/P788,0)</f>
        <v>0.273992197156984</v>
      </c>
      <c r="W788" s="48" t="n">
        <f aca="false">B788+INDEX(Parametros!$C$13:$C$16,MATCH($F788,Parametros!$A$13:$A$16,0))</f>
        <v>45992</v>
      </c>
      <c r="X788" s="31" t="s">
        <v>67</v>
      </c>
      <c r="Y788" s="53" t="n">
        <f aca="false">IF(COUNTIF($A$2:$A788,A788)=1,1,0)</f>
        <v>0</v>
      </c>
    </row>
    <row r="789" customFormat="false" ht="15" hidden="false" customHeight="false" outlineLevel="0" collapsed="false">
      <c r="A789" s="31" t="s">
        <v>665</v>
      </c>
      <c r="B789" s="36" t="n">
        <v>45932</v>
      </c>
      <c r="C789" s="49" t="n">
        <f aca="false">DATE(YEAR(B789),MONTH(B789),1)</f>
        <v>45931</v>
      </c>
      <c r="D789" s="31" t="s">
        <v>214</v>
      </c>
      <c r="E789" s="31" t="s">
        <v>42</v>
      </c>
      <c r="F789" s="31" t="s">
        <v>46</v>
      </c>
      <c r="G789" s="31" t="s">
        <v>61</v>
      </c>
      <c r="H789" s="31" t="s">
        <v>169</v>
      </c>
      <c r="I789" s="32" t="str">
        <f aca="false">INDEX(Productos!$B$2:$B$13,MATCH($H789,Productos!$A$2:$A$13,0))</f>
        <v>Tornillo DIN 912 M10x60 Allen inox A2</v>
      </c>
      <c r="J789" s="32" t="str">
        <f aca="false">INDEX(Productos!$C$2:$C$13,MATCH($H789,Productos!$A$2:$A$13,0))</f>
        <v>Inoxidable</v>
      </c>
      <c r="K789" s="31" t="s">
        <v>246</v>
      </c>
      <c r="L789" s="46" t="n">
        <v>115</v>
      </c>
      <c r="M789" s="50" t="n">
        <f aca="false">INDEX(Productos!$F$2:$F$13,MATCH($H789,Productos!$A$2:$A$13,0))</f>
        <v>79</v>
      </c>
      <c r="N789" s="51" t="n">
        <v>0.163</v>
      </c>
      <c r="O789" s="52" t="n">
        <f aca="false">M789*(1-N789)</f>
        <v>66.123</v>
      </c>
      <c r="P789" s="21" t="n">
        <f aca="false">L789*O789</f>
        <v>7604.145</v>
      </c>
      <c r="Q789" s="50" t="n">
        <f aca="false">INDEX(Productos!$E$2:$E$13,MATCH($H789,Productos!$A$2:$A$13,0))*INDEX(Parametros!$B$26:$B$43,MATCH($C789,Parametros!$A$26:$A$43,0))</f>
        <v>42.798</v>
      </c>
      <c r="R789" s="21" t="n">
        <f aca="false">L789*Q789</f>
        <v>4921.77</v>
      </c>
      <c r="S789" s="18" t="n">
        <f aca="false">L789*INDEX(Parametros!$B$20:$B$22,MATCH($E789,Parametros!$A$20:$A$22,0))</f>
        <v>276</v>
      </c>
      <c r="T789" s="18" t="n">
        <f aca="false">P789*INDEX(Parametros!$B$13:$B$16,MATCH($F789,Parametros!$A$13:$A$16,0))</f>
        <v>304.1658</v>
      </c>
      <c r="U789" s="21" t="n">
        <f aca="false">P789-R789-S789-T789</f>
        <v>2102.2092</v>
      </c>
      <c r="V789" s="19" t="n">
        <f aca="false">IFERROR(U789/P789,0)</f>
        <v>0.276455696202532</v>
      </c>
      <c r="W789" s="48" t="n">
        <f aca="false">B789+INDEX(Parametros!$C$13:$C$16,MATCH($F789,Parametros!$A$13:$A$16,0))</f>
        <v>46007</v>
      </c>
      <c r="X789" s="31" t="s">
        <v>67</v>
      </c>
      <c r="Y789" s="53" t="n">
        <f aca="false">IF(COUNTIF($A$2:$A789,A789)=1,1,0)</f>
        <v>1</v>
      </c>
    </row>
    <row r="790" customFormat="false" ht="15" hidden="false" customHeight="false" outlineLevel="0" collapsed="false">
      <c r="A790" s="31" t="s">
        <v>665</v>
      </c>
      <c r="B790" s="36" t="n">
        <v>45932</v>
      </c>
      <c r="C790" s="49" t="n">
        <f aca="false">DATE(YEAR(B790),MONTH(B790),1)</f>
        <v>45931</v>
      </c>
      <c r="D790" s="31" t="s">
        <v>214</v>
      </c>
      <c r="E790" s="31" t="s">
        <v>42</v>
      </c>
      <c r="F790" s="31" t="s">
        <v>46</v>
      </c>
      <c r="G790" s="31" t="s">
        <v>61</v>
      </c>
      <c r="H790" s="31" t="s">
        <v>179</v>
      </c>
      <c r="I790" s="32" t="str">
        <f aca="false">INDEX(Productos!$B$2:$B$13,MATCH($H790,Productos!$A$2:$A$13,0))</f>
        <v>Autotaladrante DIN 7504 4,8x38 zincado</v>
      </c>
      <c r="J790" s="32" t="str">
        <f aca="false">INDEX(Productos!$C$2:$C$13,MATCH($H790,Productos!$A$2:$A$13,0))</f>
        <v>Autotaladrante</v>
      </c>
      <c r="K790" s="31" t="s">
        <v>246</v>
      </c>
      <c r="L790" s="46" t="n">
        <v>25</v>
      </c>
      <c r="M790" s="50" t="n">
        <f aca="false">INDEX(Productos!$F$2:$F$13,MATCH($H790,Productos!$A$2:$A$13,0))</f>
        <v>29.5</v>
      </c>
      <c r="N790" s="51" t="n">
        <v>0.115</v>
      </c>
      <c r="O790" s="52" t="n">
        <f aca="false">M790*(1-N790)</f>
        <v>26.1075</v>
      </c>
      <c r="P790" s="21" t="n">
        <f aca="false">L790*O790</f>
        <v>652.6875</v>
      </c>
      <c r="Q790" s="50" t="n">
        <f aca="false">INDEX(Productos!$E$2:$E$13,MATCH($H790,Productos!$A$2:$A$13,0))*INDEX(Parametros!$B$26:$B$43,MATCH($C790,Parametros!$A$26:$A$43,0))</f>
        <v>15.4888</v>
      </c>
      <c r="R790" s="21" t="n">
        <f aca="false">L790*Q790</f>
        <v>387.22</v>
      </c>
      <c r="S790" s="18" t="n">
        <f aca="false">L790*INDEX(Parametros!$B$20:$B$22,MATCH($E790,Parametros!$A$20:$A$22,0))</f>
        <v>60</v>
      </c>
      <c r="T790" s="18" t="n">
        <f aca="false">P790*INDEX(Parametros!$B$13:$B$16,MATCH($F790,Parametros!$A$13:$A$16,0))</f>
        <v>26.1075</v>
      </c>
      <c r="U790" s="21" t="n">
        <f aca="false">P790-R790-S790-T790</f>
        <v>179.36</v>
      </c>
      <c r="V790" s="19" t="n">
        <f aca="false">IFERROR(U790/P790,0)</f>
        <v>0.274802259887006</v>
      </c>
      <c r="W790" s="48" t="n">
        <f aca="false">B790+INDEX(Parametros!$C$13:$C$16,MATCH($F790,Parametros!$A$13:$A$16,0))</f>
        <v>46007</v>
      </c>
      <c r="X790" s="31" t="s">
        <v>67</v>
      </c>
      <c r="Y790" s="53" t="n">
        <f aca="false">IF(COUNTIF($A$2:$A790,A790)=1,1,0)</f>
        <v>0</v>
      </c>
    </row>
    <row r="791" customFormat="false" ht="15" hidden="false" customHeight="false" outlineLevel="0" collapsed="false">
      <c r="A791" s="31" t="s">
        <v>666</v>
      </c>
      <c r="B791" s="36" t="n">
        <v>45932</v>
      </c>
      <c r="C791" s="49" t="n">
        <f aca="false">DATE(YEAR(B791),MONTH(B791),1)</f>
        <v>45931</v>
      </c>
      <c r="D791" s="31" t="s">
        <v>203</v>
      </c>
      <c r="E791" s="31" t="s">
        <v>41</v>
      </c>
      <c r="F791" s="31" t="s">
        <v>46</v>
      </c>
      <c r="G791" s="31" t="s">
        <v>58</v>
      </c>
      <c r="H791" s="31" t="s">
        <v>173</v>
      </c>
      <c r="I791" s="32" t="str">
        <f aca="false">INDEX(Productos!$B$2:$B$13,MATCH($H791,Productos!$A$2:$A$13,0))</f>
        <v>Tornillo DIN 933 M12x70 clase 8.8</v>
      </c>
      <c r="J791" s="32" t="str">
        <f aca="false">INDEX(Productos!$C$2:$C$13,MATCH($H791,Productos!$A$2:$A$13,0))</f>
        <v>Métrica</v>
      </c>
      <c r="K791" s="31" t="s">
        <v>246</v>
      </c>
      <c r="L791" s="46" t="n">
        <v>265</v>
      </c>
      <c r="M791" s="50" t="n">
        <f aca="false">INDEX(Productos!$F$2:$F$13,MATCH($H791,Productos!$A$2:$A$13,0))</f>
        <v>64</v>
      </c>
      <c r="N791" s="51" t="n">
        <v>0.12</v>
      </c>
      <c r="O791" s="52" t="n">
        <f aca="false">M791*(1-N791)</f>
        <v>56.32</v>
      </c>
      <c r="P791" s="21" t="n">
        <f aca="false">L791*O791</f>
        <v>14924.8</v>
      </c>
      <c r="Q791" s="50" t="n">
        <f aca="false">INDEX(Productos!$E$2:$E$13,MATCH($H791,Productos!$A$2:$A$13,0))*INDEX(Parametros!$B$26:$B$43,MATCH($C791,Parametros!$A$26:$A$43,0))</f>
        <v>34.1365</v>
      </c>
      <c r="R791" s="21" t="n">
        <f aca="false">L791*Q791</f>
        <v>9046.1725</v>
      </c>
      <c r="S791" s="18" t="n">
        <f aca="false">L791*INDEX(Parametros!$B$20:$B$22,MATCH($E791,Parametros!$A$20:$A$22,0))</f>
        <v>225.25</v>
      </c>
      <c r="T791" s="18" t="n">
        <f aca="false">P791*INDEX(Parametros!$B$13:$B$16,MATCH($F791,Parametros!$A$13:$A$16,0))</f>
        <v>596.992</v>
      </c>
      <c r="U791" s="21" t="n">
        <f aca="false">P791-R791-S791-T791</f>
        <v>5056.3855</v>
      </c>
      <c r="V791" s="19" t="n">
        <f aca="false">IFERROR(U791/P791,0)</f>
        <v>0.338790838068182</v>
      </c>
      <c r="W791" s="48" t="n">
        <f aca="false">B791+INDEX(Parametros!$C$13:$C$16,MATCH($F791,Parametros!$A$13:$A$16,0))</f>
        <v>46007</v>
      </c>
      <c r="X791" s="31" t="s">
        <v>67</v>
      </c>
      <c r="Y791" s="53" t="n">
        <f aca="false">IF(COUNTIF($A$2:$A791,A791)=1,1,0)</f>
        <v>1</v>
      </c>
    </row>
    <row r="792" customFormat="false" ht="15" hidden="false" customHeight="false" outlineLevel="0" collapsed="false">
      <c r="A792" s="31" t="s">
        <v>667</v>
      </c>
      <c r="B792" s="36" t="n">
        <v>45933</v>
      </c>
      <c r="C792" s="49" t="n">
        <f aca="false">DATE(YEAR(B792),MONTH(B792),1)</f>
        <v>45931</v>
      </c>
      <c r="D792" s="31" t="s">
        <v>228</v>
      </c>
      <c r="E792" s="31" t="s">
        <v>43</v>
      </c>
      <c r="F792" s="31" t="s">
        <v>47</v>
      </c>
      <c r="G792" s="31" t="s">
        <v>59</v>
      </c>
      <c r="H792" s="31" t="s">
        <v>177</v>
      </c>
      <c r="I792" s="32" t="str">
        <f aca="false">INDEX(Productos!$B$2:$B$13,MATCH($H792,Productos!$A$2:$A$13,0))</f>
        <v>Tirafondo madera 6x100 cabeza plana Torx</v>
      </c>
      <c r="J792" s="32" t="str">
        <f aca="false">INDEX(Productos!$C$2:$C$13,MATCH($H792,Productos!$A$2:$A$13,0))</f>
        <v>Madera</v>
      </c>
      <c r="K792" s="31" t="s">
        <v>246</v>
      </c>
      <c r="L792" s="46" t="n">
        <v>11</v>
      </c>
      <c r="M792" s="50" t="n">
        <f aca="false">INDEX(Productos!$F$2:$F$13,MATCH($H792,Productos!$A$2:$A$13,0))</f>
        <v>34</v>
      </c>
      <c r="N792" s="51" t="n">
        <v>0.063</v>
      </c>
      <c r="O792" s="52" t="n">
        <f aca="false">M792*(1-N792)</f>
        <v>31.858</v>
      </c>
      <c r="P792" s="21" t="n">
        <f aca="false">L792*O792</f>
        <v>350.438</v>
      </c>
      <c r="Q792" s="50" t="n">
        <f aca="false">INDEX(Productos!$E$2:$E$13,MATCH($H792,Productos!$A$2:$A$13,0))*INDEX(Parametros!$B$26:$B$43,MATCH($C792,Parametros!$A$26:$A$43,0))</f>
        <v>18.1382</v>
      </c>
      <c r="R792" s="21" t="n">
        <f aca="false">L792*Q792</f>
        <v>199.5202</v>
      </c>
      <c r="S792" s="18" t="n">
        <f aca="false">L792*INDEX(Parametros!$B$20:$B$22,MATCH($E792,Parametros!$A$20:$A$22,0))</f>
        <v>20.9</v>
      </c>
      <c r="T792" s="18" t="n">
        <f aca="false">P792*INDEX(Parametros!$B$13:$B$16,MATCH($F792,Parametros!$A$13:$A$16,0))</f>
        <v>12.26533</v>
      </c>
      <c r="U792" s="21" t="n">
        <f aca="false">P792-R792-S792-T792</f>
        <v>117.75247</v>
      </c>
      <c r="V792" s="19" t="n">
        <f aca="false">IFERROR(U792/P792,0)</f>
        <v>0.336015129637768</v>
      </c>
      <c r="W792" s="48" t="n">
        <f aca="false">B792+INDEX(Parametros!$C$13:$C$16,MATCH($F792,Parametros!$A$13:$A$16,0))</f>
        <v>45978</v>
      </c>
      <c r="X792" s="31" t="s">
        <v>67</v>
      </c>
      <c r="Y792" s="53" t="n">
        <f aca="false">IF(COUNTIF($A$2:$A792,A792)=1,1,0)</f>
        <v>1</v>
      </c>
    </row>
    <row r="793" customFormat="false" ht="15" hidden="false" customHeight="false" outlineLevel="0" collapsed="false">
      <c r="A793" s="31" t="s">
        <v>668</v>
      </c>
      <c r="B793" s="36" t="n">
        <v>45933</v>
      </c>
      <c r="C793" s="49" t="n">
        <f aca="false">DATE(YEAR(B793),MONTH(B793),1)</f>
        <v>45931</v>
      </c>
      <c r="D793" s="31" t="s">
        <v>209</v>
      </c>
      <c r="E793" s="31" t="s">
        <v>41</v>
      </c>
      <c r="F793" s="31" t="s">
        <v>45</v>
      </c>
      <c r="G793" s="31" t="s">
        <v>62</v>
      </c>
      <c r="H793" s="31" t="s">
        <v>185</v>
      </c>
      <c r="I793" s="32" t="str">
        <f aca="false">INDEX(Productos!$B$2:$B$13,MATCH($H793,Productos!$A$2:$A$13,0))</f>
        <v>Varilla roscada M10 x 1 m zincada</v>
      </c>
      <c r="J793" s="32" t="str">
        <f aca="false">INDEX(Productos!$C$2:$C$13,MATCH($H793,Productos!$A$2:$A$13,0))</f>
        <v>Especial</v>
      </c>
      <c r="K793" s="31" t="s">
        <v>246</v>
      </c>
      <c r="L793" s="46" t="n">
        <v>20</v>
      </c>
      <c r="M793" s="50" t="n">
        <f aca="false">INDEX(Productos!$F$2:$F$13,MATCH($H793,Productos!$A$2:$A$13,0))</f>
        <v>54</v>
      </c>
      <c r="N793" s="51" t="n">
        <v>0.181</v>
      </c>
      <c r="O793" s="52" t="n">
        <f aca="false">M793*(1-N793)</f>
        <v>44.226</v>
      </c>
      <c r="P793" s="21" t="n">
        <f aca="false">L793*O793</f>
        <v>884.52</v>
      </c>
      <c r="Q793" s="50" t="n">
        <f aca="false">INDEX(Productos!$E$2:$E$13,MATCH($H793,Productos!$A$2:$A$13,0))*INDEX(Parametros!$B$26:$B$43,MATCH($C793,Parametros!$A$26:$A$43,0))</f>
        <v>29.0415</v>
      </c>
      <c r="R793" s="21" t="n">
        <f aca="false">L793*Q793</f>
        <v>580.83</v>
      </c>
      <c r="S793" s="18" t="n">
        <f aca="false">L793*INDEX(Parametros!$B$20:$B$22,MATCH($E793,Parametros!$A$20:$A$22,0))</f>
        <v>17</v>
      </c>
      <c r="T793" s="18" t="n">
        <f aca="false">P793*INDEX(Parametros!$B$13:$B$16,MATCH($F793,Parametros!$A$13:$A$16,0))</f>
        <v>26.5356</v>
      </c>
      <c r="U793" s="21" t="n">
        <f aca="false">P793-R793-S793-T793</f>
        <v>260.1544</v>
      </c>
      <c r="V793" s="19" t="n">
        <f aca="false">IFERROR(U793/P793,0)</f>
        <v>0.294119296341519</v>
      </c>
      <c r="W793" s="48" t="n">
        <f aca="false">B793+INDEX(Parametros!$C$13:$C$16,MATCH($F793,Parametros!$A$13:$A$16,0))</f>
        <v>45993</v>
      </c>
      <c r="X793" s="31" t="s">
        <v>67</v>
      </c>
      <c r="Y793" s="53" t="n">
        <f aca="false">IF(COUNTIF($A$2:$A793,A793)=1,1,0)</f>
        <v>1</v>
      </c>
    </row>
    <row r="794" customFormat="false" ht="15" hidden="false" customHeight="false" outlineLevel="0" collapsed="false">
      <c r="A794" s="31" t="s">
        <v>669</v>
      </c>
      <c r="B794" s="36" t="n">
        <v>45936</v>
      </c>
      <c r="C794" s="49" t="n">
        <f aca="false">DATE(YEAR(B794),MONTH(B794),1)</f>
        <v>45931</v>
      </c>
      <c r="D794" s="31" t="s">
        <v>220</v>
      </c>
      <c r="E794" s="31" t="s">
        <v>42</v>
      </c>
      <c r="F794" s="31" t="s">
        <v>46</v>
      </c>
      <c r="G794" s="31" t="s">
        <v>61</v>
      </c>
      <c r="H794" s="31" t="s">
        <v>177</v>
      </c>
      <c r="I794" s="32" t="str">
        <f aca="false">INDEX(Productos!$B$2:$B$13,MATCH($H794,Productos!$A$2:$A$13,0))</f>
        <v>Tirafondo madera 6x100 cabeza plana Torx</v>
      </c>
      <c r="J794" s="32" t="str">
        <f aca="false">INDEX(Productos!$C$2:$C$13,MATCH($H794,Productos!$A$2:$A$13,0))</f>
        <v>Madera</v>
      </c>
      <c r="K794" s="31" t="s">
        <v>246</v>
      </c>
      <c r="L794" s="46" t="n">
        <v>31</v>
      </c>
      <c r="M794" s="50" t="n">
        <f aca="false">INDEX(Productos!$F$2:$F$13,MATCH($H794,Productos!$A$2:$A$13,0))</f>
        <v>34</v>
      </c>
      <c r="N794" s="51" t="n">
        <v>0.158</v>
      </c>
      <c r="O794" s="52" t="n">
        <f aca="false">M794*(1-N794)</f>
        <v>28.628</v>
      </c>
      <c r="P794" s="21" t="n">
        <f aca="false">L794*O794</f>
        <v>887.468</v>
      </c>
      <c r="Q794" s="50" t="n">
        <f aca="false">INDEX(Productos!$E$2:$E$13,MATCH($H794,Productos!$A$2:$A$13,0))*INDEX(Parametros!$B$26:$B$43,MATCH($C794,Parametros!$A$26:$A$43,0))</f>
        <v>18.1382</v>
      </c>
      <c r="R794" s="21" t="n">
        <f aca="false">L794*Q794</f>
        <v>562.2842</v>
      </c>
      <c r="S794" s="18" t="n">
        <f aca="false">L794*INDEX(Parametros!$B$20:$B$22,MATCH($E794,Parametros!$A$20:$A$22,0))</f>
        <v>74.4</v>
      </c>
      <c r="T794" s="18" t="n">
        <f aca="false">P794*INDEX(Parametros!$B$13:$B$16,MATCH($F794,Parametros!$A$13:$A$16,0))</f>
        <v>35.49872</v>
      </c>
      <c r="U794" s="21" t="n">
        <f aca="false">P794-R794-S794-T794</f>
        <v>215.28508</v>
      </c>
      <c r="V794" s="19" t="n">
        <f aca="false">IFERROR(U794/P794,0)</f>
        <v>0.242583484700293</v>
      </c>
      <c r="W794" s="48" t="n">
        <f aca="false">B794+INDEX(Parametros!$C$13:$C$16,MATCH($F794,Parametros!$A$13:$A$16,0))</f>
        <v>46011</v>
      </c>
      <c r="X794" s="31" t="s">
        <v>67</v>
      </c>
      <c r="Y794" s="53" t="n">
        <f aca="false">IF(COUNTIF($A$2:$A794,A794)=1,1,0)</f>
        <v>1</v>
      </c>
    </row>
    <row r="795" customFormat="false" ht="15" hidden="false" customHeight="false" outlineLevel="0" collapsed="false">
      <c r="A795" s="31" t="s">
        <v>669</v>
      </c>
      <c r="B795" s="36" t="n">
        <v>45936</v>
      </c>
      <c r="C795" s="49" t="n">
        <f aca="false">DATE(YEAR(B795),MONTH(B795),1)</f>
        <v>45931</v>
      </c>
      <c r="D795" s="31" t="s">
        <v>220</v>
      </c>
      <c r="E795" s="31" t="s">
        <v>42</v>
      </c>
      <c r="F795" s="31" t="s">
        <v>46</v>
      </c>
      <c r="G795" s="31" t="s">
        <v>61</v>
      </c>
      <c r="H795" s="31" t="s">
        <v>169</v>
      </c>
      <c r="I795" s="32" t="str">
        <f aca="false">INDEX(Productos!$B$2:$B$13,MATCH($H795,Productos!$A$2:$A$13,0))</f>
        <v>Tornillo DIN 912 M10x60 Allen inox A2</v>
      </c>
      <c r="J795" s="32" t="str">
        <f aca="false">INDEX(Productos!$C$2:$C$13,MATCH($H795,Productos!$A$2:$A$13,0))</f>
        <v>Inoxidable</v>
      </c>
      <c r="K795" s="31" t="s">
        <v>246</v>
      </c>
      <c r="L795" s="46" t="n">
        <v>34</v>
      </c>
      <c r="M795" s="50" t="n">
        <f aca="false">INDEX(Productos!$F$2:$F$13,MATCH($H795,Productos!$A$2:$A$13,0))</f>
        <v>79</v>
      </c>
      <c r="N795" s="51" t="n">
        <v>0.132</v>
      </c>
      <c r="O795" s="52" t="n">
        <f aca="false">M795*(1-N795)</f>
        <v>68.572</v>
      </c>
      <c r="P795" s="21" t="n">
        <f aca="false">L795*O795</f>
        <v>2331.448</v>
      </c>
      <c r="Q795" s="50" t="n">
        <f aca="false">INDEX(Productos!$E$2:$E$13,MATCH($H795,Productos!$A$2:$A$13,0))*INDEX(Parametros!$B$26:$B$43,MATCH($C795,Parametros!$A$26:$A$43,0))</f>
        <v>42.798</v>
      </c>
      <c r="R795" s="21" t="n">
        <f aca="false">L795*Q795</f>
        <v>1455.132</v>
      </c>
      <c r="S795" s="18" t="n">
        <f aca="false">L795*INDEX(Parametros!$B$20:$B$22,MATCH($E795,Parametros!$A$20:$A$22,0))</f>
        <v>81.6</v>
      </c>
      <c r="T795" s="18" t="n">
        <f aca="false">P795*INDEX(Parametros!$B$13:$B$16,MATCH($F795,Parametros!$A$13:$A$16,0))</f>
        <v>93.25792</v>
      </c>
      <c r="U795" s="21" t="n">
        <f aca="false">P795-R795-S795-T795</f>
        <v>701.458080000001</v>
      </c>
      <c r="V795" s="19" t="n">
        <f aca="false">IFERROR(U795/P795,0)</f>
        <v>0.300867992766727</v>
      </c>
      <c r="W795" s="48" t="n">
        <f aca="false">B795+INDEX(Parametros!$C$13:$C$16,MATCH($F795,Parametros!$A$13:$A$16,0))</f>
        <v>46011</v>
      </c>
      <c r="X795" s="31" t="s">
        <v>67</v>
      </c>
      <c r="Y795" s="53" t="n">
        <f aca="false">IF(COUNTIF($A$2:$A795,A795)=1,1,0)</f>
        <v>0</v>
      </c>
    </row>
    <row r="796" customFormat="false" ht="15" hidden="false" customHeight="false" outlineLevel="0" collapsed="false">
      <c r="A796" s="31" t="s">
        <v>669</v>
      </c>
      <c r="B796" s="36" t="n">
        <v>45936</v>
      </c>
      <c r="C796" s="49" t="n">
        <f aca="false">DATE(YEAR(B796),MONTH(B796),1)</f>
        <v>45931</v>
      </c>
      <c r="D796" s="31" t="s">
        <v>220</v>
      </c>
      <c r="E796" s="31" t="s">
        <v>42</v>
      </c>
      <c r="F796" s="31" t="s">
        <v>46</v>
      </c>
      <c r="G796" s="31" t="s">
        <v>61</v>
      </c>
      <c r="H796" s="31" t="s">
        <v>185</v>
      </c>
      <c r="I796" s="32" t="str">
        <f aca="false">INDEX(Productos!$B$2:$B$13,MATCH($H796,Productos!$A$2:$A$13,0))</f>
        <v>Varilla roscada M10 x 1 m zincada</v>
      </c>
      <c r="J796" s="32" t="str">
        <f aca="false">INDEX(Productos!$C$2:$C$13,MATCH($H796,Productos!$A$2:$A$13,0))</f>
        <v>Especial</v>
      </c>
      <c r="K796" s="31" t="s">
        <v>246</v>
      </c>
      <c r="L796" s="46" t="n">
        <v>46</v>
      </c>
      <c r="M796" s="50" t="n">
        <f aca="false">INDEX(Productos!$F$2:$F$13,MATCH($H796,Productos!$A$2:$A$13,0))</f>
        <v>54</v>
      </c>
      <c r="N796" s="51" t="n">
        <v>0.092</v>
      </c>
      <c r="O796" s="52" t="n">
        <f aca="false">M796*(1-N796)</f>
        <v>49.032</v>
      </c>
      <c r="P796" s="21" t="n">
        <f aca="false">L796*O796</f>
        <v>2255.472</v>
      </c>
      <c r="Q796" s="50" t="n">
        <f aca="false">INDEX(Productos!$E$2:$E$13,MATCH($H796,Productos!$A$2:$A$13,0))*INDEX(Parametros!$B$26:$B$43,MATCH($C796,Parametros!$A$26:$A$43,0))</f>
        <v>29.0415</v>
      </c>
      <c r="R796" s="21" t="n">
        <f aca="false">L796*Q796</f>
        <v>1335.909</v>
      </c>
      <c r="S796" s="18" t="n">
        <f aca="false">L796*INDEX(Parametros!$B$20:$B$22,MATCH($E796,Parametros!$A$20:$A$22,0))</f>
        <v>110.4</v>
      </c>
      <c r="T796" s="18" t="n">
        <f aca="false">P796*INDEX(Parametros!$B$13:$B$16,MATCH($F796,Parametros!$A$13:$A$16,0))</f>
        <v>90.21888</v>
      </c>
      <c r="U796" s="21" t="n">
        <f aca="false">P796-R796-S796-T796</f>
        <v>718.94412</v>
      </c>
      <c r="V796" s="19" t="n">
        <f aca="false">IFERROR(U796/P796,0)</f>
        <v>0.31875550660793</v>
      </c>
      <c r="W796" s="48" t="n">
        <f aca="false">B796+INDEX(Parametros!$C$13:$C$16,MATCH($F796,Parametros!$A$13:$A$16,0))</f>
        <v>46011</v>
      </c>
      <c r="X796" s="31" t="s">
        <v>67</v>
      </c>
      <c r="Y796" s="53" t="n">
        <f aca="false">IF(COUNTIF($A$2:$A796,A796)=1,1,0)</f>
        <v>0</v>
      </c>
    </row>
    <row r="797" customFormat="false" ht="15" hidden="false" customHeight="false" outlineLevel="0" collapsed="false">
      <c r="A797" s="31" t="s">
        <v>669</v>
      </c>
      <c r="B797" s="36" t="n">
        <v>45936</v>
      </c>
      <c r="C797" s="49" t="n">
        <f aca="false">DATE(YEAR(B797),MONTH(B797),1)</f>
        <v>45931</v>
      </c>
      <c r="D797" s="31" t="s">
        <v>220</v>
      </c>
      <c r="E797" s="31" t="s">
        <v>42</v>
      </c>
      <c r="F797" s="31" t="s">
        <v>46</v>
      </c>
      <c r="G797" s="31" t="s">
        <v>61</v>
      </c>
      <c r="H797" s="31" t="s">
        <v>167</v>
      </c>
      <c r="I797" s="32" t="str">
        <f aca="false">INDEX(Productos!$B$2:$B$13,MATCH($H797,Productos!$A$2:$A$13,0))</f>
        <v>Tornillo DIN 912 M6x25 Allen zincado</v>
      </c>
      <c r="J797" s="32" t="str">
        <f aca="false">INDEX(Productos!$C$2:$C$13,MATCH($H797,Productos!$A$2:$A$13,0))</f>
        <v>Métrica</v>
      </c>
      <c r="K797" s="31" t="s">
        <v>246</v>
      </c>
      <c r="L797" s="46" t="n">
        <v>123</v>
      </c>
      <c r="M797" s="50" t="n">
        <f aca="false">INDEX(Productos!$F$2:$F$13,MATCH($H797,Productos!$A$2:$A$13,0))</f>
        <v>42</v>
      </c>
      <c r="N797" s="51" t="n">
        <v>0.121</v>
      </c>
      <c r="O797" s="52" t="n">
        <f aca="false">M797*(1-N797)</f>
        <v>36.918</v>
      </c>
      <c r="P797" s="21" t="n">
        <f aca="false">L797*O797</f>
        <v>4540.914</v>
      </c>
      <c r="Q797" s="50" t="n">
        <f aca="false">INDEX(Productos!$E$2:$E$13,MATCH($H797,Productos!$A$2:$A$13,0))*INDEX(Parametros!$B$26:$B$43,MATCH($C797,Parametros!$A$26:$A$43,0))</f>
        <v>22.2142</v>
      </c>
      <c r="R797" s="21" t="n">
        <f aca="false">L797*Q797</f>
        <v>2732.3466</v>
      </c>
      <c r="S797" s="18" t="n">
        <f aca="false">L797*INDEX(Parametros!$B$20:$B$22,MATCH($E797,Parametros!$A$20:$A$22,0))</f>
        <v>295.2</v>
      </c>
      <c r="T797" s="18" t="n">
        <f aca="false">P797*INDEX(Parametros!$B$13:$B$16,MATCH($F797,Parametros!$A$13:$A$16,0))</f>
        <v>181.63656</v>
      </c>
      <c r="U797" s="21" t="n">
        <f aca="false">P797-R797-S797-T797</f>
        <v>1331.73084</v>
      </c>
      <c r="V797" s="19" t="n">
        <f aca="false">IFERROR(U797/P797,0)</f>
        <v>0.293273741806165</v>
      </c>
      <c r="W797" s="48" t="n">
        <f aca="false">B797+INDEX(Parametros!$C$13:$C$16,MATCH($F797,Parametros!$A$13:$A$16,0))</f>
        <v>46011</v>
      </c>
      <c r="X797" s="31" t="s">
        <v>67</v>
      </c>
      <c r="Y797" s="53" t="n">
        <f aca="false">IF(COUNTIF($A$2:$A797,A797)=1,1,0)</f>
        <v>0</v>
      </c>
    </row>
    <row r="798" customFormat="false" ht="15" hidden="false" customHeight="false" outlineLevel="0" collapsed="false">
      <c r="A798" s="31" t="s">
        <v>670</v>
      </c>
      <c r="B798" s="36" t="n">
        <v>45936</v>
      </c>
      <c r="C798" s="49" t="n">
        <f aca="false">DATE(YEAR(B798),MONTH(B798),1)</f>
        <v>45931</v>
      </c>
      <c r="D798" s="31" t="s">
        <v>191</v>
      </c>
      <c r="E798" s="31" t="s">
        <v>41</v>
      </c>
      <c r="F798" s="31" t="s">
        <v>47</v>
      </c>
      <c r="G798" s="31" t="s">
        <v>58</v>
      </c>
      <c r="H798" s="31" t="s">
        <v>177</v>
      </c>
      <c r="I798" s="32" t="str">
        <f aca="false">INDEX(Productos!$B$2:$B$13,MATCH($H798,Productos!$A$2:$A$13,0))</f>
        <v>Tirafondo madera 6x100 cabeza plana Torx</v>
      </c>
      <c r="J798" s="32" t="str">
        <f aca="false">INDEX(Productos!$C$2:$C$13,MATCH($H798,Productos!$A$2:$A$13,0))</f>
        <v>Madera</v>
      </c>
      <c r="K798" s="31" t="s">
        <v>246</v>
      </c>
      <c r="L798" s="46" t="n">
        <v>14</v>
      </c>
      <c r="M798" s="50" t="n">
        <f aca="false">INDEX(Productos!$F$2:$F$13,MATCH($H798,Productos!$A$2:$A$13,0))</f>
        <v>34</v>
      </c>
      <c r="N798" s="51" t="n">
        <v>0.07</v>
      </c>
      <c r="O798" s="52" t="n">
        <f aca="false">M798*(1-N798)</f>
        <v>31.62</v>
      </c>
      <c r="P798" s="21" t="n">
        <f aca="false">L798*O798</f>
        <v>442.68</v>
      </c>
      <c r="Q798" s="50" t="n">
        <f aca="false">INDEX(Productos!$E$2:$E$13,MATCH($H798,Productos!$A$2:$A$13,0))*INDEX(Parametros!$B$26:$B$43,MATCH($C798,Parametros!$A$26:$A$43,0))</f>
        <v>18.1382</v>
      </c>
      <c r="R798" s="21" t="n">
        <f aca="false">L798*Q798</f>
        <v>253.9348</v>
      </c>
      <c r="S798" s="18" t="n">
        <f aca="false">L798*INDEX(Parametros!$B$20:$B$22,MATCH($E798,Parametros!$A$20:$A$22,0))</f>
        <v>11.9</v>
      </c>
      <c r="T798" s="18" t="n">
        <f aca="false">P798*INDEX(Parametros!$B$13:$B$16,MATCH($F798,Parametros!$A$13:$A$16,0))</f>
        <v>15.4938</v>
      </c>
      <c r="U798" s="21" t="n">
        <f aca="false">P798-R798-S798-T798</f>
        <v>161.3514</v>
      </c>
      <c r="V798" s="19" t="n">
        <f aca="false">IFERROR(U798/P798,0)</f>
        <v>0.364487666034156</v>
      </c>
      <c r="W798" s="48" t="n">
        <f aca="false">B798+INDEX(Parametros!$C$13:$C$16,MATCH($F798,Parametros!$A$13:$A$16,0))</f>
        <v>45981</v>
      </c>
      <c r="X798" s="31" t="s">
        <v>67</v>
      </c>
      <c r="Y798" s="53" t="n">
        <f aca="false">IF(COUNTIF($A$2:$A798,A798)=1,1,0)</f>
        <v>1</v>
      </c>
    </row>
    <row r="799" customFormat="false" ht="15" hidden="false" customHeight="false" outlineLevel="0" collapsed="false">
      <c r="A799" s="31" t="s">
        <v>671</v>
      </c>
      <c r="B799" s="36" t="n">
        <v>45936</v>
      </c>
      <c r="C799" s="49" t="n">
        <f aca="false">DATE(YEAR(B799),MONTH(B799),1)</f>
        <v>45931</v>
      </c>
      <c r="D799" s="31" t="s">
        <v>205</v>
      </c>
      <c r="E799" s="31" t="s">
        <v>41</v>
      </c>
      <c r="F799" s="31" t="s">
        <v>45</v>
      </c>
      <c r="G799" s="31" t="s">
        <v>62</v>
      </c>
      <c r="H799" s="31" t="s">
        <v>181</v>
      </c>
      <c r="I799" s="32" t="str">
        <f aca="false">INDEX(Productos!$B$2:$B$13,MATCH($H799,Productos!$A$2:$A$13,0))</f>
        <v>Autotaladrante 5,5x55 punta broca</v>
      </c>
      <c r="J799" s="32" t="str">
        <f aca="false">INDEX(Productos!$C$2:$C$13,MATCH($H799,Productos!$A$2:$A$13,0))</f>
        <v>Autotaladrante</v>
      </c>
      <c r="K799" s="31" t="s">
        <v>246</v>
      </c>
      <c r="L799" s="46" t="n">
        <v>49</v>
      </c>
      <c r="M799" s="50" t="n">
        <f aca="false">INDEX(Productos!$F$2:$F$13,MATCH($H799,Productos!$A$2:$A$13,0))</f>
        <v>39</v>
      </c>
      <c r="N799" s="51" t="n">
        <v>0.144</v>
      </c>
      <c r="O799" s="52" t="n">
        <f aca="false">M799*(1-N799)</f>
        <v>33.384</v>
      </c>
      <c r="P799" s="21" t="n">
        <f aca="false">L799*O799</f>
        <v>1635.816</v>
      </c>
      <c r="Q799" s="50" t="n">
        <f aca="false">INDEX(Productos!$E$2:$E$13,MATCH($H799,Productos!$A$2:$A$13,0))*INDEX(Parametros!$B$26:$B$43,MATCH($C799,Parametros!$A$26:$A$43,0))</f>
        <v>20.6857</v>
      </c>
      <c r="R799" s="21" t="n">
        <f aca="false">L799*Q799</f>
        <v>1013.5993</v>
      </c>
      <c r="S799" s="18" t="n">
        <f aca="false">L799*INDEX(Parametros!$B$20:$B$22,MATCH($E799,Parametros!$A$20:$A$22,0))</f>
        <v>41.65</v>
      </c>
      <c r="T799" s="18" t="n">
        <f aca="false">P799*INDEX(Parametros!$B$13:$B$16,MATCH($F799,Parametros!$A$13:$A$16,0))</f>
        <v>49.07448</v>
      </c>
      <c r="U799" s="21" t="n">
        <f aca="false">P799-R799-S799-T799</f>
        <v>531.49222</v>
      </c>
      <c r="V799" s="19" t="n">
        <f aca="false">IFERROR(U799/P799,0)</f>
        <v>0.324909537502996</v>
      </c>
      <c r="W799" s="48" t="n">
        <f aca="false">B799+INDEX(Parametros!$C$13:$C$16,MATCH($F799,Parametros!$A$13:$A$16,0))</f>
        <v>45996</v>
      </c>
      <c r="X799" s="31" t="s">
        <v>67</v>
      </c>
      <c r="Y799" s="53" t="n">
        <f aca="false">IF(COUNTIF($A$2:$A799,A799)=1,1,0)</f>
        <v>1</v>
      </c>
    </row>
    <row r="800" customFormat="false" ht="15" hidden="false" customHeight="false" outlineLevel="0" collapsed="false">
      <c r="A800" s="31" t="s">
        <v>671</v>
      </c>
      <c r="B800" s="36" t="n">
        <v>45936</v>
      </c>
      <c r="C800" s="49" t="n">
        <f aca="false">DATE(YEAR(B800),MONTH(B800),1)</f>
        <v>45931</v>
      </c>
      <c r="D800" s="31" t="s">
        <v>205</v>
      </c>
      <c r="E800" s="31" t="s">
        <v>41</v>
      </c>
      <c r="F800" s="31" t="s">
        <v>45</v>
      </c>
      <c r="G800" s="31" t="s">
        <v>62</v>
      </c>
      <c r="H800" s="31" t="s">
        <v>163</v>
      </c>
      <c r="I800" s="32" t="str">
        <f aca="false">INDEX(Productos!$B$2:$B$13,MATCH($H800,Productos!$A$2:$A$13,0))</f>
        <v>Tornillo DIN 933 M6x30 rosca completa zincado</v>
      </c>
      <c r="J800" s="32" t="str">
        <f aca="false">INDEX(Productos!$C$2:$C$13,MATCH($H800,Productos!$A$2:$A$13,0))</f>
        <v>Métrica</v>
      </c>
      <c r="K800" s="31" t="s">
        <v>246</v>
      </c>
      <c r="L800" s="46" t="n">
        <v>31</v>
      </c>
      <c r="M800" s="50" t="n">
        <f aca="false">INDEX(Productos!$F$2:$F$13,MATCH($H800,Productos!$A$2:$A$13,0))</f>
        <v>32</v>
      </c>
      <c r="N800" s="51" t="n">
        <v>0.17</v>
      </c>
      <c r="O800" s="52" t="n">
        <f aca="false">M800*(1-N800)</f>
        <v>26.56</v>
      </c>
      <c r="P800" s="21" t="n">
        <f aca="false">L800*O800</f>
        <v>823.36</v>
      </c>
      <c r="Q800" s="50" t="n">
        <f aca="false">INDEX(Productos!$E$2:$E$13,MATCH($H800,Productos!$A$2:$A$13,0))*INDEX(Parametros!$B$26:$B$43,MATCH($C800,Parametros!$A$26:$A$43,0))</f>
        <v>16.9154</v>
      </c>
      <c r="R800" s="21" t="n">
        <f aca="false">L800*Q800</f>
        <v>524.3774</v>
      </c>
      <c r="S800" s="18" t="n">
        <f aca="false">L800*INDEX(Parametros!$B$20:$B$22,MATCH($E800,Parametros!$A$20:$A$22,0))</f>
        <v>26.35</v>
      </c>
      <c r="T800" s="18" t="n">
        <f aca="false">P800*INDEX(Parametros!$B$13:$B$16,MATCH($F800,Parametros!$A$13:$A$16,0))</f>
        <v>24.7008</v>
      </c>
      <c r="U800" s="21" t="n">
        <f aca="false">P800-R800-S800-T800</f>
        <v>247.9318</v>
      </c>
      <c r="V800" s="19" t="n">
        <f aca="false">IFERROR(U800/P800,0)</f>
        <v>0.301121987951807</v>
      </c>
      <c r="W800" s="48" t="n">
        <f aca="false">B800+INDEX(Parametros!$C$13:$C$16,MATCH($F800,Parametros!$A$13:$A$16,0))</f>
        <v>45996</v>
      </c>
      <c r="X800" s="31" t="s">
        <v>67</v>
      </c>
      <c r="Y800" s="53" t="n">
        <f aca="false">IF(COUNTIF($A$2:$A800,A800)=1,1,0)</f>
        <v>0</v>
      </c>
    </row>
    <row r="801" customFormat="false" ht="15" hidden="false" customHeight="false" outlineLevel="0" collapsed="false">
      <c r="A801" s="31" t="s">
        <v>672</v>
      </c>
      <c r="B801" s="36" t="n">
        <v>45936</v>
      </c>
      <c r="C801" s="49" t="n">
        <f aca="false">DATE(YEAR(B801),MONTH(B801),1)</f>
        <v>45931</v>
      </c>
      <c r="D801" s="31" t="s">
        <v>218</v>
      </c>
      <c r="E801" s="31" t="s">
        <v>42</v>
      </c>
      <c r="F801" s="31" t="s">
        <v>45</v>
      </c>
      <c r="G801" s="31" t="s">
        <v>61</v>
      </c>
      <c r="H801" s="31" t="s">
        <v>173</v>
      </c>
      <c r="I801" s="32" t="str">
        <f aca="false">INDEX(Productos!$B$2:$B$13,MATCH($H801,Productos!$A$2:$A$13,0))</f>
        <v>Tornillo DIN 933 M12x70 clase 8.8</v>
      </c>
      <c r="J801" s="32" t="str">
        <f aca="false">INDEX(Productos!$C$2:$C$13,MATCH($H801,Productos!$A$2:$A$13,0))</f>
        <v>Métrica</v>
      </c>
      <c r="K801" s="31" t="s">
        <v>246</v>
      </c>
      <c r="L801" s="46" t="n">
        <v>122</v>
      </c>
      <c r="M801" s="50" t="n">
        <f aca="false">INDEX(Productos!$F$2:$F$13,MATCH($H801,Productos!$A$2:$A$13,0))</f>
        <v>64</v>
      </c>
      <c r="N801" s="51" t="n">
        <v>0.213</v>
      </c>
      <c r="O801" s="52" t="n">
        <f aca="false">M801*(1-N801)</f>
        <v>50.368</v>
      </c>
      <c r="P801" s="21" t="n">
        <f aca="false">L801*O801</f>
        <v>6144.896</v>
      </c>
      <c r="Q801" s="50" t="n">
        <f aca="false">INDEX(Productos!$E$2:$E$13,MATCH($H801,Productos!$A$2:$A$13,0))*INDEX(Parametros!$B$26:$B$43,MATCH($C801,Parametros!$A$26:$A$43,0))</f>
        <v>34.1365</v>
      </c>
      <c r="R801" s="21" t="n">
        <f aca="false">L801*Q801</f>
        <v>4164.653</v>
      </c>
      <c r="S801" s="18" t="n">
        <f aca="false">L801*INDEX(Parametros!$B$20:$B$22,MATCH($E801,Parametros!$A$20:$A$22,0))</f>
        <v>292.8</v>
      </c>
      <c r="T801" s="18" t="n">
        <f aca="false">P801*INDEX(Parametros!$B$13:$B$16,MATCH($F801,Parametros!$A$13:$A$16,0))</f>
        <v>184.34688</v>
      </c>
      <c r="U801" s="21" t="n">
        <f aca="false">P801-R801-S801-T801</f>
        <v>1503.09612</v>
      </c>
      <c r="V801" s="19" t="n">
        <f aca="false">IFERROR(U801/P801,0)</f>
        <v>0.244608878653113</v>
      </c>
      <c r="W801" s="48" t="n">
        <f aca="false">B801+INDEX(Parametros!$C$13:$C$16,MATCH($F801,Parametros!$A$13:$A$16,0))</f>
        <v>45996</v>
      </c>
      <c r="X801" s="31" t="s">
        <v>67</v>
      </c>
      <c r="Y801" s="53" t="n">
        <f aca="false">IF(COUNTIF($A$2:$A801,A801)=1,1,0)</f>
        <v>1</v>
      </c>
    </row>
    <row r="802" customFormat="false" ht="15" hidden="false" customHeight="false" outlineLevel="0" collapsed="false">
      <c r="A802" s="31" t="s">
        <v>673</v>
      </c>
      <c r="B802" s="36" t="n">
        <v>45936</v>
      </c>
      <c r="C802" s="49" t="n">
        <f aca="false">DATE(YEAR(B802),MONTH(B802),1)</f>
        <v>45931</v>
      </c>
      <c r="D802" s="31" t="s">
        <v>216</v>
      </c>
      <c r="E802" s="31" t="s">
        <v>42</v>
      </c>
      <c r="F802" s="31" t="s">
        <v>45</v>
      </c>
      <c r="G802" s="31" t="s">
        <v>61</v>
      </c>
      <c r="H802" s="31" t="s">
        <v>167</v>
      </c>
      <c r="I802" s="32" t="str">
        <f aca="false">INDEX(Productos!$B$2:$B$13,MATCH($H802,Productos!$A$2:$A$13,0))</f>
        <v>Tornillo DIN 912 M6x25 Allen zincado</v>
      </c>
      <c r="J802" s="32" t="str">
        <f aca="false">INDEX(Productos!$C$2:$C$13,MATCH($H802,Productos!$A$2:$A$13,0))</f>
        <v>Métrica</v>
      </c>
      <c r="K802" s="31" t="s">
        <v>246</v>
      </c>
      <c r="L802" s="46" t="n">
        <v>142</v>
      </c>
      <c r="M802" s="50" t="n">
        <f aca="false">INDEX(Productos!$F$2:$F$13,MATCH($H802,Productos!$A$2:$A$13,0))</f>
        <v>42</v>
      </c>
      <c r="N802" s="51" t="n">
        <v>0.18</v>
      </c>
      <c r="O802" s="52" t="n">
        <f aca="false">M802*(1-N802)</f>
        <v>34.44</v>
      </c>
      <c r="P802" s="21" t="n">
        <f aca="false">L802*O802</f>
        <v>4890.48</v>
      </c>
      <c r="Q802" s="50" t="n">
        <f aca="false">INDEX(Productos!$E$2:$E$13,MATCH($H802,Productos!$A$2:$A$13,0))*INDEX(Parametros!$B$26:$B$43,MATCH($C802,Parametros!$A$26:$A$43,0))</f>
        <v>22.2142</v>
      </c>
      <c r="R802" s="21" t="n">
        <f aca="false">L802*Q802</f>
        <v>3154.4164</v>
      </c>
      <c r="S802" s="18" t="n">
        <f aca="false">L802*INDEX(Parametros!$B$20:$B$22,MATCH($E802,Parametros!$A$20:$A$22,0))</f>
        <v>340.8</v>
      </c>
      <c r="T802" s="18" t="n">
        <f aca="false">P802*INDEX(Parametros!$B$13:$B$16,MATCH($F802,Parametros!$A$13:$A$16,0))</f>
        <v>146.7144</v>
      </c>
      <c r="U802" s="21" t="n">
        <f aca="false">P802-R802-S802-T802</f>
        <v>1248.5492</v>
      </c>
      <c r="V802" s="19" t="n">
        <f aca="false">IFERROR(U802/P802,0)</f>
        <v>0.255301974448316</v>
      </c>
      <c r="W802" s="48" t="n">
        <f aca="false">B802+INDEX(Parametros!$C$13:$C$16,MATCH($F802,Parametros!$A$13:$A$16,0))</f>
        <v>45996</v>
      </c>
      <c r="X802" s="31" t="s">
        <v>67</v>
      </c>
      <c r="Y802" s="53" t="n">
        <f aca="false">IF(COUNTIF($A$2:$A802,A802)=1,1,0)</f>
        <v>1</v>
      </c>
    </row>
    <row r="803" customFormat="false" ht="15" hidden="false" customHeight="false" outlineLevel="0" collapsed="false">
      <c r="A803" s="31" t="s">
        <v>674</v>
      </c>
      <c r="B803" s="36" t="n">
        <v>45936</v>
      </c>
      <c r="C803" s="49" t="n">
        <f aca="false">DATE(YEAR(B803),MONTH(B803),1)</f>
        <v>45931</v>
      </c>
      <c r="D803" s="31" t="s">
        <v>214</v>
      </c>
      <c r="E803" s="31" t="s">
        <v>42</v>
      </c>
      <c r="F803" s="31" t="s">
        <v>46</v>
      </c>
      <c r="G803" s="31" t="s">
        <v>61</v>
      </c>
      <c r="H803" s="31" t="s">
        <v>183</v>
      </c>
      <c r="I803" s="32" t="str">
        <f aca="false">INDEX(Productos!$B$2:$B$13,MATCH($H803,Productos!$A$2:$A$13,0))</f>
        <v>Tornillo estructural M16x90 clase 10.9</v>
      </c>
      <c r="J803" s="32" t="str">
        <f aca="false">INDEX(Productos!$C$2:$C$13,MATCH($H803,Productos!$A$2:$A$13,0))</f>
        <v>Especial</v>
      </c>
      <c r="K803" s="31" t="s">
        <v>246</v>
      </c>
      <c r="L803" s="46" t="n">
        <v>113</v>
      </c>
      <c r="M803" s="50" t="n">
        <f aca="false">INDEX(Productos!$F$2:$F$13,MATCH($H803,Productos!$A$2:$A$13,0))</f>
        <v>112</v>
      </c>
      <c r="N803" s="51" t="n">
        <v>0.089</v>
      </c>
      <c r="O803" s="52" t="n">
        <f aca="false">M803*(1-N803)</f>
        <v>102.032</v>
      </c>
      <c r="P803" s="21" t="n">
        <f aca="false">L803*O803</f>
        <v>11529.616</v>
      </c>
      <c r="Q803" s="50" t="n">
        <f aca="false">INDEX(Productos!$E$2:$E$13,MATCH($H803,Productos!$A$2:$A$13,0))*INDEX(Parametros!$B$26:$B$43,MATCH($C803,Parametros!$A$26:$A$43,0))</f>
        <v>61.14</v>
      </c>
      <c r="R803" s="21" t="n">
        <f aca="false">L803*Q803</f>
        <v>6908.82</v>
      </c>
      <c r="S803" s="18" t="n">
        <f aca="false">L803*INDEX(Parametros!$B$20:$B$22,MATCH($E803,Parametros!$A$20:$A$22,0))</f>
        <v>271.2</v>
      </c>
      <c r="T803" s="18" t="n">
        <f aca="false">P803*INDEX(Parametros!$B$13:$B$16,MATCH($F803,Parametros!$A$13:$A$16,0))</f>
        <v>461.18464</v>
      </c>
      <c r="U803" s="21" t="n">
        <f aca="false">P803-R803-S803-T803</f>
        <v>3888.41136</v>
      </c>
      <c r="V803" s="19" t="n">
        <f aca="false">IFERROR(U803/P803,0)</f>
        <v>0.337254194762428</v>
      </c>
      <c r="W803" s="48" t="n">
        <f aca="false">B803+INDEX(Parametros!$C$13:$C$16,MATCH($F803,Parametros!$A$13:$A$16,0))</f>
        <v>46011</v>
      </c>
      <c r="X803" s="31" t="s">
        <v>67</v>
      </c>
      <c r="Y803" s="53" t="n">
        <f aca="false">IF(COUNTIF($A$2:$A803,A803)=1,1,0)</f>
        <v>1</v>
      </c>
    </row>
    <row r="804" customFormat="false" ht="15" hidden="false" customHeight="false" outlineLevel="0" collapsed="false">
      <c r="A804" s="31" t="s">
        <v>674</v>
      </c>
      <c r="B804" s="36" t="n">
        <v>45936</v>
      </c>
      <c r="C804" s="49" t="n">
        <f aca="false">DATE(YEAR(B804),MONTH(B804),1)</f>
        <v>45931</v>
      </c>
      <c r="D804" s="31" t="s">
        <v>214</v>
      </c>
      <c r="E804" s="31" t="s">
        <v>42</v>
      </c>
      <c r="F804" s="31" t="s">
        <v>46</v>
      </c>
      <c r="G804" s="31" t="s">
        <v>61</v>
      </c>
      <c r="H804" s="31" t="s">
        <v>171</v>
      </c>
      <c r="I804" s="32" t="str">
        <f aca="false">INDEX(Productos!$B$2:$B$13,MATCH($H804,Productos!$A$2:$A$13,0))</f>
        <v>Tornillo DIN 7991 M8x30 avellanado inox A2</v>
      </c>
      <c r="J804" s="32" t="str">
        <f aca="false">INDEX(Productos!$C$2:$C$13,MATCH($H804,Productos!$A$2:$A$13,0))</f>
        <v>Inoxidable</v>
      </c>
      <c r="K804" s="31" t="s">
        <v>246</v>
      </c>
      <c r="L804" s="46" t="n">
        <v>113</v>
      </c>
      <c r="M804" s="50" t="n">
        <f aca="false">INDEX(Productos!$F$2:$F$13,MATCH($H804,Productos!$A$2:$A$13,0))</f>
        <v>88</v>
      </c>
      <c r="N804" s="51" t="n">
        <v>0.098</v>
      </c>
      <c r="O804" s="52" t="n">
        <f aca="false">M804*(1-N804)</f>
        <v>79.376</v>
      </c>
      <c r="P804" s="21" t="n">
        <f aca="false">L804*O804</f>
        <v>8969.488</v>
      </c>
      <c r="Q804" s="50" t="n">
        <f aca="false">INDEX(Productos!$E$2:$E$13,MATCH($H804,Productos!$A$2:$A$13,0))*INDEX(Parametros!$B$26:$B$43,MATCH($C804,Parametros!$A$26:$A$43,0))</f>
        <v>47.3835</v>
      </c>
      <c r="R804" s="21" t="n">
        <f aca="false">L804*Q804</f>
        <v>5354.3355</v>
      </c>
      <c r="S804" s="18" t="n">
        <f aca="false">L804*INDEX(Parametros!$B$20:$B$22,MATCH($E804,Parametros!$A$20:$A$22,0))</f>
        <v>271.2</v>
      </c>
      <c r="T804" s="18" t="n">
        <f aca="false">P804*INDEX(Parametros!$B$13:$B$16,MATCH($F804,Parametros!$A$13:$A$16,0))</f>
        <v>358.77952</v>
      </c>
      <c r="U804" s="21" t="n">
        <f aca="false">P804-R804-S804-T804</f>
        <v>2985.17298</v>
      </c>
      <c r="V804" s="19" t="n">
        <f aca="false">IFERROR(U804/P804,0)</f>
        <v>0.332814200765975</v>
      </c>
      <c r="W804" s="48" t="n">
        <f aca="false">B804+INDEX(Parametros!$C$13:$C$16,MATCH($F804,Parametros!$A$13:$A$16,0))</f>
        <v>46011</v>
      </c>
      <c r="X804" s="31" t="s">
        <v>67</v>
      </c>
      <c r="Y804" s="53" t="n">
        <f aca="false">IF(COUNTIF($A$2:$A804,A804)=1,1,0)</f>
        <v>0</v>
      </c>
    </row>
    <row r="805" customFormat="false" ht="15" hidden="false" customHeight="false" outlineLevel="0" collapsed="false">
      <c r="A805" s="31" t="s">
        <v>674</v>
      </c>
      <c r="B805" s="36" t="n">
        <v>45936</v>
      </c>
      <c r="C805" s="49" t="n">
        <f aca="false">DATE(YEAR(B805),MONTH(B805),1)</f>
        <v>45931</v>
      </c>
      <c r="D805" s="31" t="s">
        <v>214</v>
      </c>
      <c r="E805" s="31" t="s">
        <v>42</v>
      </c>
      <c r="F805" s="31" t="s">
        <v>46</v>
      </c>
      <c r="G805" s="31" t="s">
        <v>61</v>
      </c>
      <c r="H805" s="31" t="s">
        <v>163</v>
      </c>
      <c r="I805" s="32" t="str">
        <f aca="false">INDEX(Productos!$B$2:$B$13,MATCH($H805,Productos!$A$2:$A$13,0))</f>
        <v>Tornillo DIN 933 M6x30 rosca completa zincado</v>
      </c>
      <c r="J805" s="32" t="str">
        <f aca="false">INDEX(Productos!$C$2:$C$13,MATCH($H805,Productos!$A$2:$A$13,0))</f>
        <v>Métrica</v>
      </c>
      <c r="K805" s="31" t="s">
        <v>246</v>
      </c>
      <c r="L805" s="46" t="n">
        <v>204</v>
      </c>
      <c r="M805" s="50" t="n">
        <f aca="false">INDEX(Productos!$F$2:$F$13,MATCH($H805,Productos!$A$2:$A$13,0))</f>
        <v>32</v>
      </c>
      <c r="N805" s="51" t="n">
        <v>0.148</v>
      </c>
      <c r="O805" s="52" t="n">
        <f aca="false">M805*(1-N805)</f>
        <v>27.264</v>
      </c>
      <c r="P805" s="21" t="n">
        <f aca="false">L805*O805</f>
        <v>5561.856</v>
      </c>
      <c r="Q805" s="50" t="n">
        <f aca="false">INDEX(Productos!$E$2:$E$13,MATCH($H805,Productos!$A$2:$A$13,0))*INDEX(Parametros!$B$26:$B$43,MATCH($C805,Parametros!$A$26:$A$43,0))</f>
        <v>16.9154</v>
      </c>
      <c r="R805" s="21" t="n">
        <f aca="false">L805*Q805</f>
        <v>3450.7416</v>
      </c>
      <c r="S805" s="18" t="n">
        <f aca="false">L805*INDEX(Parametros!$B$20:$B$22,MATCH($E805,Parametros!$A$20:$A$22,0))</f>
        <v>489.6</v>
      </c>
      <c r="T805" s="18" t="n">
        <f aca="false">P805*INDEX(Parametros!$B$13:$B$16,MATCH($F805,Parametros!$A$13:$A$16,0))</f>
        <v>222.47424</v>
      </c>
      <c r="U805" s="21" t="n">
        <f aca="false">P805-R805-S805-T805</f>
        <v>1399.04016</v>
      </c>
      <c r="V805" s="19" t="n">
        <f aca="false">IFERROR(U805/P805,0)</f>
        <v>0.251541960093897</v>
      </c>
      <c r="W805" s="48" t="n">
        <f aca="false">B805+INDEX(Parametros!$C$13:$C$16,MATCH($F805,Parametros!$A$13:$A$16,0))</f>
        <v>46011</v>
      </c>
      <c r="X805" s="31" t="s">
        <v>69</v>
      </c>
      <c r="Y805" s="53" t="n">
        <f aca="false">IF(COUNTIF($A$2:$A805,A805)=1,1,0)</f>
        <v>0</v>
      </c>
    </row>
    <row r="806" customFormat="false" ht="15" hidden="false" customHeight="false" outlineLevel="0" collapsed="false">
      <c r="A806" s="31" t="s">
        <v>675</v>
      </c>
      <c r="B806" s="36" t="n">
        <v>45937</v>
      </c>
      <c r="C806" s="49" t="n">
        <f aca="false">DATE(YEAR(B806),MONTH(B806),1)</f>
        <v>45931</v>
      </c>
      <c r="D806" s="31" t="s">
        <v>196</v>
      </c>
      <c r="E806" s="31" t="s">
        <v>41</v>
      </c>
      <c r="F806" s="31" t="s">
        <v>47</v>
      </c>
      <c r="G806" s="31" t="s">
        <v>58</v>
      </c>
      <c r="H806" s="31" t="s">
        <v>169</v>
      </c>
      <c r="I806" s="32" t="str">
        <f aca="false">INDEX(Productos!$B$2:$B$13,MATCH($H806,Productos!$A$2:$A$13,0))</f>
        <v>Tornillo DIN 912 M10x60 Allen inox A2</v>
      </c>
      <c r="J806" s="32" t="str">
        <f aca="false">INDEX(Productos!$C$2:$C$13,MATCH($H806,Productos!$A$2:$A$13,0))</f>
        <v>Inoxidable</v>
      </c>
      <c r="K806" s="31" t="s">
        <v>246</v>
      </c>
      <c r="L806" s="46" t="n">
        <v>19</v>
      </c>
      <c r="M806" s="50" t="n">
        <f aca="false">INDEX(Productos!$F$2:$F$13,MATCH($H806,Productos!$A$2:$A$13,0))</f>
        <v>79</v>
      </c>
      <c r="N806" s="51" t="n">
        <v>0.061</v>
      </c>
      <c r="O806" s="52" t="n">
        <f aca="false">M806*(1-N806)</f>
        <v>74.181</v>
      </c>
      <c r="P806" s="21" t="n">
        <f aca="false">L806*O806</f>
        <v>1409.439</v>
      </c>
      <c r="Q806" s="50" t="n">
        <f aca="false">INDEX(Productos!$E$2:$E$13,MATCH($H806,Productos!$A$2:$A$13,0))*INDEX(Parametros!$B$26:$B$43,MATCH($C806,Parametros!$A$26:$A$43,0))</f>
        <v>42.798</v>
      </c>
      <c r="R806" s="21" t="n">
        <f aca="false">L806*Q806</f>
        <v>813.162</v>
      </c>
      <c r="S806" s="18" t="n">
        <f aca="false">L806*INDEX(Parametros!$B$20:$B$22,MATCH($E806,Parametros!$A$20:$A$22,0))</f>
        <v>16.15</v>
      </c>
      <c r="T806" s="18" t="n">
        <f aca="false">P806*INDEX(Parametros!$B$13:$B$16,MATCH($F806,Parametros!$A$13:$A$16,0))</f>
        <v>49.330365</v>
      </c>
      <c r="U806" s="21" t="n">
        <f aca="false">P806-R806-S806-T806</f>
        <v>530.796635</v>
      </c>
      <c r="V806" s="19" t="n">
        <f aca="false">IFERROR(U806/P806,0)</f>
        <v>0.3766013534463</v>
      </c>
      <c r="W806" s="48" t="n">
        <f aca="false">B806+INDEX(Parametros!$C$13:$C$16,MATCH($F806,Parametros!$A$13:$A$16,0))</f>
        <v>45982</v>
      </c>
      <c r="X806" s="31" t="s">
        <v>67</v>
      </c>
      <c r="Y806" s="53" t="n">
        <f aca="false">IF(COUNTIF($A$2:$A806,A806)=1,1,0)</f>
        <v>1</v>
      </c>
    </row>
    <row r="807" customFormat="false" ht="15" hidden="false" customHeight="false" outlineLevel="0" collapsed="false">
      <c r="A807" s="31" t="s">
        <v>676</v>
      </c>
      <c r="B807" s="36" t="n">
        <v>45938</v>
      </c>
      <c r="C807" s="49" t="n">
        <f aca="false">DATE(YEAR(B807),MONTH(B807),1)</f>
        <v>45931</v>
      </c>
      <c r="D807" s="31" t="s">
        <v>216</v>
      </c>
      <c r="E807" s="31" t="s">
        <v>42</v>
      </c>
      <c r="F807" s="31" t="s">
        <v>45</v>
      </c>
      <c r="G807" s="31" t="s">
        <v>61</v>
      </c>
      <c r="H807" s="31" t="s">
        <v>163</v>
      </c>
      <c r="I807" s="32" t="str">
        <f aca="false">INDEX(Productos!$B$2:$B$13,MATCH($H807,Productos!$A$2:$A$13,0))</f>
        <v>Tornillo DIN 933 M6x30 rosca completa zincado</v>
      </c>
      <c r="J807" s="32" t="str">
        <f aca="false">INDEX(Productos!$C$2:$C$13,MATCH($H807,Productos!$A$2:$A$13,0))</f>
        <v>Métrica</v>
      </c>
      <c r="K807" s="31" t="s">
        <v>246</v>
      </c>
      <c r="L807" s="46" t="n">
        <v>147</v>
      </c>
      <c r="M807" s="50" t="n">
        <f aca="false">INDEX(Productos!$F$2:$F$13,MATCH($H807,Productos!$A$2:$A$13,0))</f>
        <v>32</v>
      </c>
      <c r="N807" s="51" t="n">
        <v>0.148</v>
      </c>
      <c r="O807" s="52" t="n">
        <f aca="false">M807*(1-N807)</f>
        <v>27.264</v>
      </c>
      <c r="P807" s="21" t="n">
        <f aca="false">L807*O807</f>
        <v>4007.808</v>
      </c>
      <c r="Q807" s="50" t="n">
        <f aca="false">INDEX(Productos!$E$2:$E$13,MATCH($H807,Productos!$A$2:$A$13,0))*INDEX(Parametros!$B$26:$B$43,MATCH($C807,Parametros!$A$26:$A$43,0))</f>
        <v>16.9154</v>
      </c>
      <c r="R807" s="21" t="n">
        <f aca="false">L807*Q807</f>
        <v>2486.5638</v>
      </c>
      <c r="S807" s="18" t="n">
        <f aca="false">L807*INDEX(Parametros!$B$20:$B$22,MATCH($E807,Parametros!$A$20:$A$22,0))</f>
        <v>352.8</v>
      </c>
      <c r="T807" s="18" t="n">
        <f aca="false">P807*INDEX(Parametros!$B$13:$B$16,MATCH($F807,Parametros!$A$13:$A$16,0))</f>
        <v>120.23424</v>
      </c>
      <c r="U807" s="21" t="n">
        <f aca="false">P807-R807-S807-T807</f>
        <v>1048.20996</v>
      </c>
      <c r="V807" s="19" t="n">
        <f aca="false">IFERROR(U807/P807,0)</f>
        <v>0.261541960093897</v>
      </c>
      <c r="W807" s="48" t="n">
        <f aca="false">B807+INDEX(Parametros!$C$13:$C$16,MATCH($F807,Parametros!$A$13:$A$16,0))</f>
        <v>45998</v>
      </c>
      <c r="X807" s="31" t="s">
        <v>67</v>
      </c>
      <c r="Y807" s="53" t="n">
        <f aca="false">IF(COUNTIF($A$2:$A807,A807)=1,1,0)</f>
        <v>1</v>
      </c>
    </row>
    <row r="808" customFormat="false" ht="15" hidden="false" customHeight="false" outlineLevel="0" collapsed="false">
      <c r="A808" s="31" t="s">
        <v>677</v>
      </c>
      <c r="B808" s="36" t="n">
        <v>45938</v>
      </c>
      <c r="C808" s="49" t="n">
        <f aca="false">DATE(YEAR(B808),MONTH(B808),1)</f>
        <v>45931</v>
      </c>
      <c r="D808" s="31" t="s">
        <v>212</v>
      </c>
      <c r="E808" s="31" t="s">
        <v>42</v>
      </c>
      <c r="F808" s="31" t="s">
        <v>45</v>
      </c>
      <c r="G808" s="31" t="s">
        <v>61</v>
      </c>
      <c r="H808" s="31" t="s">
        <v>185</v>
      </c>
      <c r="I808" s="32" t="str">
        <f aca="false">INDEX(Productos!$B$2:$B$13,MATCH($H808,Productos!$A$2:$A$13,0))</f>
        <v>Varilla roscada M10 x 1 m zincada</v>
      </c>
      <c r="J808" s="32" t="str">
        <f aca="false">INDEX(Productos!$C$2:$C$13,MATCH($H808,Productos!$A$2:$A$13,0))</f>
        <v>Especial</v>
      </c>
      <c r="K808" s="31" t="s">
        <v>246</v>
      </c>
      <c r="L808" s="46" t="n">
        <v>126</v>
      </c>
      <c r="M808" s="50" t="n">
        <f aca="false">INDEX(Productos!$F$2:$F$13,MATCH($H808,Productos!$A$2:$A$13,0))</f>
        <v>54</v>
      </c>
      <c r="N808" s="51" t="n">
        <v>0.207</v>
      </c>
      <c r="O808" s="52" t="n">
        <f aca="false">M808*(1-N808)</f>
        <v>42.822</v>
      </c>
      <c r="P808" s="21" t="n">
        <f aca="false">L808*O808</f>
        <v>5395.572</v>
      </c>
      <c r="Q808" s="50" t="n">
        <f aca="false">INDEX(Productos!$E$2:$E$13,MATCH($H808,Productos!$A$2:$A$13,0))*INDEX(Parametros!$B$26:$B$43,MATCH($C808,Parametros!$A$26:$A$43,0))</f>
        <v>29.0415</v>
      </c>
      <c r="R808" s="21" t="n">
        <f aca="false">L808*Q808</f>
        <v>3659.229</v>
      </c>
      <c r="S808" s="18" t="n">
        <f aca="false">L808*INDEX(Parametros!$B$20:$B$22,MATCH($E808,Parametros!$A$20:$A$22,0))</f>
        <v>302.4</v>
      </c>
      <c r="T808" s="18" t="n">
        <f aca="false">P808*INDEX(Parametros!$B$13:$B$16,MATCH($F808,Parametros!$A$13:$A$16,0))</f>
        <v>161.86716</v>
      </c>
      <c r="U808" s="21" t="n">
        <f aca="false">P808-R808-S808-T808</f>
        <v>1272.07584</v>
      </c>
      <c r="V808" s="19" t="n">
        <f aca="false">IFERROR(U808/P808,0)</f>
        <v>0.235762925598991</v>
      </c>
      <c r="W808" s="48" t="n">
        <f aca="false">B808+INDEX(Parametros!$C$13:$C$16,MATCH($F808,Parametros!$A$13:$A$16,0))</f>
        <v>45998</v>
      </c>
      <c r="X808" s="31" t="s">
        <v>67</v>
      </c>
      <c r="Y808" s="53" t="n">
        <f aca="false">IF(COUNTIF($A$2:$A808,A808)=1,1,0)</f>
        <v>1</v>
      </c>
    </row>
    <row r="809" customFormat="false" ht="15" hidden="false" customHeight="false" outlineLevel="0" collapsed="false">
      <c r="A809" s="31" t="s">
        <v>678</v>
      </c>
      <c r="B809" s="36" t="n">
        <v>45939</v>
      </c>
      <c r="C809" s="49" t="n">
        <f aca="false">DATE(YEAR(B809),MONTH(B809),1)</f>
        <v>45931</v>
      </c>
      <c r="D809" s="31" t="s">
        <v>216</v>
      </c>
      <c r="E809" s="31" t="s">
        <v>42</v>
      </c>
      <c r="F809" s="31" t="s">
        <v>45</v>
      </c>
      <c r="G809" s="31" t="s">
        <v>61</v>
      </c>
      <c r="H809" s="31" t="s">
        <v>173</v>
      </c>
      <c r="I809" s="32" t="str">
        <f aca="false">INDEX(Productos!$B$2:$B$13,MATCH($H809,Productos!$A$2:$A$13,0))</f>
        <v>Tornillo DIN 933 M12x70 clase 8.8</v>
      </c>
      <c r="J809" s="32" t="str">
        <f aca="false">INDEX(Productos!$C$2:$C$13,MATCH($H809,Productos!$A$2:$A$13,0))</f>
        <v>Métrica</v>
      </c>
      <c r="K809" s="31" t="s">
        <v>246</v>
      </c>
      <c r="L809" s="46" t="n">
        <v>42</v>
      </c>
      <c r="M809" s="50" t="n">
        <f aca="false">INDEX(Productos!$F$2:$F$13,MATCH($H809,Productos!$A$2:$A$13,0))</f>
        <v>64</v>
      </c>
      <c r="N809" s="51" t="n">
        <v>0.211</v>
      </c>
      <c r="O809" s="52" t="n">
        <f aca="false">M809*(1-N809)</f>
        <v>50.496</v>
      </c>
      <c r="P809" s="21" t="n">
        <f aca="false">L809*O809</f>
        <v>2120.832</v>
      </c>
      <c r="Q809" s="50" t="n">
        <f aca="false">INDEX(Productos!$E$2:$E$13,MATCH($H809,Productos!$A$2:$A$13,0))*INDEX(Parametros!$B$26:$B$43,MATCH($C809,Parametros!$A$26:$A$43,0))</f>
        <v>34.1365</v>
      </c>
      <c r="R809" s="21" t="n">
        <f aca="false">L809*Q809</f>
        <v>1433.733</v>
      </c>
      <c r="S809" s="18" t="n">
        <f aca="false">L809*INDEX(Parametros!$B$20:$B$22,MATCH($E809,Parametros!$A$20:$A$22,0))</f>
        <v>100.8</v>
      </c>
      <c r="T809" s="18" t="n">
        <f aca="false">P809*INDEX(Parametros!$B$13:$B$16,MATCH($F809,Parametros!$A$13:$A$16,0))</f>
        <v>63.62496</v>
      </c>
      <c r="U809" s="21" t="n">
        <f aca="false">P809-R809-S809-T809</f>
        <v>522.67404</v>
      </c>
      <c r="V809" s="19" t="n">
        <f aca="false">IFERROR(U809/P809,0)</f>
        <v>0.246447639416984</v>
      </c>
      <c r="W809" s="48" t="n">
        <f aca="false">B809+INDEX(Parametros!$C$13:$C$16,MATCH($F809,Parametros!$A$13:$A$16,0))</f>
        <v>45999</v>
      </c>
      <c r="X809" s="31" t="s">
        <v>67</v>
      </c>
      <c r="Y809" s="53" t="n">
        <f aca="false">IF(COUNTIF($A$2:$A809,A809)=1,1,0)</f>
        <v>1</v>
      </c>
    </row>
    <row r="810" customFormat="false" ht="15" hidden="false" customHeight="false" outlineLevel="0" collapsed="false">
      <c r="A810" s="31" t="s">
        <v>679</v>
      </c>
      <c r="B810" s="36" t="n">
        <v>45939</v>
      </c>
      <c r="C810" s="49" t="n">
        <f aca="false">DATE(YEAR(B810),MONTH(B810),1)</f>
        <v>45931</v>
      </c>
      <c r="D810" s="31" t="s">
        <v>210</v>
      </c>
      <c r="E810" s="31" t="s">
        <v>41</v>
      </c>
      <c r="F810" s="31" t="s">
        <v>48</v>
      </c>
      <c r="G810" s="31" t="s">
        <v>60</v>
      </c>
      <c r="H810" s="31" t="s">
        <v>185</v>
      </c>
      <c r="I810" s="32" t="str">
        <f aca="false">INDEX(Productos!$B$2:$B$13,MATCH($H810,Productos!$A$2:$A$13,0))</f>
        <v>Varilla roscada M10 x 1 m zincada</v>
      </c>
      <c r="J810" s="32" t="str">
        <f aca="false">INDEX(Productos!$C$2:$C$13,MATCH($H810,Productos!$A$2:$A$13,0))</f>
        <v>Especial</v>
      </c>
      <c r="K810" s="31" t="s">
        <v>246</v>
      </c>
      <c r="L810" s="46" t="n">
        <v>7</v>
      </c>
      <c r="M810" s="50" t="n">
        <f aca="false">INDEX(Productos!$F$2:$F$13,MATCH($H810,Productos!$A$2:$A$13,0))</f>
        <v>54</v>
      </c>
      <c r="N810" s="51" t="n">
        <v>0.017</v>
      </c>
      <c r="O810" s="52" t="n">
        <f aca="false">M810*(1-N810)</f>
        <v>53.082</v>
      </c>
      <c r="P810" s="21" t="n">
        <f aca="false">L810*O810</f>
        <v>371.574</v>
      </c>
      <c r="Q810" s="50" t="n">
        <f aca="false">INDEX(Productos!$E$2:$E$13,MATCH($H810,Productos!$A$2:$A$13,0))*INDEX(Parametros!$B$26:$B$43,MATCH($C810,Parametros!$A$26:$A$43,0))</f>
        <v>29.0415</v>
      </c>
      <c r="R810" s="21" t="n">
        <f aca="false">L810*Q810</f>
        <v>203.2905</v>
      </c>
      <c r="S810" s="18" t="n">
        <f aca="false">L810*INDEX(Parametros!$B$20:$B$22,MATCH($E810,Parametros!$A$20:$A$22,0))</f>
        <v>5.95</v>
      </c>
      <c r="T810" s="18" t="n">
        <f aca="false">P810*INDEX(Parametros!$B$13:$B$16,MATCH($F810,Parametros!$A$13:$A$16,0))</f>
        <v>3.71574</v>
      </c>
      <c r="U810" s="21" t="n">
        <f aca="false">P810-R810-S810-T810</f>
        <v>158.61776</v>
      </c>
      <c r="V810" s="19" t="n">
        <f aca="false">IFERROR(U810/P810,0)</f>
        <v>0.426880675181794</v>
      </c>
      <c r="W810" s="48" t="n">
        <f aca="false">B810+INDEX(Parametros!$C$13:$C$16,MATCH($F810,Parametros!$A$13:$A$16,0))</f>
        <v>45939</v>
      </c>
      <c r="X810" s="31" t="s">
        <v>67</v>
      </c>
      <c r="Y810" s="53" t="n">
        <f aca="false">IF(COUNTIF($A$2:$A810,A810)=1,1,0)</f>
        <v>1</v>
      </c>
    </row>
    <row r="811" customFormat="false" ht="15" hidden="false" customHeight="false" outlineLevel="0" collapsed="false">
      <c r="A811" s="31" t="s">
        <v>679</v>
      </c>
      <c r="B811" s="36" t="n">
        <v>45939</v>
      </c>
      <c r="C811" s="49" t="n">
        <f aca="false">DATE(YEAR(B811),MONTH(B811),1)</f>
        <v>45931</v>
      </c>
      <c r="D811" s="31" t="s">
        <v>210</v>
      </c>
      <c r="E811" s="31" t="s">
        <v>41</v>
      </c>
      <c r="F811" s="31" t="s">
        <v>48</v>
      </c>
      <c r="G811" s="31" t="s">
        <v>60</v>
      </c>
      <c r="H811" s="31" t="s">
        <v>177</v>
      </c>
      <c r="I811" s="32" t="str">
        <f aca="false">INDEX(Productos!$B$2:$B$13,MATCH($H811,Productos!$A$2:$A$13,0))</f>
        <v>Tirafondo madera 6x100 cabeza plana Torx</v>
      </c>
      <c r="J811" s="32" t="str">
        <f aca="false">INDEX(Productos!$C$2:$C$13,MATCH($H811,Productos!$A$2:$A$13,0))</f>
        <v>Madera</v>
      </c>
      <c r="K811" s="31" t="s">
        <v>246</v>
      </c>
      <c r="L811" s="46" t="n">
        <v>32</v>
      </c>
      <c r="M811" s="50" t="n">
        <f aca="false">INDEX(Productos!$F$2:$F$13,MATCH($H811,Productos!$A$2:$A$13,0))</f>
        <v>34</v>
      </c>
      <c r="N811" s="51" t="n">
        <v>0.012</v>
      </c>
      <c r="O811" s="52" t="n">
        <f aca="false">M811*(1-N811)</f>
        <v>33.592</v>
      </c>
      <c r="P811" s="21" t="n">
        <f aca="false">L811*O811</f>
        <v>1074.944</v>
      </c>
      <c r="Q811" s="50" t="n">
        <f aca="false">INDEX(Productos!$E$2:$E$13,MATCH($H811,Productos!$A$2:$A$13,0))*INDEX(Parametros!$B$26:$B$43,MATCH($C811,Parametros!$A$26:$A$43,0))</f>
        <v>18.1382</v>
      </c>
      <c r="R811" s="21" t="n">
        <f aca="false">L811*Q811</f>
        <v>580.4224</v>
      </c>
      <c r="S811" s="18" t="n">
        <f aca="false">L811*INDEX(Parametros!$B$20:$B$22,MATCH($E811,Parametros!$A$20:$A$22,0))</f>
        <v>27.2</v>
      </c>
      <c r="T811" s="18" t="n">
        <f aca="false">P811*INDEX(Parametros!$B$13:$B$16,MATCH($F811,Parametros!$A$13:$A$16,0))</f>
        <v>10.74944</v>
      </c>
      <c r="U811" s="21" t="n">
        <f aca="false">P811-R811-S811-T811</f>
        <v>456.57216</v>
      </c>
      <c r="V811" s="19" t="n">
        <f aca="false">IFERROR(U811/P811,0)</f>
        <v>0.424740414384377</v>
      </c>
      <c r="W811" s="48" t="n">
        <f aca="false">B811+INDEX(Parametros!$C$13:$C$16,MATCH($F811,Parametros!$A$13:$A$16,0))</f>
        <v>45939</v>
      </c>
      <c r="X811" s="31" t="s">
        <v>67</v>
      </c>
      <c r="Y811" s="53" t="n">
        <f aca="false">IF(COUNTIF($A$2:$A811,A811)=1,1,0)</f>
        <v>0</v>
      </c>
    </row>
    <row r="812" customFormat="false" ht="15" hidden="false" customHeight="false" outlineLevel="0" collapsed="false">
      <c r="A812" s="31" t="s">
        <v>680</v>
      </c>
      <c r="B812" s="36" t="n">
        <v>45940</v>
      </c>
      <c r="C812" s="49" t="n">
        <f aca="false">DATE(YEAR(B812),MONTH(B812),1)</f>
        <v>45931</v>
      </c>
      <c r="D812" s="31" t="s">
        <v>203</v>
      </c>
      <c r="E812" s="31" t="s">
        <v>41</v>
      </c>
      <c r="F812" s="31" t="s">
        <v>46</v>
      </c>
      <c r="G812" s="31" t="s">
        <v>58</v>
      </c>
      <c r="H812" s="31" t="s">
        <v>163</v>
      </c>
      <c r="I812" s="32" t="str">
        <f aca="false">INDEX(Productos!$B$2:$B$13,MATCH($H812,Productos!$A$2:$A$13,0))</f>
        <v>Tornillo DIN 933 M6x30 rosca completa zincado</v>
      </c>
      <c r="J812" s="32" t="str">
        <f aca="false">INDEX(Productos!$C$2:$C$13,MATCH($H812,Productos!$A$2:$A$13,0))</f>
        <v>Métrica</v>
      </c>
      <c r="K812" s="31" t="s">
        <v>246</v>
      </c>
      <c r="L812" s="46" t="n">
        <v>78</v>
      </c>
      <c r="M812" s="50" t="n">
        <f aca="false">INDEX(Productos!$F$2:$F$13,MATCH($H812,Productos!$A$2:$A$13,0))</f>
        <v>32</v>
      </c>
      <c r="N812" s="51" t="n">
        <v>0.164</v>
      </c>
      <c r="O812" s="52" t="n">
        <f aca="false">M812*(1-N812)</f>
        <v>26.752</v>
      </c>
      <c r="P812" s="21" t="n">
        <f aca="false">L812*O812</f>
        <v>2086.656</v>
      </c>
      <c r="Q812" s="50" t="n">
        <f aca="false">INDEX(Productos!$E$2:$E$13,MATCH($H812,Productos!$A$2:$A$13,0))*INDEX(Parametros!$B$26:$B$43,MATCH($C812,Parametros!$A$26:$A$43,0))</f>
        <v>16.9154</v>
      </c>
      <c r="R812" s="21" t="n">
        <f aca="false">L812*Q812</f>
        <v>1319.4012</v>
      </c>
      <c r="S812" s="18" t="n">
        <f aca="false">L812*INDEX(Parametros!$B$20:$B$22,MATCH($E812,Parametros!$A$20:$A$22,0))</f>
        <v>66.3</v>
      </c>
      <c r="T812" s="18" t="n">
        <f aca="false">P812*INDEX(Parametros!$B$13:$B$16,MATCH($F812,Parametros!$A$13:$A$16,0))</f>
        <v>83.46624</v>
      </c>
      <c r="U812" s="21" t="n">
        <f aca="false">P812-R812-S812-T812</f>
        <v>617.48856</v>
      </c>
      <c r="V812" s="19" t="n">
        <f aca="false">IFERROR(U812/P812,0)</f>
        <v>0.29592254784689</v>
      </c>
      <c r="W812" s="48" t="n">
        <f aca="false">B812+INDEX(Parametros!$C$13:$C$16,MATCH($F812,Parametros!$A$13:$A$16,0))</f>
        <v>46015</v>
      </c>
      <c r="X812" s="31" t="s">
        <v>67</v>
      </c>
      <c r="Y812" s="53" t="n">
        <f aca="false">IF(COUNTIF($A$2:$A812,A812)=1,1,0)</f>
        <v>1</v>
      </c>
    </row>
    <row r="813" customFormat="false" ht="15" hidden="false" customHeight="false" outlineLevel="0" collapsed="false">
      <c r="A813" s="31" t="s">
        <v>680</v>
      </c>
      <c r="B813" s="36" t="n">
        <v>45940</v>
      </c>
      <c r="C813" s="49" t="n">
        <f aca="false">DATE(YEAR(B813),MONTH(B813),1)</f>
        <v>45931</v>
      </c>
      <c r="D813" s="31" t="s">
        <v>203</v>
      </c>
      <c r="E813" s="31" t="s">
        <v>41</v>
      </c>
      <c r="F813" s="31" t="s">
        <v>46</v>
      </c>
      <c r="G813" s="31" t="s">
        <v>58</v>
      </c>
      <c r="H813" s="31" t="s">
        <v>185</v>
      </c>
      <c r="I813" s="32" t="str">
        <f aca="false">INDEX(Productos!$B$2:$B$13,MATCH($H813,Productos!$A$2:$A$13,0))</f>
        <v>Varilla roscada M10 x 1 m zincada</v>
      </c>
      <c r="J813" s="32" t="str">
        <f aca="false">INDEX(Productos!$C$2:$C$13,MATCH($H813,Productos!$A$2:$A$13,0))</f>
        <v>Especial</v>
      </c>
      <c r="K813" s="31" t="s">
        <v>246</v>
      </c>
      <c r="L813" s="46" t="n">
        <v>136</v>
      </c>
      <c r="M813" s="50" t="n">
        <f aca="false">INDEX(Productos!$F$2:$F$13,MATCH($H813,Productos!$A$2:$A$13,0))</f>
        <v>54</v>
      </c>
      <c r="N813" s="51" t="n">
        <v>0.093</v>
      </c>
      <c r="O813" s="52" t="n">
        <f aca="false">M813*(1-N813)</f>
        <v>48.978</v>
      </c>
      <c r="P813" s="21" t="n">
        <f aca="false">L813*O813</f>
        <v>6661.008</v>
      </c>
      <c r="Q813" s="50" t="n">
        <f aca="false">INDEX(Productos!$E$2:$E$13,MATCH($H813,Productos!$A$2:$A$13,0))*INDEX(Parametros!$B$26:$B$43,MATCH($C813,Parametros!$A$26:$A$43,0))</f>
        <v>29.0415</v>
      </c>
      <c r="R813" s="21" t="n">
        <f aca="false">L813*Q813</f>
        <v>3949.644</v>
      </c>
      <c r="S813" s="18" t="n">
        <f aca="false">L813*INDEX(Parametros!$B$20:$B$22,MATCH($E813,Parametros!$A$20:$A$22,0))</f>
        <v>115.6</v>
      </c>
      <c r="T813" s="18" t="n">
        <f aca="false">P813*INDEX(Parametros!$B$13:$B$16,MATCH($F813,Parametros!$A$13:$A$16,0))</f>
        <v>266.44032</v>
      </c>
      <c r="U813" s="21" t="n">
        <f aca="false">P813-R813-S813-T813</f>
        <v>2329.32368</v>
      </c>
      <c r="V813" s="19" t="n">
        <f aca="false">IFERROR(U813/P813,0)</f>
        <v>0.34969537343297</v>
      </c>
      <c r="W813" s="48" t="n">
        <f aca="false">B813+INDEX(Parametros!$C$13:$C$16,MATCH($F813,Parametros!$A$13:$A$16,0))</f>
        <v>46015</v>
      </c>
      <c r="X813" s="31" t="s">
        <v>67</v>
      </c>
      <c r="Y813" s="53" t="n">
        <f aca="false">IF(COUNTIF($A$2:$A813,A813)=1,1,0)</f>
        <v>0</v>
      </c>
    </row>
    <row r="814" customFormat="false" ht="15" hidden="false" customHeight="false" outlineLevel="0" collapsed="false">
      <c r="A814" s="31" t="s">
        <v>681</v>
      </c>
      <c r="B814" s="36" t="n">
        <v>45940</v>
      </c>
      <c r="C814" s="49" t="n">
        <f aca="false">DATE(YEAR(B814),MONTH(B814),1)</f>
        <v>45931</v>
      </c>
      <c r="D814" s="31" t="s">
        <v>219</v>
      </c>
      <c r="E814" s="31" t="s">
        <v>42</v>
      </c>
      <c r="F814" s="31" t="s">
        <v>45</v>
      </c>
      <c r="G814" s="31" t="s">
        <v>61</v>
      </c>
      <c r="H814" s="31" t="s">
        <v>181</v>
      </c>
      <c r="I814" s="32" t="str">
        <f aca="false">INDEX(Productos!$B$2:$B$13,MATCH($H814,Productos!$A$2:$A$13,0))</f>
        <v>Autotaladrante 5,5x55 punta broca</v>
      </c>
      <c r="J814" s="32" t="str">
        <f aca="false">INDEX(Productos!$C$2:$C$13,MATCH($H814,Productos!$A$2:$A$13,0))</f>
        <v>Autotaladrante</v>
      </c>
      <c r="K814" s="31" t="s">
        <v>246</v>
      </c>
      <c r="L814" s="46" t="n">
        <v>183</v>
      </c>
      <c r="M814" s="50" t="n">
        <f aca="false">INDEX(Productos!$F$2:$F$13,MATCH($H814,Productos!$A$2:$A$13,0))</f>
        <v>39</v>
      </c>
      <c r="N814" s="51" t="n">
        <v>0.122</v>
      </c>
      <c r="O814" s="52" t="n">
        <f aca="false">M814*(1-N814)</f>
        <v>34.242</v>
      </c>
      <c r="P814" s="21" t="n">
        <f aca="false">L814*O814</f>
        <v>6266.286</v>
      </c>
      <c r="Q814" s="50" t="n">
        <f aca="false">INDEX(Productos!$E$2:$E$13,MATCH($H814,Productos!$A$2:$A$13,0))*INDEX(Parametros!$B$26:$B$43,MATCH($C814,Parametros!$A$26:$A$43,0))</f>
        <v>20.6857</v>
      </c>
      <c r="R814" s="21" t="n">
        <f aca="false">L814*Q814</f>
        <v>3785.4831</v>
      </c>
      <c r="S814" s="18" t="n">
        <f aca="false">L814*INDEX(Parametros!$B$20:$B$22,MATCH($E814,Parametros!$A$20:$A$22,0))</f>
        <v>439.2</v>
      </c>
      <c r="T814" s="18" t="n">
        <f aca="false">P814*INDEX(Parametros!$B$13:$B$16,MATCH($F814,Parametros!$A$13:$A$16,0))</f>
        <v>187.98858</v>
      </c>
      <c r="U814" s="21" t="n">
        <f aca="false">P814-R814-S814-T814</f>
        <v>1853.61432</v>
      </c>
      <c r="V814" s="19" t="n">
        <f aca="false">IFERROR(U814/P814,0)</f>
        <v>0.295807487880381</v>
      </c>
      <c r="W814" s="48" t="n">
        <f aca="false">B814+INDEX(Parametros!$C$13:$C$16,MATCH($F814,Parametros!$A$13:$A$16,0))</f>
        <v>46000</v>
      </c>
      <c r="X814" s="31" t="s">
        <v>67</v>
      </c>
      <c r="Y814" s="53" t="n">
        <f aca="false">IF(COUNTIF($A$2:$A814,A814)=1,1,0)</f>
        <v>1</v>
      </c>
    </row>
    <row r="815" customFormat="false" ht="15" hidden="false" customHeight="false" outlineLevel="0" collapsed="false">
      <c r="A815" s="31" t="s">
        <v>681</v>
      </c>
      <c r="B815" s="36" t="n">
        <v>45940</v>
      </c>
      <c r="C815" s="49" t="n">
        <f aca="false">DATE(YEAR(B815),MONTH(B815),1)</f>
        <v>45931</v>
      </c>
      <c r="D815" s="31" t="s">
        <v>219</v>
      </c>
      <c r="E815" s="31" t="s">
        <v>42</v>
      </c>
      <c r="F815" s="31" t="s">
        <v>45</v>
      </c>
      <c r="G815" s="31" t="s">
        <v>61</v>
      </c>
      <c r="H815" s="31" t="s">
        <v>169</v>
      </c>
      <c r="I815" s="32" t="str">
        <f aca="false">INDEX(Productos!$B$2:$B$13,MATCH($H815,Productos!$A$2:$A$13,0))</f>
        <v>Tornillo DIN 912 M10x60 Allen inox A2</v>
      </c>
      <c r="J815" s="32" t="str">
        <f aca="false">INDEX(Productos!$C$2:$C$13,MATCH($H815,Productos!$A$2:$A$13,0))</f>
        <v>Inoxidable</v>
      </c>
      <c r="K815" s="31" t="s">
        <v>246</v>
      </c>
      <c r="L815" s="46" t="n">
        <v>44</v>
      </c>
      <c r="M815" s="50" t="n">
        <f aca="false">INDEX(Productos!$F$2:$F$13,MATCH($H815,Productos!$A$2:$A$13,0))</f>
        <v>79</v>
      </c>
      <c r="N815" s="51" t="n">
        <v>0.137</v>
      </c>
      <c r="O815" s="52" t="n">
        <f aca="false">M815*(1-N815)</f>
        <v>68.177</v>
      </c>
      <c r="P815" s="21" t="n">
        <f aca="false">L815*O815</f>
        <v>2999.788</v>
      </c>
      <c r="Q815" s="50" t="n">
        <f aca="false">INDEX(Productos!$E$2:$E$13,MATCH($H815,Productos!$A$2:$A$13,0))*INDEX(Parametros!$B$26:$B$43,MATCH($C815,Parametros!$A$26:$A$43,0))</f>
        <v>42.798</v>
      </c>
      <c r="R815" s="21" t="n">
        <f aca="false">L815*Q815</f>
        <v>1883.112</v>
      </c>
      <c r="S815" s="18" t="n">
        <f aca="false">L815*INDEX(Parametros!$B$20:$B$22,MATCH($E815,Parametros!$A$20:$A$22,0))</f>
        <v>105.6</v>
      </c>
      <c r="T815" s="18" t="n">
        <f aca="false">P815*INDEX(Parametros!$B$13:$B$16,MATCH($F815,Parametros!$A$13:$A$16,0))</f>
        <v>89.99364</v>
      </c>
      <c r="U815" s="21" t="n">
        <f aca="false">P815-R815-S815-T815</f>
        <v>921.08236</v>
      </c>
      <c r="V815" s="19" t="n">
        <f aca="false">IFERROR(U815/P815,0)</f>
        <v>0.307049151473371</v>
      </c>
      <c r="W815" s="48" t="n">
        <f aca="false">B815+INDEX(Parametros!$C$13:$C$16,MATCH($F815,Parametros!$A$13:$A$16,0))</f>
        <v>46000</v>
      </c>
      <c r="X815" s="31" t="s">
        <v>67</v>
      </c>
      <c r="Y815" s="53" t="n">
        <f aca="false">IF(COUNTIF($A$2:$A815,A815)=1,1,0)</f>
        <v>0</v>
      </c>
    </row>
    <row r="816" customFormat="false" ht="15" hidden="false" customHeight="false" outlineLevel="0" collapsed="false">
      <c r="A816" s="31" t="s">
        <v>682</v>
      </c>
      <c r="B816" s="36" t="n">
        <v>45940</v>
      </c>
      <c r="C816" s="49" t="n">
        <f aca="false">DATE(YEAR(B816),MONTH(B816),1)</f>
        <v>45931</v>
      </c>
      <c r="D816" s="31" t="s">
        <v>207</v>
      </c>
      <c r="E816" s="31" t="s">
        <v>41</v>
      </c>
      <c r="F816" s="31" t="s">
        <v>47</v>
      </c>
      <c r="G816" s="31" t="s">
        <v>62</v>
      </c>
      <c r="H816" s="31" t="s">
        <v>177</v>
      </c>
      <c r="I816" s="32" t="str">
        <f aca="false">INDEX(Productos!$B$2:$B$13,MATCH($H816,Productos!$A$2:$A$13,0))</f>
        <v>Tirafondo madera 6x100 cabeza plana Torx</v>
      </c>
      <c r="J816" s="32" t="str">
        <f aca="false">INDEX(Productos!$C$2:$C$13,MATCH($H816,Productos!$A$2:$A$13,0))</f>
        <v>Madera</v>
      </c>
      <c r="K816" s="31" t="s">
        <v>246</v>
      </c>
      <c r="L816" s="46" t="n">
        <v>143</v>
      </c>
      <c r="M816" s="50" t="n">
        <f aca="false">INDEX(Productos!$F$2:$F$13,MATCH($H816,Productos!$A$2:$A$13,0))</f>
        <v>34</v>
      </c>
      <c r="N816" s="51" t="n">
        <v>0.095</v>
      </c>
      <c r="O816" s="52" t="n">
        <f aca="false">M816*(1-N816)</f>
        <v>30.77</v>
      </c>
      <c r="P816" s="21" t="n">
        <f aca="false">L816*O816</f>
        <v>4400.11</v>
      </c>
      <c r="Q816" s="50" t="n">
        <f aca="false">INDEX(Productos!$E$2:$E$13,MATCH($H816,Productos!$A$2:$A$13,0))*INDEX(Parametros!$B$26:$B$43,MATCH($C816,Parametros!$A$26:$A$43,0))</f>
        <v>18.1382</v>
      </c>
      <c r="R816" s="21" t="n">
        <f aca="false">L816*Q816</f>
        <v>2593.7626</v>
      </c>
      <c r="S816" s="18" t="n">
        <f aca="false">L816*INDEX(Parametros!$B$20:$B$22,MATCH($E816,Parametros!$A$20:$A$22,0))</f>
        <v>121.55</v>
      </c>
      <c r="T816" s="18" t="n">
        <f aca="false">P816*INDEX(Parametros!$B$13:$B$16,MATCH($F816,Parametros!$A$13:$A$16,0))</f>
        <v>154.00385</v>
      </c>
      <c r="U816" s="21" t="n">
        <f aca="false">P816-R816-S816-T816</f>
        <v>1530.79355</v>
      </c>
      <c r="V816" s="19" t="n">
        <f aca="false">IFERROR(U816/P816,0)</f>
        <v>0.347898927526812</v>
      </c>
      <c r="W816" s="48" t="n">
        <f aca="false">B816+INDEX(Parametros!$C$13:$C$16,MATCH($F816,Parametros!$A$13:$A$16,0))</f>
        <v>45985</v>
      </c>
      <c r="X816" s="31" t="s">
        <v>67</v>
      </c>
      <c r="Y816" s="53" t="n">
        <f aca="false">IF(COUNTIF($A$2:$A816,A816)=1,1,0)</f>
        <v>1</v>
      </c>
    </row>
    <row r="817" customFormat="false" ht="15" hidden="false" customHeight="false" outlineLevel="0" collapsed="false">
      <c r="A817" s="31" t="s">
        <v>683</v>
      </c>
      <c r="B817" s="36" t="n">
        <v>45940</v>
      </c>
      <c r="C817" s="49" t="n">
        <f aca="false">DATE(YEAR(B817),MONTH(B817),1)</f>
        <v>45931</v>
      </c>
      <c r="D817" s="31" t="s">
        <v>199</v>
      </c>
      <c r="E817" s="31" t="s">
        <v>41</v>
      </c>
      <c r="F817" s="31" t="s">
        <v>45</v>
      </c>
      <c r="G817" s="31" t="s">
        <v>58</v>
      </c>
      <c r="H817" s="31" t="s">
        <v>163</v>
      </c>
      <c r="I817" s="32" t="str">
        <f aca="false">INDEX(Productos!$B$2:$B$13,MATCH($H817,Productos!$A$2:$A$13,0))</f>
        <v>Tornillo DIN 933 M6x30 rosca completa zincado</v>
      </c>
      <c r="J817" s="32" t="str">
        <f aca="false">INDEX(Productos!$C$2:$C$13,MATCH($H817,Productos!$A$2:$A$13,0))</f>
        <v>Métrica</v>
      </c>
      <c r="K817" s="31" t="s">
        <v>246</v>
      </c>
      <c r="L817" s="46" t="n">
        <v>24</v>
      </c>
      <c r="M817" s="50" t="n">
        <f aca="false">INDEX(Productos!$F$2:$F$13,MATCH($H817,Productos!$A$2:$A$13,0))</f>
        <v>32</v>
      </c>
      <c r="N817" s="51" t="n">
        <v>0.127</v>
      </c>
      <c r="O817" s="52" t="n">
        <f aca="false">M817*(1-N817)</f>
        <v>27.936</v>
      </c>
      <c r="P817" s="21" t="n">
        <f aca="false">L817*O817</f>
        <v>670.464</v>
      </c>
      <c r="Q817" s="50" t="n">
        <f aca="false">INDEX(Productos!$E$2:$E$13,MATCH($H817,Productos!$A$2:$A$13,0))*INDEX(Parametros!$B$26:$B$43,MATCH($C817,Parametros!$A$26:$A$43,0))</f>
        <v>16.9154</v>
      </c>
      <c r="R817" s="21" t="n">
        <f aca="false">L817*Q817</f>
        <v>405.9696</v>
      </c>
      <c r="S817" s="18" t="n">
        <f aca="false">L817*INDEX(Parametros!$B$20:$B$22,MATCH($E817,Parametros!$A$20:$A$22,0))</f>
        <v>20.4</v>
      </c>
      <c r="T817" s="18" t="n">
        <f aca="false">P817*INDEX(Parametros!$B$13:$B$16,MATCH($F817,Parametros!$A$13:$A$16,0))</f>
        <v>20.11392</v>
      </c>
      <c r="U817" s="21" t="n">
        <f aca="false">P817-R817-S817-T817</f>
        <v>223.98048</v>
      </c>
      <c r="V817" s="19" t="n">
        <f aca="false">IFERROR(U817/P817,0)</f>
        <v>0.334067869415808</v>
      </c>
      <c r="W817" s="48" t="n">
        <f aca="false">B817+INDEX(Parametros!$C$13:$C$16,MATCH($F817,Parametros!$A$13:$A$16,0))</f>
        <v>46000</v>
      </c>
      <c r="X817" s="31" t="s">
        <v>67</v>
      </c>
      <c r="Y817" s="53" t="n">
        <f aca="false">IF(COUNTIF($A$2:$A817,A817)=1,1,0)</f>
        <v>1</v>
      </c>
    </row>
    <row r="818" customFormat="false" ht="15" hidden="false" customHeight="false" outlineLevel="0" collapsed="false">
      <c r="A818" s="31" t="s">
        <v>684</v>
      </c>
      <c r="B818" s="36" t="n">
        <v>45943</v>
      </c>
      <c r="C818" s="49" t="n">
        <f aca="false">DATE(YEAR(B818),MONTH(B818),1)</f>
        <v>45931</v>
      </c>
      <c r="D818" s="31" t="s">
        <v>215</v>
      </c>
      <c r="E818" s="31" t="s">
        <v>42</v>
      </c>
      <c r="F818" s="31" t="s">
        <v>46</v>
      </c>
      <c r="G818" s="31" t="s">
        <v>61</v>
      </c>
      <c r="H818" s="31" t="s">
        <v>177</v>
      </c>
      <c r="I818" s="32" t="str">
        <f aca="false">INDEX(Productos!$B$2:$B$13,MATCH($H818,Productos!$A$2:$A$13,0))</f>
        <v>Tirafondo madera 6x100 cabeza plana Torx</v>
      </c>
      <c r="J818" s="32" t="str">
        <f aca="false">INDEX(Productos!$C$2:$C$13,MATCH($H818,Productos!$A$2:$A$13,0))</f>
        <v>Madera</v>
      </c>
      <c r="K818" s="31" t="s">
        <v>246</v>
      </c>
      <c r="L818" s="46" t="n">
        <v>120</v>
      </c>
      <c r="M818" s="50" t="n">
        <f aca="false">INDEX(Productos!$F$2:$F$13,MATCH($H818,Productos!$A$2:$A$13,0))</f>
        <v>34</v>
      </c>
      <c r="N818" s="51" t="n">
        <v>0.122</v>
      </c>
      <c r="O818" s="52" t="n">
        <f aca="false">M818*(1-N818)</f>
        <v>29.852</v>
      </c>
      <c r="P818" s="21" t="n">
        <f aca="false">L818*O818</f>
        <v>3582.24</v>
      </c>
      <c r="Q818" s="50" t="n">
        <f aca="false">INDEX(Productos!$E$2:$E$13,MATCH($H818,Productos!$A$2:$A$13,0))*INDEX(Parametros!$B$26:$B$43,MATCH($C818,Parametros!$A$26:$A$43,0))</f>
        <v>18.1382</v>
      </c>
      <c r="R818" s="21" t="n">
        <f aca="false">L818*Q818</f>
        <v>2176.584</v>
      </c>
      <c r="S818" s="18" t="n">
        <f aca="false">L818*INDEX(Parametros!$B$20:$B$22,MATCH($E818,Parametros!$A$20:$A$22,0))</f>
        <v>288</v>
      </c>
      <c r="T818" s="18" t="n">
        <f aca="false">P818*INDEX(Parametros!$B$13:$B$16,MATCH($F818,Parametros!$A$13:$A$16,0))</f>
        <v>143.2896</v>
      </c>
      <c r="U818" s="21" t="n">
        <f aca="false">P818-R818-S818-T818</f>
        <v>974.3664</v>
      </c>
      <c r="V818" s="19" t="n">
        <f aca="false">IFERROR(U818/P818,0)</f>
        <v>0.271999196033767</v>
      </c>
      <c r="W818" s="48" t="n">
        <f aca="false">B818+INDEX(Parametros!$C$13:$C$16,MATCH($F818,Parametros!$A$13:$A$16,0))</f>
        <v>46018</v>
      </c>
      <c r="X818" s="31" t="s">
        <v>67</v>
      </c>
      <c r="Y818" s="53" t="n">
        <f aca="false">IF(COUNTIF($A$2:$A818,A818)=1,1,0)</f>
        <v>1</v>
      </c>
    </row>
    <row r="819" customFormat="false" ht="15" hidden="false" customHeight="false" outlineLevel="0" collapsed="false">
      <c r="A819" s="31" t="s">
        <v>684</v>
      </c>
      <c r="B819" s="36" t="n">
        <v>45943</v>
      </c>
      <c r="C819" s="49" t="n">
        <f aca="false">DATE(YEAR(B819),MONTH(B819),1)</f>
        <v>45931</v>
      </c>
      <c r="D819" s="31" t="s">
        <v>215</v>
      </c>
      <c r="E819" s="31" t="s">
        <v>42</v>
      </c>
      <c r="F819" s="31" t="s">
        <v>46</v>
      </c>
      <c r="G819" s="31" t="s">
        <v>61</v>
      </c>
      <c r="H819" s="31" t="s">
        <v>185</v>
      </c>
      <c r="I819" s="32" t="str">
        <f aca="false">INDEX(Productos!$B$2:$B$13,MATCH($H819,Productos!$A$2:$A$13,0))</f>
        <v>Varilla roscada M10 x 1 m zincada</v>
      </c>
      <c r="J819" s="32" t="str">
        <f aca="false">INDEX(Productos!$C$2:$C$13,MATCH($H819,Productos!$A$2:$A$13,0))</f>
        <v>Especial</v>
      </c>
      <c r="K819" s="31" t="s">
        <v>246</v>
      </c>
      <c r="L819" s="46" t="n">
        <v>121</v>
      </c>
      <c r="M819" s="50" t="n">
        <f aca="false">INDEX(Productos!$F$2:$F$13,MATCH($H819,Productos!$A$2:$A$13,0))</f>
        <v>54</v>
      </c>
      <c r="N819" s="51" t="n">
        <v>0.176</v>
      </c>
      <c r="O819" s="52" t="n">
        <f aca="false">M819*(1-N819)</f>
        <v>44.496</v>
      </c>
      <c r="P819" s="21" t="n">
        <f aca="false">L819*O819</f>
        <v>5384.016</v>
      </c>
      <c r="Q819" s="50" t="n">
        <f aca="false">INDEX(Productos!$E$2:$E$13,MATCH($H819,Productos!$A$2:$A$13,0))*INDEX(Parametros!$B$26:$B$43,MATCH($C819,Parametros!$A$26:$A$43,0))</f>
        <v>29.0415</v>
      </c>
      <c r="R819" s="21" t="n">
        <f aca="false">L819*Q819</f>
        <v>3514.0215</v>
      </c>
      <c r="S819" s="18" t="n">
        <f aca="false">L819*INDEX(Parametros!$B$20:$B$22,MATCH($E819,Parametros!$A$20:$A$22,0))</f>
        <v>290.4</v>
      </c>
      <c r="T819" s="18" t="n">
        <f aca="false">P819*INDEX(Parametros!$B$13:$B$16,MATCH($F819,Parametros!$A$13:$A$16,0))</f>
        <v>215.36064</v>
      </c>
      <c r="U819" s="21" t="n">
        <f aca="false">P819-R819-S819-T819</f>
        <v>1364.23386</v>
      </c>
      <c r="V819" s="19" t="n">
        <f aca="false">IFERROR(U819/P819,0)</f>
        <v>0.253385922330097</v>
      </c>
      <c r="W819" s="48" t="n">
        <f aca="false">B819+INDEX(Parametros!$C$13:$C$16,MATCH($F819,Parametros!$A$13:$A$16,0))</f>
        <v>46018</v>
      </c>
      <c r="X819" s="31" t="s">
        <v>67</v>
      </c>
      <c r="Y819" s="53" t="n">
        <f aca="false">IF(COUNTIF($A$2:$A819,A819)=1,1,0)</f>
        <v>0</v>
      </c>
    </row>
    <row r="820" customFormat="false" ht="15" hidden="false" customHeight="false" outlineLevel="0" collapsed="false">
      <c r="A820" s="31" t="s">
        <v>685</v>
      </c>
      <c r="B820" s="36" t="n">
        <v>45943</v>
      </c>
      <c r="C820" s="49" t="n">
        <f aca="false">DATE(YEAR(B820),MONTH(B820),1)</f>
        <v>45931</v>
      </c>
      <c r="D820" s="31" t="s">
        <v>205</v>
      </c>
      <c r="E820" s="31" t="s">
        <v>41</v>
      </c>
      <c r="F820" s="31" t="s">
        <v>45</v>
      </c>
      <c r="G820" s="31" t="s">
        <v>62</v>
      </c>
      <c r="H820" s="31" t="s">
        <v>181</v>
      </c>
      <c r="I820" s="32" t="str">
        <f aca="false">INDEX(Productos!$B$2:$B$13,MATCH($H820,Productos!$A$2:$A$13,0))</f>
        <v>Autotaladrante 5,5x55 punta broca</v>
      </c>
      <c r="J820" s="32" t="str">
        <f aca="false">INDEX(Productos!$C$2:$C$13,MATCH($H820,Productos!$A$2:$A$13,0))</f>
        <v>Autotaladrante</v>
      </c>
      <c r="K820" s="31" t="s">
        <v>246</v>
      </c>
      <c r="L820" s="46" t="n">
        <v>182</v>
      </c>
      <c r="M820" s="50" t="n">
        <f aca="false">INDEX(Productos!$F$2:$F$13,MATCH($H820,Productos!$A$2:$A$13,0))</f>
        <v>39</v>
      </c>
      <c r="N820" s="51" t="n">
        <v>0.159</v>
      </c>
      <c r="O820" s="52" t="n">
        <f aca="false">M820*(1-N820)</f>
        <v>32.799</v>
      </c>
      <c r="P820" s="21" t="n">
        <f aca="false">L820*O820</f>
        <v>5969.418</v>
      </c>
      <c r="Q820" s="50" t="n">
        <f aca="false">INDEX(Productos!$E$2:$E$13,MATCH($H820,Productos!$A$2:$A$13,0))*INDEX(Parametros!$B$26:$B$43,MATCH($C820,Parametros!$A$26:$A$43,0))</f>
        <v>20.6857</v>
      </c>
      <c r="R820" s="21" t="n">
        <f aca="false">L820*Q820</f>
        <v>3764.7974</v>
      </c>
      <c r="S820" s="18" t="n">
        <f aca="false">L820*INDEX(Parametros!$B$20:$B$22,MATCH($E820,Parametros!$A$20:$A$22,0))</f>
        <v>154.7</v>
      </c>
      <c r="T820" s="18" t="n">
        <f aca="false">P820*INDEX(Parametros!$B$13:$B$16,MATCH($F820,Parametros!$A$13:$A$16,0))</f>
        <v>179.08254</v>
      </c>
      <c r="U820" s="21" t="n">
        <f aca="false">P820-R820-S820-T820</f>
        <v>1870.83806</v>
      </c>
      <c r="V820" s="19" t="n">
        <f aca="false">IFERROR(U820/P820,0)</f>
        <v>0.313403762309827</v>
      </c>
      <c r="W820" s="48" t="n">
        <f aca="false">B820+INDEX(Parametros!$C$13:$C$16,MATCH($F820,Parametros!$A$13:$A$16,0))</f>
        <v>46003</v>
      </c>
      <c r="X820" s="31" t="s">
        <v>67</v>
      </c>
      <c r="Y820" s="53" t="n">
        <f aca="false">IF(COUNTIF($A$2:$A820,A820)=1,1,0)</f>
        <v>1</v>
      </c>
    </row>
    <row r="821" customFormat="false" ht="15" hidden="false" customHeight="false" outlineLevel="0" collapsed="false">
      <c r="A821" s="31" t="s">
        <v>685</v>
      </c>
      <c r="B821" s="36" t="n">
        <v>45943</v>
      </c>
      <c r="C821" s="49" t="n">
        <f aca="false">DATE(YEAR(B821),MONTH(B821),1)</f>
        <v>45931</v>
      </c>
      <c r="D821" s="31" t="s">
        <v>205</v>
      </c>
      <c r="E821" s="31" t="s">
        <v>41</v>
      </c>
      <c r="F821" s="31" t="s">
        <v>45</v>
      </c>
      <c r="G821" s="31" t="s">
        <v>62</v>
      </c>
      <c r="H821" s="31" t="s">
        <v>183</v>
      </c>
      <c r="I821" s="32" t="str">
        <f aca="false">INDEX(Productos!$B$2:$B$13,MATCH($H821,Productos!$A$2:$A$13,0))</f>
        <v>Tornillo estructural M16x90 clase 10.9</v>
      </c>
      <c r="J821" s="32" t="str">
        <f aca="false">INDEX(Productos!$C$2:$C$13,MATCH($H821,Productos!$A$2:$A$13,0))</f>
        <v>Especial</v>
      </c>
      <c r="K821" s="31" t="s">
        <v>246</v>
      </c>
      <c r="L821" s="46" t="n">
        <v>54</v>
      </c>
      <c r="M821" s="50" t="n">
        <f aca="false">INDEX(Productos!$F$2:$F$13,MATCH($H821,Productos!$A$2:$A$13,0))</f>
        <v>112</v>
      </c>
      <c r="N821" s="51" t="n">
        <v>0.123</v>
      </c>
      <c r="O821" s="52" t="n">
        <f aca="false">M821*(1-N821)</f>
        <v>98.224</v>
      </c>
      <c r="P821" s="21" t="n">
        <f aca="false">L821*O821</f>
        <v>5304.096</v>
      </c>
      <c r="Q821" s="50" t="n">
        <f aca="false">INDEX(Productos!$E$2:$E$13,MATCH($H821,Productos!$A$2:$A$13,0))*INDEX(Parametros!$B$26:$B$43,MATCH($C821,Parametros!$A$26:$A$43,0))</f>
        <v>61.14</v>
      </c>
      <c r="R821" s="21" t="n">
        <f aca="false">L821*Q821</f>
        <v>3301.56</v>
      </c>
      <c r="S821" s="18" t="n">
        <f aca="false">L821*INDEX(Parametros!$B$20:$B$22,MATCH($E821,Parametros!$A$20:$A$22,0))</f>
        <v>45.9</v>
      </c>
      <c r="T821" s="18" t="n">
        <f aca="false">P821*INDEX(Parametros!$B$13:$B$16,MATCH($F821,Parametros!$A$13:$A$16,0))</f>
        <v>159.12288</v>
      </c>
      <c r="U821" s="21" t="n">
        <f aca="false">P821-R821-S821-T821</f>
        <v>1797.51312</v>
      </c>
      <c r="V821" s="19" t="n">
        <f aca="false">IFERROR(U821/P821,0)</f>
        <v>0.338891513275778</v>
      </c>
      <c r="W821" s="48" t="n">
        <f aca="false">B821+INDEX(Parametros!$C$13:$C$16,MATCH($F821,Parametros!$A$13:$A$16,0))</f>
        <v>46003</v>
      </c>
      <c r="X821" s="31" t="s">
        <v>67</v>
      </c>
      <c r="Y821" s="53" t="n">
        <f aca="false">IF(COUNTIF($A$2:$A821,A821)=1,1,0)</f>
        <v>0</v>
      </c>
    </row>
    <row r="822" customFormat="false" ht="15" hidden="false" customHeight="false" outlineLevel="0" collapsed="false">
      <c r="A822" s="31" t="s">
        <v>686</v>
      </c>
      <c r="B822" s="36" t="n">
        <v>45943</v>
      </c>
      <c r="C822" s="49" t="n">
        <f aca="false">DATE(YEAR(B822),MONTH(B822),1)</f>
        <v>45931</v>
      </c>
      <c r="D822" s="31" t="s">
        <v>197</v>
      </c>
      <c r="E822" s="31" t="s">
        <v>41</v>
      </c>
      <c r="F822" s="31" t="s">
        <v>46</v>
      </c>
      <c r="G822" s="31" t="s">
        <v>58</v>
      </c>
      <c r="H822" s="31" t="s">
        <v>169</v>
      </c>
      <c r="I822" s="32" t="str">
        <f aca="false">INDEX(Productos!$B$2:$B$13,MATCH($H822,Productos!$A$2:$A$13,0))</f>
        <v>Tornillo DIN 912 M10x60 Allen inox A2</v>
      </c>
      <c r="J822" s="32" t="str">
        <f aca="false">INDEX(Productos!$C$2:$C$13,MATCH($H822,Productos!$A$2:$A$13,0))</f>
        <v>Inoxidable</v>
      </c>
      <c r="K822" s="31" t="s">
        <v>246</v>
      </c>
      <c r="L822" s="46" t="n">
        <v>103</v>
      </c>
      <c r="M822" s="50" t="n">
        <f aca="false">INDEX(Productos!$F$2:$F$13,MATCH($H822,Productos!$A$2:$A$13,0))</f>
        <v>79</v>
      </c>
      <c r="N822" s="51" t="n">
        <v>0.169</v>
      </c>
      <c r="O822" s="52" t="n">
        <f aca="false">M822*(1-N822)</f>
        <v>65.649</v>
      </c>
      <c r="P822" s="21" t="n">
        <f aca="false">L822*O822</f>
        <v>6761.847</v>
      </c>
      <c r="Q822" s="50" t="n">
        <f aca="false">INDEX(Productos!$E$2:$E$13,MATCH($H822,Productos!$A$2:$A$13,0))*INDEX(Parametros!$B$26:$B$43,MATCH($C822,Parametros!$A$26:$A$43,0))</f>
        <v>42.798</v>
      </c>
      <c r="R822" s="21" t="n">
        <f aca="false">L822*Q822</f>
        <v>4408.194</v>
      </c>
      <c r="S822" s="18" t="n">
        <f aca="false">L822*INDEX(Parametros!$B$20:$B$22,MATCH($E822,Parametros!$A$20:$A$22,0))</f>
        <v>87.55</v>
      </c>
      <c r="T822" s="18" t="n">
        <f aca="false">P822*INDEX(Parametros!$B$13:$B$16,MATCH($F822,Parametros!$A$13:$A$16,0))</f>
        <v>270.47388</v>
      </c>
      <c r="U822" s="21" t="n">
        <f aca="false">P822-R822-S822-T822</f>
        <v>1995.62912</v>
      </c>
      <c r="V822" s="19" t="n">
        <f aca="false">IFERROR(U822/P822,0)</f>
        <v>0.295130771222715</v>
      </c>
      <c r="W822" s="48" t="n">
        <f aca="false">B822+INDEX(Parametros!$C$13:$C$16,MATCH($F822,Parametros!$A$13:$A$16,0))</f>
        <v>46018</v>
      </c>
      <c r="X822" s="31" t="s">
        <v>67</v>
      </c>
      <c r="Y822" s="53" t="n">
        <f aca="false">IF(COUNTIF($A$2:$A822,A822)=1,1,0)</f>
        <v>1</v>
      </c>
    </row>
    <row r="823" customFormat="false" ht="15" hidden="false" customHeight="false" outlineLevel="0" collapsed="false">
      <c r="A823" s="31" t="s">
        <v>686</v>
      </c>
      <c r="B823" s="36" t="n">
        <v>45943</v>
      </c>
      <c r="C823" s="49" t="n">
        <f aca="false">DATE(YEAR(B823),MONTH(B823),1)</f>
        <v>45931</v>
      </c>
      <c r="D823" s="31" t="s">
        <v>197</v>
      </c>
      <c r="E823" s="31" t="s">
        <v>41</v>
      </c>
      <c r="F823" s="31" t="s">
        <v>46</v>
      </c>
      <c r="G823" s="31" t="s">
        <v>58</v>
      </c>
      <c r="H823" s="31" t="s">
        <v>167</v>
      </c>
      <c r="I823" s="32" t="str">
        <f aca="false">INDEX(Productos!$B$2:$B$13,MATCH($H823,Productos!$A$2:$A$13,0))</f>
        <v>Tornillo DIN 912 M6x25 Allen zincado</v>
      </c>
      <c r="J823" s="32" t="str">
        <f aca="false">INDEX(Productos!$C$2:$C$13,MATCH($H823,Productos!$A$2:$A$13,0))</f>
        <v>Métrica</v>
      </c>
      <c r="K823" s="31" t="s">
        <v>246</v>
      </c>
      <c r="L823" s="46" t="n">
        <v>59</v>
      </c>
      <c r="M823" s="50" t="n">
        <f aca="false">INDEX(Productos!$F$2:$F$13,MATCH($H823,Productos!$A$2:$A$13,0))</f>
        <v>42</v>
      </c>
      <c r="N823" s="51" t="n">
        <v>0.168</v>
      </c>
      <c r="O823" s="52" t="n">
        <f aca="false">M823*(1-N823)</f>
        <v>34.944</v>
      </c>
      <c r="P823" s="21" t="n">
        <f aca="false">L823*O823</f>
        <v>2061.696</v>
      </c>
      <c r="Q823" s="50" t="n">
        <f aca="false">INDEX(Productos!$E$2:$E$13,MATCH($H823,Productos!$A$2:$A$13,0))*INDEX(Parametros!$B$26:$B$43,MATCH($C823,Parametros!$A$26:$A$43,0))</f>
        <v>22.2142</v>
      </c>
      <c r="R823" s="21" t="n">
        <f aca="false">L823*Q823</f>
        <v>1310.6378</v>
      </c>
      <c r="S823" s="18" t="n">
        <f aca="false">L823*INDEX(Parametros!$B$20:$B$22,MATCH($E823,Parametros!$A$20:$A$22,0))</f>
        <v>50.15</v>
      </c>
      <c r="T823" s="18" t="n">
        <f aca="false">P823*INDEX(Parametros!$B$13:$B$16,MATCH($F823,Parametros!$A$13:$A$16,0))</f>
        <v>82.46784</v>
      </c>
      <c r="U823" s="21" t="n">
        <f aca="false">P823-R823-S823-T823</f>
        <v>618.44036</v>
      </c>
      <c r="V823" s="19" t="n">
        <f aca="false">IFERROR(U823/P823,0)</f>
        <v>0.299966804029304</v>
      </c>
      <c r="W823" s="48" t="n">
        <f aca="false">B823+INDEX(Parametros!$C$13:$C$16,MATCH($F823,Parametros!$A$13:$A$16,0))</f>
        <v>46018</v>
      </c>
      <c r="X823" s="31" t="s">
        <v>67</v>
      </c>
      <c r="Y823" s="53" t="n">
        <f aca="false">IF(COUNTIF($A$2:$A823,A823)=1,1,0)</f>
        <v>0</v>
      </c>
    </row>
    <row r="824" customFormat="false" ht="15" hidden="false" customHeight="false" outlineLevel="0" collapsed="false">
      <c r="A824" s="31" t="s">
        <v>686</v>
      </c>
      <c r="B824" s="36" t="n">
        <v>45943</v>
      </c>
      <c r="C824" s="49" t="n">
        <f aca="false">DATE(YEAR(B824),MONTH(B824),1)</f>
        <v>45931</v>
      </c>
      <c r="D824" s="31" t="s">
        <v>197</v>
      </c>
      <c r="E824" s="31" t="s">
        <v>41</v>
      </c>
      <c r="F824" s="31" t="s">
        <v>46</v>
      </c>
      <c r="G824" s="31" t="s">
        <v>58</v>
      </c>
      <c r="H824" s="31" t="s">
        <v>173</v>
      </c>
      <c r="I824" s="32" t="str">
        <f aca="false">INDEX(Productos!$B$2:$B$13,MATCH($H824,Productos!$A$2:$A$13,0))</f>
        <v>Tornillo DIN 933 M12x70 clase 8.8</v>
      </c>
      <c r="J824" s="32" t="str">
        <f aca="false">INDEX(Productos!$C$2:$C$13,MATCH($H824,Productos!$A$2:$A$13,0))</f>
        <v>Métrica</v>
      </c>
      <c r="K824" s="31" t="s">
        <v>246</v>
      </c>
      <c r="L824" s="46" t="n">
        <v>144</v>
      </c>
      <c r="M824" s="50" t="n">
        <f aca="false">INDEX(Productos!$F$2:$F$13,MATCH($H824,Productos!$A$2:$A$13,0))</f>
        <v>64</v>
      </c>
      <c r="N824" s="51" t="n">
        <v>0.172</v>
      </c>
      <c r="O824" s="52" t="n">
        <f aca="false">M824*(1-N824)</f>
        <v>52.992</v>
      </c>
      <c r="P824" s="21" t="n">
        <f aca="false">L824*O824</f>
        <v>7630.848</v>
      </c>
      <c r="Q824" s="50" t="n">
        <f aca="false">INDEX(Productos!$E$2:$E$13,MATCH($H824,Productos!$A$2:$A$13,0))*INDEX(Parametros!$B$26:$B$43,MATCH($C824,Parametros!$A$26:$A$43,0))</f>
        <v>34.1365</v>
      </c>
      <c r="R824" s="21" t="n">
        <f aca="false">L824*Q824</f>
        <v>4915.656</v>
      </c>
      <c r="S824" s="18" t="n">
        <f aca="false">L824*INDEX(Parametros!$B$20:$B$22,MATCH($E824,Parametros!$A$20:$A$22,0))</f>
        <v>122.4</v>
      </c>
      <c r="T824" s="18" t="n">
        <f aca="false">P824*INDEX(Parametros!$B$13:$B$16,MATCH($F824,Parametros!$A$13:$A$16,0))</f>
        <v>305.23392</v>
      </c>
      <c r="U824" s="21" t="n">
        <f aca="false">P824-R824-S824-T824</f>
        <v>2287.55808</v>
      </c>
      <c r="V824" s="19" t="n">
        <f aca="false">IFERROR(U824/P824,0)</f>
        <v>0.299777702294686</v>
      </c>
      <c r="W824" s="48" t="n">
        <f aca="false">B824+INDEX(Parametros!$C$13:$C$16,MATCH($F824,Parametros!$A$13:$A$16,0))</f>
        <v>46018</v>
      </c>
      <c r="X824" s="31" t="s">
        <v>67</v>
      </c>
      <c r="Y824" s="53" t="n">
        <f aca="false">IF(COUNTIF($A$2:$A824,A824)=1,1,0)</f>
        <v>0</v>
      </c>
    </row>
    <row r="825" customFormat="false" ht="15" hidden="false" customHeight="false" outlineLevel="0" collapsed="false">
      <c r="A825" s="31" t="s">
        <v>687</v>
      </c>
      <c r="B825" s="36" t="n">
        <v>45943</v>
      </c>
      <c r="C825" s="49" t="n">
        <f aca="false">DATE(YEAR(B825),MONTH(B825),1)</f>
        <v>45931</v>
      </c>
      <c r="D825" s="31" t="s">
        <v>223</v>
      </c>
      <c r="E825" s="31" t="s">
        <v>43</v>
      </c>
      <c r="F825" s="31" t="s">
        <v>46</v>
      </c>
      <c r="G825" s="31" t="s">
        <v>59</v>
      </c>
      <c r="H825" s="31" t="s">
        <v>175</v>
      </c>
      <c r="I825" s="32" t="str">
        <f aca="false">INDEX(Productos!$B$2:$B$13,MATCH($H825,Productos!$A$2:$A$13,0))</f>
        <v>Tirafondo madera 5x60 cabeza plana Torx</v>
      </c>
      <c r="J825" s="32" t="str">
        <f aca="false">INDEX(Productos!$C$2:$C$13,MATCH($H825,Productos!$A$2:$A$13,0))</f>
        <v>Madera</v>
      </c>
      <c r="K825" s="31" t="s">
        <v>246</v>
      </c>
      <c r="L825" s="46" t="n">
        <v>61</v>
      </c>
      <c r="M825" s="50" t="n">
        <f aca="false">INDEX(Productos!$F$2:$F$13,MATCH($H825,Productos!$A$2:$A$13,0))</f>
        <v>26</v>
      </c>
      <c r="N825" s="51" t="n">
        <v>0.086</v>
      </c>
      <c r="O825" s="52" t="n">
        <f aca="false">M825*(1-N825)</f>
        <v>23.764</v>
      </c>
      <c r="P825" s="21" t="n">
        <f aca="false">L825*O825</f>
        <v>1449.604</v>
      </c>
      <c r="Q825" s="50" t="n">
        <f aca="false">INDEX(Productos!$E$2:$E$13,MATCH($H825,Productos!$A$2:$A$13,0))*INDEX(Parametros!$B$26:$B$43,MATCH($C825,Parametros!$A$26:$A$43,0))</f>
        <v>13.6546</v>
      </c>
      <c r="R825" s="21" t="n">
        <f aca="false">L825*Q825</f>
        <v>832.9306</v>
      </c>
      <c r="S825" s="18" t="n">
        <f aca="false">L825*INDEX(Parametros!$B$20:$B$22,MATCH($E825,Parametros!$A$20:$A$22,0))</f>
        <v>115.9</v>
      </c>
      <c r="T825" s="18" t="n">
        <f aca="false">P825*INDEX(Parametros!$B$13:$B$16,MATCH($F825,Parametros!$A$13:$A$16,0))</f>
        <v>57.98416</v>
      </c>
      <c r="U825" s="21" t="n">
        <f aca="false">P825-R825-S825-T825</f>
        <v>442.78924</v>
      </c>
      <c r="V825" s="19" t="n">
        <f aca="false">IFERROR(U825/P825,0)</f>
        <v>0.305455310553779</v>
      </c>
      <c r="W825" s="48" t="n">
        <f aca="false">B825+INDEX(Parametros!$C$13:$C$16,MATCH($F825,Parametros!$A$13:$A$16,0))</f>
        <v>46018</v>
      </c>
      <c r="X825" s="31" t="s">
        <v>67</v>
      </c>
      <c r="Y825" s="53" t="n">
        <f aca="false">IF(COUNTIF($A$2:$A825,A825)=1,1,0)</f>
        <v>1</v>
      </c>
    </row>
    <row r="826" customFormat="false" ht="15" hidden="false" customHeight="false" outlineLevel="0" collapsed="false">
      <c r="A826" s="31" t="s">
        <v>688</v>
      </c>
      <c r="B826" s="36" t="n">
        <v>45943</v>
      </c>
      <c r="C826" s="49" t="n">
        <f aca="false">DATE(YEAR(B826),MONTH(B826),1)</f>
        <v>45931</v>
      </c>
      <c r="D826" s="31" t="s">
        <v>192</v>
      </c>
      <c r="E826" s="31" t="s">
        <v>41</v>
      </c>
      <c r="F826" s="31" t="s">
        <v>45</v>
      </c>
      <c r="G826" s="31" t="s">
        <v>58</v>
      </c>
      <c r="H826" s="31" t="s">
        <v>183</v>
      </c>
      <c r="I826" s="32" t="str">
        <f aca="false">INDEX(Productos!$B$2:$B$13,MATCH($H826,Productos!$A$2:$A$13,0))</f>
        <v>Tornillo estructural M16x90 clase 10.9</v>
      </c>
      <c r="J826" s="32" t="str">
        <f aca="false">INDEX(Productos!$C$2:$C$13,MATCH($H826,Productos!$A$2:$A$13,0))</f>
        <v>Especial</v>
      </c>
      <c r="K826" s="31" t="s">
        <v>246</v>
      </c>
      <c r="L826" s="46" t="n">
        <v>46</v>
      </c>
      <c r="M826" s="50" t="n">
        <f aca="false">INDEX(Productos!$F$2:$F$13,MATCH($H826,Productos!$A$2:$A$13,0))</f>
        <v>112</v>
      </c>
      <c r="N826" s="51" t="n">
        <v>0.144</v>
      </c>
      <c r="O826" s="52" t="n">
        <f aca="false">M826*(1-N826)</f>
        <v>95.872</v>
      </c>
      <c r="P826" s="21" t="n">
        <f aca="false">L826*O826</f>
        <v>4410.112</v>
      </c>
      <c r="Q826" s="50" t="n">
        <f aca="false">INDEX(Productos!$E$2:$E$13,MATCH($H826,Productos!$A$2:$A$13,0))*INDEX(Parametros!$B$26:$B$43,MATCH($C826,Parametros!$A$26:$A$43,0))</f>
        <v>61.14</v>
      </c>
      <c r="R826" s="21" t="n">
        <f aca="false">L826*Q826</f>
        <v>2812.44</v>
      </c>
      <c r="S826" s="18" t="n">
        <f aca="false">L826*INDEX(Parametros!$B$20:$B$22,MATCH($E826,Parametros!$A$20:$A$22,0))</f>
        <v>39.1</v>
      </c>
      <c r="T826" s="18" t="n">
        <f aca="false">P826*INDEX(Parametros!$B$13:$B$16,MATCH($F826,Parametros!$A$13:$A$16,0))</f>
        <v>132.30336</v>
      </c>
      <c r="U826" s="21" t="n">
        <f aca="false">P826-R826-S826-T826</f>
        <v>1426.26864</v>
      </c>
      <c r="V826" s="19" t="n">
        <f aca="false">IFERROR(U826/P826,0)</f>
        <v>0.323408711615487</v>
      </c>
      <c r="W826" s="48" t="n">
        <f aca="false">B826+INDEX(Parametros!$C$13:$C$16,MATCH($F826,Parametros!$A$13:$A$16,0))</f>
        <v>46003</v>
      </c>
      <c r="X826" s="31" t="s">
        <v>67</v>
      </c>
      <c r="Y826" s="53" t="n">
        <f aca="false">IF(COUNTIF($A$2:$A826,A826)=1,1,0)</f>
        <v>1</v>
      </c>
    </row>
    <row r="827" customFormat="false" ht="15" hidden="false" customHeight="false" outlineLevel="0" collapsed="false">
      <c r="A827" s="31" t="s">
        <v>689</v>
      </c>
      <c r="B827" s="36" t="n">
        <v>45944</v>
      </c>
      <c r="C827" s="49" t="n">
        <f aca="false">DATE(YEAR(B827),MONTH(B827),1)</f>
        <v>45931</v>
      </c>
      <c r="D827" s="31" t="s">
        <v>218</v>
      </c>
      <c r="E827" s="31" t="s">
        <v>42</v>
      </c>
      <c r="F827" s="31" t="s">
        <v>45</v>
      </c>
      <c r="G827" s="31" t="s">
        <v>61</v>
      </c>
      <c r="H827" s="31" t="s">
        <v>177</v>
      </c>
      <c r="I827" s="32" t="str">
        <f aca="false">INDEX(Productos!$B$2:$B$13,MATCH($H827,Productos!$A$2:$A$13,0))</f>
        <v>Tirafondo madera 6x100 cabeza plana Torx</v>
      </c>
      <c r="J827" s="32" t="str">
        <f aca="false">INDEX(Productos!$C$2:$C$13,MATCH($H827,Productos!$A$2:$A$13,0))</f>
        <v>Madera</v>
      </c>
      <c r="K827" s="31" t="s">
        <v>246</v>
      </c>
      <c r="L827" s="46" t="n">
        <v>317</v>
      </c>
      <c r="M827" s="50" t="n">
        <f aca="false">INDEX(Productos!$F$2:$F$13,MATCH($H827,Productos!$A$2:$A$13,0))</f>
        <v>34</v>
      </c>
      <c r="N827" s="51" t="n">
        <v>0.152</v>
      </c>
      <c r="O827" s="52" t="n">
        <f aca="false">M827*(1-N827)</f>
        <v>28.832</v>
      </c>
      <c r="P827" s="21" t="n">
        <f aca="false">L827*O827</f>
        <v>9139.744</v>
      </c>
      <c r="Q827" s="50" t="n">
        <f aca="false">INDEX(Productos!$E$2:$E$13,MATCH($H827,Productos!$A$2:$A$13,0))*INDEX(Parametros!$B$26:$B$43,MATCH($C827,Parametros!$A$26:$A$43,0))</f>
        <v>18.1382</v>
      </c>
      <c r="R827" s="21" t="n">
        <f aca="false">L827*Q827</f>
        <v>5749.8094</v>
      </c>
      <c r="S827" s="18" t="n">
        <f aca="false">L827*INDEX(Parametros!$B$20:$B$22,MATCH($E827,Parametros!$A$20:$A$22,0))</f>
        <v>760.8</v>
      </c>
      <c r="T827" s="18" t="n">
        <f aca="false">P827*INDEX(Parametros!$B$13:$B$16,MATCH($F827,Parametros!$A$13:$A$16,0))</f>
        <v>274.19232</v>
      </c>
      <c r="U827" s="21" t="n">
        <f aca="false">P827-R827-S827-T827</f>
        <v>2354.94228</v>
      </c>
      <c r="V827" s="19" t="n">
        <f aca="false">IFERROR(U827/P827,0)</f>
        <v>0.257659544950056</v>
      </c>
      <c r="W827" s="48" t="n">
        <f aca="false">B827+INDEX(Parametros!$C$13:$C$16,MATCH($F827,Parametros!$A$13:$A$16,0))</f>
        <v>46004</v>
      </c>
      <c r="X827" s="31" t="s">
        <v>67</v>
      </c>
      <c r="Y827" s="53" t="n">
        <f aca="false">IF(COUNTIF($A$2:$A827,A827)=1,1,0)</f>
        <v>1</v>
      </c>
    </row>
    <row r="828" customFormat="false" ht="15" hidden="false" customHeight="false" outlineLevel="0" collapsed="false">
      <c r="A828" s="31" t="s">
        <v>689</v>
      </c>
      <c r="B828" s="36" t="n">
        <v>45944</v>
      </c>
      <c r="C828" s="49" t="n">
        <f aca="false">DATE(YEAR(B828),MONTH(B828),1)</f>
        <v>45931</v>
      </c>
      <c r="D828" s="31" t="s">
        <v>218</v>
      </c>
      <c r="E828" s="31" t="s">
        <v>42</v>
      </c>
      <c r="F828" s="31" t="s">
        <v>45</v>
      </c>
      <c r="G828" s="31" t="s">
        <v>61</v>
      </c>
      <c r="H828" s="31" t="s">
        <v>169</v>
      </c>
      <c r="I828" s="32" t="str">
        <f aca="false">INDEX(Productos!$B$2:$B$13,MATCH($H828,Productos!$A$2:$A$13,0))</f>
        <v>Tornillo DIN 912 M10x60 Allen inox A2</v>
      </c>
      <c r="J828" s="32" t="str">
        <f aca="false">INDEX(Productos!$C$2:$C$13,MATCH($H828,Productos!$A$2:$A$13,0))</f>
        <v>Inoxidable</v>
      </c>
      <c r="K828" s="31" t="s">
        <v>246</v>
      </c>
      <c r="L828" s="46" t="n">
        <v>71</v>
      </c>
      <c r="M828" s="50" t="n">
        <f aca="false">INDEX(Productos!$F$2:$F$13,MATCH($H828,Productos!$A$2:$A$13,0))</f>
        <v>79</v>
      </c>
      <c r="N828" s="51" t="n">
        <v>0.168</v>
      </c>
      <c r="O828" s="52" t="n">
        <f aca="false">M828*(1-N828)</f>
        <v>65.728</v>
      </c>
      <c r="P828" s="21" t="n">
        <f aca="false">L828*O828</f>
        <v>4666.688</v>
      </c>
      <c r="Q828" s="50" t="n">
        <f aca="false">INDEX(Productos!$E$2:$E$13,MATCH($H828,Productos!$A$2:$A$13,0))*INDEX(Parametros!$B$26:$B$43,MATCH($C828,Parametros!$A$26:$A$43,0))</f>
        <v>42.798</v>
      </c>
      <c r="R828" s="21" t="n">
        <f aca="false">L828*Q828</f>
        <v>3038.658</v>
      </c>
      <c r="S828" s="18" t="n">
        <f aca="false">L828*INDEX(Parametros!$B$20:$B$22,MATCH($E828,Parametros!$A$20:$A$22,0))</f>
        <v>170.4</v>
      </c>
      <c r="T828" s="18" t="n">
        <f aca="false">P828*INDEX(Parametros!$B$13:$B$16,MATCH($F828,Parametros!$A$13:$A$16,0))</f>
        <v>140.00064</v>
      </c>
      <c r="U828" s="21" t="n">
        <f aca="false">P828-R828-S828-T828</f>
        <v>1317.62936</v>
      </c>
      <c r="V828" s="19" t="n">
        <f aca="false">IFERROR(U828/P828,0)</f>
        <v>0.282347857838364</v>
      </c>
      <c r="W828" s="48" t="n">
        <f aca="false">B828+INDEX(Parametros!$C$13:$C$16,MATCH($F828,Parametros!$A$13:$A$16,0))</f>
        <v>46004</v>
      </c>
      <c r="X828" s="31" t="s">
        <v>67</v>
      </c>
      <c r="Y828" s="53" t="n">
        <f aca="false">IF(COUNTIF($A$2:$A828,A828)=1,1,0)</f>
        <v>0</v>
      </c>
    </row>
    <row r="829" customFormat="false" ht="15" hidden="false" customHeight="false" outlineLevel="0" collapsed="false">
      <c r="A829" s="31" t="s">
        <v>690</v>
      </c>
      <c r="B829" s="36" t="n">
        <v>45945</v>
      </c>
      <c r="C829" s="49" t="n">
        <f aca="false">DATE(YEAR(B829),MONTH(B829),1)</f>
        <v>45931</v>
      </c>
      <c r="D829" s="31" t="s">
        <v>219</v>
      </c>
      <c r="E829" s="31" t="s">
        <v>42</v>
      </c>
      <c r="F829" s="31" t="s">
        <v>45</v>
      </c>
      <c r="G829" s="31" t="s">
        <v>61</v>
      </c>
      <c r="H829" s="31" t="s">
        <v>175</v>
      </c>
      <c r="I829" s="32" t="str">
        <f aca="false">INDEX(Productos!$B$2:$B$13,MATCH($H829,Productos!$A$2:$A$13,0))</f>
        <v>Tirafondo madera 5x60 cabeza plana Torx</v>
      </c>
      <c r="J829" s="32" t="str">
        <f aca="false">INDEX(Productos!$C$2:$C$13,MATCH($H829,Productos!$A$2:$A$13,0))</f>
        <v>Madera</v>
      </c>
      <c r="K829" s="31" t="s">
        <v>246</v>
      </c>
      <c r="L829" s="46" t="n">
        <v>309</v>
      </c>
      <c r="M829" s="50" t="n">
        <f aca="false">INDEX(Productos!$F$2:$F$13,MATCH($H829,Productos!$A$2:$A$13,0))</f>
        <v>26</v>
      </c>
      <c r="N829" s="51" t="n">
        <v>0.123</v>
      </c>
      <c r="O829" s="52" t="n">
        <f aca="false">M829*(1-N829)</f>
        <v>22.802</v>
      </c>
      <c r="P829" s="21" t="n">
        <f aca="false">L829*O829</f>
        <v>7045.818</v>
      </c>
      <c r="Q829" s="50" t="n">
        <f aca="false">INDEX(Productos!$E$2:$E$13,MATCH($H829,Productos!$A$2:$A$13,0))*INDEX(Parametros!$B$26:$B$43,MATCH($C829,Parametros!$A$26:$A$43,0))</f>
        <v>13.6546</v>
      </c>
      <c r="R829" s="21" t="n">
        <f aca="false">L829*Q829</f>
        <v>4219.2714</v>
      </c>
      <c r="S829" s="18" t="n">
        <f aca="false">L829*INDEX(Parametros!$B$20:$B$22,MATCH($E829,Parametros!$A$20:$A$22,0))</f>
        <v>741.6</v>
      </c>
      <c r="T829" s="18" t="n">
        <f aca="false">P829*INDEX(Parametros!$B$13:$B$16,MATCH($F829,Parametros!$A$13:$A$16,0))</f>
        <v>211.37454</v>
      </c>
      <c r="U829" s="21" t="n">
        <f aca="false">P829-R829-S829-T829</f>
        <v>1873.57206</v>
      </c>
      <c r="V829" s="19" t="n">
        <f aca="false">IFERROR(U829/P829,0)</f>
        <v>0.265912639242172</v>
      </c>
      <c r="W829" s="48" t="n">
        <f aca="false">B829+INDEX(Parametros!$C$13:$C$16,MATCH($F829,Parametros!$A$13:$A$16,0))</f>
        <v>46005</v>
      </c>
      <c r="X829" s="31" t="s">
        <v>67</v>
      </c>
      <c r="Y829" s="53" t="n">
        <f aca="false">IF(COUNTIF($A$2:$A829,A829)=1,1,0)</f>
        <v>1</v>
      </c>
    </row>
    <row r="830" customFormat="false" ht="15" hidden="false" customHeight="false" outlineLevel="0" collapsed="false">
      <c r="A830" s="31" t="s">
        <v>690</v>
      </c>
      <c r="B830" s="36" t="n">
        <v>45945</v>
      </c>
      <c r="C830" s="49" t="n">
        <f aca="false">DATE(YEAR(B830),MONTH(B830),1)</f>
        <v>45931</v>
      </c>
      <c r="D830" s="31" t="s">
        <v>219</v>
      </c>
      <c r="E830" s="31" t="s">
        <v>42</v>
      </c>
      <c r="F830" s="31" t="s">
        <v>45</v>
      </c>
      <c r="G830" s="31" t="s">
        <v>61</v>
      </c>
      <c r="H830" s="31" t="s">
        <v>165</v>
      </c>
      <c r="I830" s="32" t="str">
        <f aca="false">INDEX(Productos!$B$2:$B$13,MATCH($H830,Productos!$A$2:$A$13,0))</f>
        <v>Tornillo DIN 933 M8x40 rosca completa zincado</v>
      </c>
      <c r="J830" s="32" t="str">
        <f aca="false">INDEX(Productos!$C$2:$C$13,MATCH($H830,Productos!$A$2:$A$13,0))</f>
        <v>Métrica</v>
      </c>
      <c r="K830" s="31" t="s">
        <v>246</v>
      </c>
      <c r="L830" s="46" t="n">
        <v>39</v>
      </c>
      <c r="M830" s="50" t="n">
        <f aca="false">INDEX(Productos!$F$2:$F$13,MATCH($H830,Productos!$A$2:$A$13,0))</f>
        <v>37.5</v>
      </c>
      <c r="N830" s="51" t="n">
        <v>0.2</v>
      </c>
      <c r="O830" s="52" t="n">
        <f aca="false">M830*(1-N830)</f>
        <v>30</v>
      </c>
      <c r="P830" s="21" t="n">
        <f aca="false">L830*O830</f>
        <v>1170</v>
      </c>
      <c r="Q830" s="50" t="n">
        <f aca="false">INDEX(Productos!$E$2:$E$13,MATCH($H830,Productos!$A$2:$A$13,0))*INDEX(Parametros!$B$26:$B$43,MATCH($C830,Parametros!$A$26:$A$43,0))</f>
        <v>19.7686</v>
      </c>
      <c r="R830" s="21" t="n">
        <f aca="false">L830*Q830</f>
        <v>770.9754</v>
      </c>
      <c r="S830" s="18" t="n">
        <f aca="false">L830*INDEX(Parametros!$B$20:$B$22,MATCH($E830,Parametros!$A$20:$A$22,0))</f>
        <v>93.6</v>
      </c>
      <c r="T830" s="18" t="n">
        <f aca="false">P830*INDEX(Parametros!$B$13:$B$16,MATCH($F830,Parametros!$A$13:$A$16,0))</f>
        <v>35.1</v>
      </c>
      <c r="U830" s="21" t="n">
        <f aca="false">P830-R830-S830-T830</f>
        <v>270.3246</v>
      </c>
      <c r="V830" s="19" t="n">
        <f aca="false">IFERROR(U830/P830,0)</f>
        <v>0.231046666666667</v>
      </c>
      <c r="W830" s="48" t="n">
        <f aca="false">B830+INDEX(Parametros!$C$13:$C$16,MATCH($F830,Parametros!$A$13:$A$16,0))</f>
        <v>46005</v>
      </c>
      <c r="X830" s="31" t="s">
        <v>67</v>
      </c>
      <c r="Y830" s="53" t="n">
        <f aca="false">IF(COUNTIF($A$2:$A830,A830)=1,1,0)</f>
        <v>0</v>
      </c>
    </row>
    <row r="831" customFormat="false" ht="15" hidden="false" customHeight="false" outlineLevel="0" collapsed="false">
      <c r="A831" s="31" t="s">
        <v>690</v>
      </c>
      <c r="B831" s="36" t="n">
        <v>45945</v>
      </c>
      <c r="C831" s="49" t="n">
        <f aca="false">DATE(YEAR(B831),MONTH(B831),1)</f>
        <v>45931</v>
      </c>
      <c r="D831" s="31" t="s">
        <v>219</v>
      </c>
      <c r="E831" s="31" t="s">
        <v>42</v>
      </c>
      <c r="F831" s="31" t="s">
        <v>45</v>
      </c>
      <c r="G831" s="31" t="s">
        <v>61</v>
      </c>
      <c r="H831" s="31" t="s">
        <v>167</v>
      </c>
      <c r="I831" s="32" t="str">
        <f aca="false">INDEX(Productos!$B$2:$B$13,MATCH($H831,Productos!$A$2:$A$13,0))</f>
        <v>Tornillo DIN 912 M6x25 Allen zincado</v>
      </c>
      <c r="J831" s="32" t="str">
        <f aca="false">INDEX(Productos!$C$2:$C$13,MATCH($H831,Productos!$A$2:$A$13,0))</f>
        <v>Métrica</v>
      </c>
      <c r="K831" s="31" t="s">
        <v>246</v>
      </c>
      <c r="L831" s="46" t="n">
        <v>21</v>
      </c>
      <c r="M831" s="50" t="n">
        <f aca="false">INDEX(Productos!$F$2:$F$13,MATCH($H831,Productos!$A$2:$A$13,0))</f>
        <v>42</v>
      </c>
      <c r="N831" s="51" t="n">
        <v>0.22</v>
      </c>
      <c r="O831" s="52" t="n">
        <f aca="false">M831*(1-N831)</f>
        <v>32.76</v>
      </c>
      <c r="P831" s="21" t="n">
        <f aca="false">L831*O831</f>
        <v>687.96</v>
      </c>
      <c r="Q831" s="50" t="n">
        <f aca="false">INDEX(Productos!$E$2:$E$13,MATCH($H831,Productos!$A$2:$A$13,0))*INDEX(Parametros!$B$26:$B$43,MATCH($C831,Parametros!$A$26:$A$43,0))</f>
        <v>22.2142</v>
      </c>
      <c r="R831" s="21" t="n">
        <f aca="false">L831*Q831</f>
        <v>466.4982</v>
      </c>
      <c r="S831" s="18" t="n">
        <f aca="false">L831*INDEX(Parametros!$B$20:$B$22,MATCH($E831,Parametros!$A$20:$A$22,0))</f>
        <v>50.4</v>
      </c>
      <c r="T831" s="18" t="n">
        <f aca="false">P831*INDEX(Parametros!$B$13:$B$16,MATCH($F831,Parametros!$A$13:$A$16,0))</f>
        <v>20.6388</v>
      </c>
      <c r="U831" s="21" t="n">
        <f aca="false">P831-R831-S831-T831</f>
        <v>150.423</v>
      </c>
      <c r="V831" s="19" t="n">
        <f aca="false">IFERROR(U831/P831,0)</f>
        <v>0.218650793650794</v>
      </c>
      <c r="W831" s="48" t="n">
        <f aca="false">B831+INDEX(Parametros!$C$13:$C$16,MATCH($F831,Parametros!$A$13:$A$16,0))</f>
        <v>46005</v>
      </c>
      <c r="X831" s="31" t="s">
        <v>67</v>
      </c>
      <c r="Y831" s="53" t="n">
        <f aca="false">IF(COUNTIF($A$2:$A831,A831)=1,1,0)</f>
        <v>0</v>
      </c>
    </row>
    <row r="832" customFormat="false" ht="15" hidden="false" customHeight="false" outlineLevel="0" collapsed="false">
      <c r="A832" s="31" t="s">
        <v>690</v>
      </c>
      <c r="B832" s="36" t="n">
        <v>45945</v>
      </c>
      <c r="C832" s="49" t="n">
        <f aca="false">DATE(YEAR(B832),MONTH(B832),1)</f>
        <v>45931</v>
      </c>
      <c r="D832" s="31" t="s">
        <v>219</v>
      </c>
      <c r="E832" s="31" t="s">
        <v>42</v>
      </c>
      <c r="F832" s="31" t="s">
        <v>45</v>
      </c>
      <c r="G832" s="31" t="s">
        <v>61</v>
      </c>
      <c r="H832" s="31" t="s">
        <v>173</v>
      </c>
      <c r="I832" s="32" t="str">
        <f aca="false">INDEX(Productos!$B$2:$B$13,MATCH($H832,Productos!$A$2:$A$13,0))</f>
        <v>Tornillo DIN 933 M12x70 clase 8.8</v>
      </c>
      <c r="J832" s="32" t="str">
        <f aca="false">INDEX(Productos!$C$2:$C$13,MATCH($H832,Productos!$A$2:$A$13,0))</f>
        <v>Métrica</v>
      </c>
      <c r="K832" s="31" t="s">
        <v>246</v>
      </c>
      <c r="L832" s="46" t="n">
        <v>76</v>
      </c>
      <c r="M832" s="50" t="n">
        <f aca="false">INDEX(Productos!$F$2:$F$13,MATCH($H832,Productos!$A$2:$A$13,0))</f>
        <v>64</v>
      </c>
      <c r="N832" s="51" t="n">
        <v>0.155</v>
      </c>
      <c r="O832" s="52" t="n">
        <f aca="false">M832*(1-N832)</f>
        <v>54.08</v>
      </c>
      <c r="P832" s="21" t="n">
        <f aca="false">L832*O832</f>
        <v>4110.08</v>
      </c>
      <c r="Q832" s="50" t="n">
        <f aca="false">INDEX(Productos!$E$2:$E$13,MATCH($H832,Productos!$A$2:$A$13,0))*INDEX(Parametros!$B$26:$B$43,MATCH($C832,Parametros!$A$26:$A$43,0))</f>
        <v>34.1365</v>
      </c>
      <c r="R832" s="21" t="n">
        <f aca="false">L832*Q832</f>
        <v>2594.374</v>
      </c>
      <c r="S832" s="18" t="n">
        <f aca="false">L832*INDEX(Parametros!$B$20:$B$22,MATCH($E832,Parametros!$A$20:$A$22,0))</f>
        <v>182.4</v>
      </c>
      <c r="T832" s="18" t="n">
        <f aca="false">P832*INDEX(Parametros!$B$13:$B$16,MATCH($F832,Parametros!$A$13:$A$16,0))</f>
        <v>123.3024</v>
      </c>
      <c r="U832" s="21" t="n">
        <f aca="false">P832-R832-S832-T832</f>
        <v>1210.0036</v>
      </c>
      <c r="V832" s="19" t="n">
        <f aca="false">IFERROR(U832/P832,0)</f>
        <v>0.294399038461539</v>
      </c>
      <c r="W832" s="48" t="n">
        <f aca="false">B832+INDEX(Parametros!$C$13:$C$16,MATCH($F832,Parametros!$A$13:$A$16,0))</f>
        <v>46005</v>
      </c>
      <c r="X832" s="31" t="s">
        <v>69</v>
      </c>
      <c r="Y832" s="53" t="n">
        <f aca="false">IF(COUNTIF($A$2:$A832,A832)=1,1,0)</f>
        <v>0</v>
      </c>
    </row>
    <row r="833" customFormat="false" ht="15" hidden="false" customHeight="false" outlineLevel="0" collapsed="false">
      <c r="A833" s="31" t="s">
        <v>691</v>
      </c>
      <c r="B833" s="36" t="n">
        <v>45945</v>
      </c>
      <c r="C833" s="49" t="n">
        <f aca="false">DATE(YEAR(B833),MONTH(B833),1)</f>
        <v>45931</v>
      </c>
      <c r="D833" s="31" t="s">
        <v>221</v>
      </c>
      <c r="E833" s="31" t="s">
        <v>43</v>
      </c>
      <c r="F833" s="31" t="s">
        <v>45</v>
      </c>
      <c r="G833" s="31" t="s">
        <v>59</v>
      </c>
      <c r="H833" s="31" t="s">
        <v>181</v>
      </c>
      <c r="I833" s="32" t="str">
        <f aca="false">INDEX(Productos!$B$2:$B$13,MATCH($H833,Productos!$A$2:$A$13,0))</f>
        <v>Autotaladrante 5,5x55 punta broca</v>
      </c>
      <c r="J833" s="32" t="str">
        <f aca="false">INDEX(Productos!$C$2:$C$13,MATCH($H833,Productos!$A$2:$A$13,0))</f>
        <v>Autotaladrante</v>
      </c>
      <c r="K833" s="31" t="s">
        <v>246</v>
      </c>
      <c r="L833" s="46" t="n">
        <v>29</v>
      </c>
      <c r="M833" s="50" t="n">
        <f aca="false">INDEX(Productos!$F$2:$F$13,MATCH($H833,Productos!$A$2:$A$13,0))</f>
        <v>39</v>
      </c>
      <c r="N833" s="51" t="n">
        <v>0.201</v>
      </c>
      <c r="O833" s="52" t="n">
        <f aca="false">M833*(1-N833)</f>
        <v>31.161</v>
      </c>
      <c r="P833" s="21" t="n">
        <f aca="false">L833*O833</f>
        <v>903.669</v>
      </c>
      <c r="Q833" s="50" t="n">
        <f aca="false">INDEX(Productos!$E$2:$E$13,MATCH($H833,Productos!$A$2:$A$13,0))*INDEX(Parametros!$B$26:$B$43,MATCH($C833,Parametros!$A$26:$A$43,0))</f>
        <v>20.6857</v>
      </c>
      <c r="R833" s="21" t="n">
        <f aca="false">L833*Q833</f>
        <v>599.8853</v>
      </c>
      <c r="S833" s="18" t="n">
        <f aca="false">L833*INDEX(Parametros!$B$20:$B$22,MATCH($E833,Parametros!$A$20:$A$22,0))</f>
        <v>55.1</v>
      </c>
      <c r="T833" s="18" t="n">
        <f aca="false">P833*INDEX(Parametros!$B$13:$B$16,MATCH($F833,Parametros!$A$13:$A$16,0))</f>
        <v>27.11007</v>
      </c>
      <c r="U833" s="21" t="n">
        <f aca="false">P833-R833-S833-T833</f>
        <v>221.57363</v>
      </c>
      <c r="V833" s="19" t="n">
        <f aca="false">IFERROR(U833/P833,0)</f>
        <v>0.245193350662687</v>
      </c>
      <c r="W833" s="48" t="n">
        <f aca="false">B833+INDEX(Parametros!$C$13:$C$16,MATCH($F833,Parametros!$A$13:$A$16,0))</f>
        <v>46005</v>
      </c>
      <c r="X833" s="31" t="s">
        <v>67</v>
      </c>
      <c r="Y833" s="53" t="n">
        <f aca="false">IF(COUNTIF($A$2:$A833,A833)=1,1,0)</f>
        <v>1</v>
      </c>
    </row>
    <row r="834" customFormat="false" ht="15" hidden="false" customHeight="false" outlineLevel="0" collapsed="false">
      <c r="A834" s="31" t="s">
        <v>691</v>
      </c>
      <c r="B834" s="36" t="n">
        <v>45945</v>
      </c>
      <c r="C834" s="49" t="n">
        <f aca="false">DATE(YEAR(B834),MONTH(B834),1)</f>
        <v>45931</v>
      </c>
      <c r="D834" s="31" t="s">
        <v>221</v>
      </c>
      <c r="E834" s="31" t="s">
        <v>43</v>
      </c>
      <c r="F834" s="31" t="s">
        <v>45</v>
      </c>
      <c r="G834" s="31" t="s">
        <v>59</v>
      </c>
      <c r="H834" s="31" t="s">
        <v>177</v>
      </c>
      <c r="I834" s="32" t="str">
        <f aca="false">INDEX(Productos!$B$2:$B$13,MATCH($H834,Productos!$A$2:$A$13,0))</f>
        <v>Tirafondo madera 6x100 cabeza plana Torx</v>
      </c>
      <c r="J834" s="32" t="str">
        <f aca="false">INDEX(Productos!$C$2:$C$13,MATCH($H834,Productos!$A$2:$A$13,0))</f>
        <v>Madera</v>
      </c>
      <c r="K834" s="31" t="s">
        <v>246</v>
      </c>
      <c r="L834" s="46" t="n">
        <v>130</v>
      </c>
      <c r="M834" s="50" t="n">
        <f aca="false">INDEX(Productos!$F$2:$F$13,MATCH($H834,Productos!$A$2:$A$13,0))</f>
        <v>34</v>
      </c>
      <c r="N834" s="51" t="n">
        <v>0.205</v>
      </c>
      <c r="O834" s="52" t="n">
        <f aca="false">M834*(1-N834)</f>
        <v>27.03</v>
      </c>
      <c r="P834" s="21" t="n">
        <f aca="false">L834*O834</f>
        <v>3513.9</v>
      </c>
      <c r="Q834" s="50" t="n">
        <f aca="false">INDEX(Productos!$E$2:$E$13,MATCH($H834,Productos!$A$2:$A$13,0))*INDEX(Parametros!$B$26:$B$43,MATCH($C834,Parametros!$A$26:$A$43,0))</f>
        <v>18.1382</v>
      </c>
      <c r="R834" s="21" t="n">
        <f aca="false">L834*Q834</f>
        <v>2357.966</v>
      </c>
      <c r="S834" s="18" t="n">
        <f aca="false">L834*INDEX(Parametros!$B$20:$B$22,MATCH($E834,Parametros!$A$20:$A$22,0))</f>
        <v>247</v>
      </c>
      <c r="T834" s="18" t="n">
        <f aca="false">P834*INDEX(Parametros!$B$13:$B$16,MATCH($F834,Parametros!$A$13:$A$16,0))</f>
        <v>105.417</v>
      </c>
      <c r="U834" s="21" t="n">
        <f aca="false">P834-R834-S834-T834</f>
        <v>803.517</v>
      </c>
      <c r="V834" s="19" t="n">
        <f aca="false">IFERROR(U834/P834,0)</f>
        <v>0.228668146503885</v>
      </c>
      <c r="W834" s="48" t="n">
        <f aca="false">B834+INDEX(Parametros!$C$13:$C$16,MATCH($F834,Parametros!$A$13:$A$16,0))</f>
        <v>46005</v>
      </c>
      <c r="X834" s="31" t="s">
        <v>67</v>
      </c>
      <c r="Y834" s="53" t="n">
        <f aca="false">IF(COUNTIF($A$2:$A834,A834)=1,1,0)</f>
        <v>0</v>
      </c>
    </row>
    <row r="835" customFormat="false" ht="15" hidden="false" customHeight="false" outlineLevel="0" collapsed="false">
      <c r="A835" s="31" t="s">
        <v>692</v>
      </c>
      <c r="B835" s="36" t="n">
        <v>45946</v>
      </c>
      <c r="C835" s="49" t="n">
        <f aca="false">DATE(YEAR(B835),MONTH(B835),1)</f>
        <v>45931</v>
      </c>
      <c r="D835" s="31" t="s">
        <v>219</v>
      </c>
      <c r="E835" s="31" t="s">
        <v>42</v>
      </c>
      <c r="F835" s="31" t="s">
        <v>45</v>
      </c>
      <c r="G835" s="31" t="s">
        <v>61</v>
      </c>
      <c r="H835" s="31" t="s">
        <v>177</v>
      </c>
      <c r="I835" s="32" t="str">
        <f aca="false">INDEX(Productos!$B$2:$B$13,MATCH($H835,Productos!$A$2:$A$13,0))</f>
        <v>Tirafondo madera 6x100 cabeza plana Torx</v>
      </c>
      <c r="J835" s="32" t="str">
        <f aca="false">INDEX(Productos!$C$2:$C$13,MATCH($H835,Productos!$A$2:$A$13,0))</f>
        <v>Madera</v>
      </c>
      <c r="K835" s="31" t="s">
        <v>246</v>
      </c>
      <c r="L835" s="46" t="n">
        <v>40</v>
      </c>
      <c r="M835" s="50" t="n">
        <f aca="false">INDEX(Productos!$F$2:$F$13,MATCH($H835,Productos!$A$2:$A$13,0))</f>
        <v>34</v>
      </c>
      <c r="N835" s="51" t="n">
        <v>0.205</v>
      </c>
      <c r="O835" s="52" t="n">
        <f aca="false">M835*(1-N835)</f>
        <v>27.03</v>
      </c>
      <c r="P835" s="21" t="n">
        <f aca="false">L835*O835</f>
        <v>1081.2</v>
      </c>
      <c r="Q835" s="50" t="n">
        <f aca="false">INDEX(Productos!$E$2:$E$13,MATCH($H835,Productos!$A$2:$A$13,0))*INDEX(Parametros!$B$26:$B$43,MATCH($C835,Parametros!$A$26:$A$43,0))</f>
        <v>18.1382</v>
      </c>
      <c r="R835" s="21" t="n">
        <f aca="false">L835*Q835</f>
        <v>725.528</v>
      </c>
      <c r="S835" s="18" t="n">
        <f aca="false">L835*INDEX(Parametros!$B$20:$B$22,MATCH($E835,Parametros!$A$20:$A$22,0))</f>
        <v>96</v>
      </c>
      <c r="T835" s="18" t="n">
        <f aca="false">P835*INDEX(Parametros!$B$13:$B$16,MATCH($F835,Parametros!$A$13:$A$16,0))</f>
        <v>32.436</v>
      </c>
      <c r="U835" s="21" t="n">
        <f aca="false">P835-R835-S835-T835</f>
        <v>227.236</v>
      </c>
      <c r="V835" s="19" t="n">
        <f aca="false">IFERROR(U835/P835,0)</f>
        <v>0.210170181280059</v>
      </c>
      <c r="W835" s="48" t="n">
        <f aca="false">B835+INDEX(Parametros!$C$13:$C$16,MATCH($F835,Parametros!$A$13:$A$16,0))</f>
        <v>46006</v>
      </c>
      <c r="X835" s="31" t="s">
        <v>67</v>
      </c>
      <c r="Y835" s="53" t="n">
        <f aca="false">IF(COUNTIF($A$2:$A835,A835)=1,1,0)</f>
        <v>1</v>
      </c>
    </row>
    <row r="836" customFormat="false" ht="15" hidden="false" customHeight="false" outlineLevel="0" collapsed="false">
      <c r="A836" s="31" t="s">
        <v>693</v>
      </c>
      <c r="B836" s="36" t="n">
        <v>45947</v>
      </c>
      <c r="C836" s="49" t="n">
        <f aca="false">DATE(YEAR(B836),MONTH(B836),1)</f>
        <v>45931</v>
      </c>
      <c r="D836" s="31" t="s">
        <v>205</v>
      </c>
      <c r="E836" s="31" t="s">
        <v>41</v>
      </c>
      <c r="F836" s="31" t="s">
        <v>45</v>
      </c>
      <c r="G836" s="31" t="s">
        <v>62</v>
      </c>
      <c r="H836" s="31" t="s">
        <v>179</v>
      </c>
      <c r="I836" s="32" t="str">
        <f aca="false">INDEX(Productos!$B$2:$B$13,MATCH($H836,Productos!$A$2:$A$13,0))</f>
        <v>Autotaladrante DIN 7504 4,8x38 zincado</v>
      </c>
      <c r="J836" s="32" t="str">
        <f aca="false">INDEX(Productos!$C$2:$C$13,MATCH($H836,Productos!$A$2:$A$13,0))</f>
        <v>Autotaladrante</v>
      </c>
      <c r="K836" s="31" t="s">
        <v>246</v>
      </c>
      <c r="L836" s="46" t="n">
        <v>54</v>
      </c>
      <c r="M836" s="50" t="n">
        <f aca="false">INDEX(Productos!$F$2:$F$13,MATCH($H836,Productos!$A$2:$A$13,0))</f>
        <v>29.5</v>
      </c>
      <c r="N836" s="51" t="n">
        <v>0.188</v>
      </c>
      <c r="O836" s="52" t="n">
        <f aca="false">M836*(1-N836)</f>
        <v>23.954</v>
      </c>
      <c r="P836" s="21" t="n">
        <f aca="false">L836*O836</f>
        <v>1293.516</v>
      </c>
      <c r="Q836" s="50" t="n">
        <f aca="false">INDEX(Productos!$E$2:$E$13,MATCH($H836,Productos!$A$2:$A$13,0))*INDEX(Parametros!$B$26:$B$43,MATCH($C836,Parametros!$A$26:$A$43,0))</f>
        <v>15.4888</v>
      </c>
      <c r="R836" s="21" t="n">
        <f aca="false">L836*Q836</f>
        <v>836.3952</v>
      </c>
      <c r="S836" s="18" t="n">
        <f aca="false">L836*INDEX(Parametros!$B$20:$B$22,MATCH($E836,Parametros!$A$20:$A$22,0))</f>
        <v>45.9</v>
      </c>
      <c r="T836" s="18" t="n">
        <f aca="false">P836*INDEX(Parametros!$B$13:$B$16,MATCH($F836,Parametros!$A$13:$A$16,0))</f>
        <v>38.80548</v>
      </c>
      <c r="U836" s="21" t="n">
        <f aca="false">P836-R836-S836-T836</f>
        <v>372.41532</v>
      </c>
      <c r="V836" s="19" t="n">
        <f aca="false">IFERROR(U836/P836,0)</f>
        <v>0.287909326208567</v>
      </c>
      <c r="W836" s="48" t="n">
        <f aca="false">B836+INDEX(Parametros!$C$13:$C$16,MATCH($F836,Parametros!$A$13:$A$16,0))</f>
        <v>46007</v>
      </c>
      <c r="X836" s="31" t="s">
        <v>67</v>
      </c>
      <c r="Y836" s="53" t="n">
        <f aca="false">IF(COUNTIF($A$2:$A836,A836)=1,1,0)</f>
        <v>1</v>
      </c>
    </row>
    <row r="837" customFormat="false" ht="15" hidden="false" customHeight="false" outlineLevel="0" collapsed="false">
      <c r="A837" s="31" t="s">
        <v>693</v>
      </c>
      <c r="B837" s="36" t="n">
        <v>45947</v>
      </c>
      <c r="C837" s="49" t="n">
        <f aca="false">DATE(YEAR(B837),MONTH(B837),1)</f>
        <v>45931</v>
      </c>
      <c r="D837" s="31" t="s">
        <v>205</v>
      </c>
      <c r="E837" s="31" t="s">
        <v>41</v>
      </c>
      <c r="F837" s="31" t="s">
        <v>45</v>
      </c>
      <c r="G837" s="31" t="s">
        <v>62</v>
      </c>
      <c r="H837" s="31" t="s">
        <v>171</v>
      </c>
      <c r="I837" s="32" t="str">
        <f aca="false">INDEX(Productos!$B$2:$B$13,MATCH($H837,Productos!$A$2:$A$13,0))</f>
        <v>Tornillo DIN 7991 M8x30 avellanado inox A2</v>
      </c>
      <c r="J837" s="32" t="str">
        <f aca="false">INDEX(Productos!$C$2:$C$13,MATCH($H837,Productos!$A$2:$A$13,0))</f>
        <v>Inoxidable</v>
      </c>
      <c r="K837" s="31" t="s">
        <v>246</v>
      </c>
      <c r="L837" s="46" t="n">
        <v>62</v>
      </c>
      <c r="M837" s="50" t="n">
        <f aca="false">INDEX(Productos!$F$2:$F$13,MATCH($H837,Productos!$A$2:$A$13,0))</f>
        <v>88</v>
      </c>
      <c r="N837" s="51" t="n">
        <v>0.181</v>
      </c>
      <c r="O837" s="52" t="n">
        <f aca="false">M837*(1-N837)</f>
        <v>72.072</v>
      </c>
      <c r="P837" s="21" t="n">
        <f aca="false">L837*O837</f>
        <v>4468.464</v>
      </c>
      <c r="Q837" s="50" t="n">
        <f aca="false">INDEX(Productos!$E$2:$E$13,MATCH($H837,Productos!$A$2:$A$13,0))*INDEX(Parametros!$B$26:$B$43,MATCH($C837,Parametros!$A$26:$A$43,0))</f>
        <v>47.3835</v>
      </c>
      <c r="R837" s="21" t="n">
        <f aca="false">L837*Q837</f>
        <v>2937.777</v>
      </c>
      <c r="S837" s="18" t="n">
        <f aca="false">L837*INDEX(Parametros!$B$20:$B$22,MATCH($E837,Parametros!$A$20:$A$22,0))</f>
        <v>52.7</v>
      </c>
      <c r="T837" s="18" t="n">
        <f aca="false">P837*INDEX(Parametros!$B$13:$B$16,MATCH($F837,Parametros!$A$13:$A$16,0))</f>
        <v>134.05392</v>
      </c>
      <c r="U837" s="21" t="n">
        <f aca="false">P837-R837-S837-T837</f>
        <v>1343.93308</v>
      </c>
      <c r="V837" s="19" t="n">
        <f aca="false">IFERROR(U837/P837,0)</f>
        <v>0.300759518259518</v>
      </c>
      <c r="W837" s="48" t="n">
        <f aca="false">B837+INDEX(Parametros!$C$13:$C$16,MATCH($F837,Parametros!$A$13:$A$16,0))</f>
        <v>46007</v>
      </c>
      <c r="X837" s="31" t="s">
        <v>67</v>
      </c>
      <c r="Y837" s="53" t="n">
        <f aca="false">IF(COUNTIF($A$2:$A837,A837)=1,1,0)</f>
        <v>0</v>
      </c>
    </row>
    <row r="838" customFormat="false" ht="15" hidden="false" customHeight="false" outlineLevel="0" collapsed="false">
      <c r="A838" s="31" t="s">
        <v>693</v>
      </c>
      <c r="B838" s="36" t="n">
        <v>45947</v>
      </c>
      <c r="C838" s="49" t="n">
        <f aca="false">DATE(YEAR(B838),MONTH(B838),1)</f>
        <v>45931</v>
      </c>
      <c r="D838" s="31" t="s">
        <v>205</v>
      </c>
      <c r="E838" s="31" t="s">
        <v>41</v>
      </c>
      <c r="F838" s="31" t="s">
        <v>45</v>
      </c>
      <c r="G838" s="31" t="s">
        <v>62</v>
      </c>
      <c r="H838" s="31" t="s">
        <v>181</v>
      </c>
      <c r="I838" s="32" t="str">
        <f aca="false">INDEX(Productos!$B$2:$B$13,MATCH($H838,Productos!$A$2:$A$13,0))</f>
        <v>Autotaladrante 5,5x55 punta broca</v>
      </c>
      <c r="J838" s="32" t="str">
        <f aca="false">INDEX(Productos!$C$2:$C$13,MATCH($H838,Productos!$A$2:$A$13,0))</f>
        <v>Autotaladrante</v>
      </c>
      <c r="K838" s="31" t="s">
        <v>246</v>
      </c>
      <c r="L838" s="46" t="n">
        <v>43</v>
      </c>
      <c r="M838" s="50" t="n">
        <f aca="false">INDEX(Productos!$F$2:$F$13,MATCH($H838,Productos!$A$2:$A$13,0))</f>
        <v>39</v>
      </c>
      <c r="N838" s="51" t="n">
        <v>0.159</v>
      </c>
      <c r="O838" s="52" t="n">
        <f aca="false">M838*(1-N838)</f>
        <v>32.799</v>
      </c>
      <c r="P838" s="21" t="n">
        <f aca="false">L838*O838</f>
        <v>1410.357</v>
      </c>
      <c r="Q838" s="50" t="n">
        <f aca="false">INDEX(Productos!$E$2:$E$13,MATCH($H838,Productos!$A$2:$A$13,0))*INDEX(Parametros!$B$26:$B$43,MATCH($C838,Parametros!$A$26:$A$43,0))</f>
        <v>20.6857</v>
      </c>
      <c r="R838" s="21" t="n">
        <f aca="false">L838*Q838</f>
        <v>889.4851</v>
      </c>
      <c r="S838" s="18" t="n">
        <f aca="false">L838*INDEX(Parametros!$B$20:$B$22,MATCH($E838,Parametros!$A$20:$A$22,0))</f>
        <v>36.55</v>
      </c>
      <c r="T838" s="18" t="n">
        <f aca="false">P838*INDEX(Parametros!$B$13:$B$16,MATCH($F838,Parametros!$A$13:$A$16,0))</f>
        <v>42.31071</v>
      </c>
      <c r="U838" s="21" t="n">
        <f aca="false">P838-R838-S838-T838</f>
        <v>442.01119</v>
      </c>
      <c r="V838" s="19" t="n">
        <f aca="false">IFERROR(U838/P838,0)</f>
        <v>0.313403762309827</v>
      </c>
      <c r="W838" s="48" t="n">
        <f aca="false">B838+INDEX(Parametros!$C$13:$C$16,MATCH($F838,Parametros!$A$13:$A$16,0))</f>
        <v>46007</v>
      </c>
      <c r="X838" s="31" t="s">
        <v>67</v>
      </c>
      <c r="Y838" s="53" t="n">
        <f aca="false">IF(COUNTIF($A$2:$A838,A838)=1,1,0)</f>
        <v>0</v>
      </c>
    </row>
    <row r="839" customFormat="false" ht="15" hidden="false" customHeight="false" outlineLevel="0" collapsed="false">
      <c r="A839" s="31" t="s">
        <v>694</v>
      </c>
      <c r="B839" s="36" t="n">
        <v>45947</v>
      </c>
      <c r="C839" s="49" t="n">
        <f aca="false">DATE(YEAR(B839),MONTH(B839),1)</f>
        <v>45931</v>
      </c>
      <c r="D839" s="31" t="s">
        <v>192</v>
      </c>
      <c r="E839" s="31" t="s">
        <v>41</v>
      </c>
      <c r="F839" s="31" t="s">
        <v>45</v>
      </c>
      <c r="G839" s="31" t="s">
        <v>58</v>
      </c>
      <c r="H839" s="31" t="s">
        <v>163</v>
      </c>
      <c r="I839" s="32" t="str">
        <f aca="false">INDEX(Productos!$B$2:$B$13,MATCH($H839,Productos!$A$2:$A$13,0))</f>
        <v>Tornillo DIN 933 M6x30 rosca completa zincado</v>
      </c>
      <c r="J839" s="32" t="str">
        <f aca="false">INDEX(Productos!$C$2:$C$13,MATCH($H839,Productos!$A$2:$A$13,0))</f>
        <v>Métrica</v>
      </c>
      <c r="K839" s="31" t="s">
        <v>246</v>
      </c>
      <c r="L839" s="46" t="n">
        <v>41</v>
      </c>
      <c r="M839" s="50" t="n">
        <f aca="false">INDEX(Productos!$F$2:$F$13,MATCH($H839,Productos!$A$2:$A$13,0))</f>
        <v>32</v>
      </c>
      <c r="N839" s="51" t="n">
        <v>0.13</v>
      </c>
      <c r="O839" s="52" t="n">
        <f aca="false">M839*(1-N839)</f>
        <v>27.84</v>
      </c>
      <c r="P839" s="21" t="n">
        <f aca="false">L839*O839</f>
        <v>1141.44</v>
      </c>
      <c r="Q839" s="50" t="n">
        <f aca="false">INDEX(Productos!$E$2:$E$13,MATCH($H839,Productos!$A$2:$A$13,0))*INDEX(Parametros!$B$26:$B$43,MATCH($C839,Parametros!$A$26:$A$43,0))</f>
        <v>16.9154</v>
      </c>
      <c r="R839" s="21" t="n">
        <f aca="false">L839*Q839</f>
        <v>693.5314</v>
      </c>
      <c r="S839" s="18" t="n">
        <f aca="false">L839*INDEX(Parametros!$B$20:$B$22,MATCH($E839,Parametros!$A$20:$A$22,0))</f>
        <v>34.85</v>
      </c>
      <c r="T839" s="18" t="n">
        <f aca="false">P839*INDEX(Parametros!$B$13:$B$16,MATCH($F839,Parametros!$A$13:$A$16,0))</f>
        <v>34.2432</v>
      </c>
      <c r="U839" s="21" t="n">
        <f aca="false">P839-R839-S839-T839</f>
        <v>378.8154</v>
      </c>
      <c r="V839" s="19" t="n">
        <f aca="false">IFERROR(U839/P839,0)</f>
        <v>0.331875</v>
      </c>
      <c r="W839" s="48" t="n">
        <f aca="false">B839+INDEX(Parametros!$C$13:$C$16,MATCH($F839,Parametros!$A$13:$A$16,0))</f>
        <v>46007</v>
      </c>
      <c r="X839" s="31" t="s">
        <v>67</v>
      </c>
      <c r="Y839" s="53" t="n">
        <f aca="false">IF(COUNTIF($A$2:$A839,A839)=1,1,0)</f>
        <v>1</v>
      </c>
    </row>
    <row r="840" customFormat="false" ht="15" hidden="false" customHeight="false" outlineLevel="0" collapsed="false">
      <c r="A840" s="31" t="s">
        <v>695</v>
      </c>
      <c r="B840" s="36" t="n">
        <v>45950</v>
      </c>
      <c r="C840" s="49" t="n">
        <f aca="false">DATE(YEAR(B840),MONTH(B840),1)</f>
        <v>45931</v>
      </c>
      <c r="D840" s="31" t="s">
        <v>207</v>
      </c>
      <c r="E840" s="31" t="s">
        <v>41</v>
      </c>
      <c r="F840" s="31" t="s">
        <v>47</v>
      </c>
      <c r="G840" s="31" t="s">
        <v>62</v>
      </c>
      <c r="H840" s="31" t="s">
        <v>163</v>
      </c>
      <c r="I840" s="32" t="str">
        <f aca="false">INDEX(Productos!$B$2:$B$13,MATCH($H840,Productos!$A$2:$A$13,0))</f>
        <v>Tornillo DIN 933 M6x30 rosca completa zincado</v>
      </c>
      <c r="J840" s="32" t="str">
        <f aca="false">INDEX(Productos!$C$2:$C$13,MATCH($H840,Productos!$A$2:$A$13,0))</f>
        <v>Métrica</v>
      </c>
      <c r="K840" s="31" t="s">
        <v>246</v>
      </c>
      <c r="L840" s="46" t="n">
        <v>45</v>
      </c>
      <c r="M840" s="50" t="n">
        <f aca="false">INDEX(Productos!$F$2:$F$13,MATCH($H840,Productos!$A$2:$A$13,0))</f>
        <v>32</v>
      </c>
      <c r="N840" s="51" t="n">
        <v>0.062</v>
      </c>
      <c r="O840" s="52" t="n">
        <f aca="false">M840*(1-N840)</f>
        <v>30.016</v>
      </c>
      <c r="P840" s="21" t="n">
        <f aca="false">L840*O840</f>
        <v>1350.72</v>
      </c>
      <c r="Q840" s="50" t="n">
        <f aca="false">INDEX(Productos!$E$2:$E$13,MATCH($H840,Productos!$A$2:$A$13,0))*INDEX(Parametros!$B$26:$B$43,MATCH($C840,Parametros!$A$26:$A$43,0))</f>
        <v>16.9154</v>
      </c>
      <c r="R840" s="21" t="n">
        <f aca="false">L840*Q840</f>
        <v>761.193</v>
      </c>
      <c r="S840" s="18" t="n">
        <f aca="false">L840*INDEX(Parametros!$B$20:$B$22,MATCH($E840,Parametros!$A$20:$A$22,0))</f>
        <v>38.25</v>
      </c>
      <c r="T840" s="18" t="n">
        <f aca="false">P840*INDEX(Parametros!$B$13:$B$16,MATCH($F840,Parametros!$A$13:$A$16,0))</f>
        <v>47.2752</v>
      </c>
      <c r="U840" s="21" t="n">
        <f aca="false">P840-R840-S840-T840</f>
        <v>504.0018</v>
      </c>
      <c r="V840" s="19" t="n">
        <f aca="false">IFERROR(U840/P840,0)</f>
        <v>0.37313566098081</v>
      </c>
      <c r="W840" s="48" t="n">
        <f aca="false">B840+INDEX(Parametros!$C$13:$C$16,MATCH($F840,Parametros!$A$13:$A$16,0))</f>
        <v>45995</v>
      </c>
      <c r="X840" s="31" t="s">
        <v>67</v>
      </c>
      <c r="Y840" s="53" t="n">
        <f aca="false">IF(COUNTIF($A$2:$A840,A840)=1,1,0)</f>
        <v>1</v>
      </c>
    </row>
    <row r="841" customFormat="false" ht="15" hidden="false" customHeight="false" outlineLevel="0" collapsed="false">
      <c r="A841" s="31" t="s">
        <v>696</v>
      </c>
      <c r="B841" s="36" t="n">
        <v>45950</v>
      </c>
      <c r="C841" s="49" t="n">
        <f aca="false">DATE(YEAR(B841),MONTH(B841),1)</f>
        <v>45931</v>
      </c>
      <c r="D841" s="31" t="s">
        <v>223</v>
      </c>
      <c r="E841" s="31" t="s">
        <v>43</v>
      </c>
      <c r="F841" s="31" t="s">
        <v>46</v>
      </c>
      <c r="G841" s="31" t="s">
        <v>59</v>
      </c>
      <c r="H841" s="31" t="s">
        <v>181</v>
      </c>
      <c r="I841" s="32" t="str">
        <f aca="false">INDEX(Productos!$B$2:$B$13,MATCH($H841,Productos!$A$2:$A$13,0))</f>
        <v>Autotaladrante 5,5x55 punta broca</v>
      </c>
      <c r="J841" s="32" t="str">
        <f aca="false">INDEX(Productos!$C$2:$C$13,MATCH($H841,Productos!$A$2:$A$13,0))</f>
        <v>Autotaladrante</v>
      </c>
      <c r="K841" s="31" t="s">
        <v>246</v>
      </c>
      <c r="L841" s="46" t="n">
        <v>99</v>
      </c>
      <c r="M841" s="50" t="n">
        <f aca="false">INDEX(Productos!$F$2:$F$13,MATCH($H841,Productos!$A$2:$A$13,0))</f>
        <v>39</v>
      </c>
      <c r="N841" s="51" t="n">
        <v>0.15</v>
      </c>
      <c r="O841" s="52" t="n">
        <f aca="false">M841*(1-N841)</f>
        <v>33.15</v>
      </c>
      <c r="P841" s="21" t="n">
        <f aca="false">L841*O841</f>
        <v>3281.85</v>
      </c>
      <c r="Q841" s="50" t="n">
        <f aca="false">INDEX(Productos!$E$2:$E$13,MATCH($H841,Productos!$A$2:$A$13,0))*INDEX(Parametros!$B$26:$B$43,MATCH($C841,Parametros!$A$26:$A$43,0))</f>
        <v>20.6857</v>
      </c>
      <c r="R841" s="21" t="n">
        <f aca="false">L841*Q841</f>
        <v>2047.8843</v>
      </c>
      <c r="S841" s="18" t="n">
        <f aca="false">L841*INDEX(Parametros!$B$20:$B$22,MATCH($E841,Parametros!$A$20:$A$22,0))</f>
        <v>188.1</v>
      </c>
      <c r="T841" s="18" t="n">
        <f aca="false">P841*INDEX(Parametros!$B$13:$B$16,MATCH($F841,Parametros!$A$13:$A$16,0))</f>
        <v>131.274</v>
      </c>
      <c r="U841" s="21" t="n">
        <f aca="false">P841-R841-S841-T841</f>
        <v>914.5917</v>
      </c>
      <c r="V841" s="19" t="n">
        <f aca="false">IFERROR(U841/P841,0)</f>
        <v>0.278681749622926</v>
      </c>
      <c r="W841" s="48" t="n">
        <f aca="false">B841+INDEX(Parametros!$C$13:$C$16,MATCH($F841,Parametros!$A$13:$A$16,0))</f>
        <v>46025</v>
      </c>
      <c r="X841" s="31" t="s">
        <v>67</v>
      </c>
      <c r="Y841" s="53" t="n">
        <f aca="false">IF(COUNTIF($A$2:$A841,A841)=1,1,0)</f>
        <v>1</v>
      </c>
    </row>
    <row r="842" customFormat="false" ht="15" hidden="false" customHeight="false" outlineLevel="0" collapsed="false">
      <c r="A842" s="31" t="s">
        <v>696</v>
      </c>
      <c r="B842" s="36" t="n">
        <v>45950</v>
      </c>
      <c r="C842" s="49" t="n">
        <f aca="false">DATE(YEAR(B842),MONTH(B842),1)</f>
        <v>45931</v>
      </c>
      <c r="D842" s="31" t="s">
        <v>223</v>
      </c>
      <c r="E842" s="31" t="s">
        <v>43</v>
      </c>
      <c r="F842" s="31" t="s">
        <v>46</v>
      </c>
      <c r="G842" s="31" t="s">
        <v>59</v>
      </c>
      <c r="H842" s="31" t="s">
        <v>185</v>
      </c>
      <c r="I842" s="32" t="str">
        <f aca="false">INDEX(Productos!$B$2:$B$13,MATCH($H842,Productos!$A$2:$A$13,0))</f>
        <v>Varilla roscada M10 x 1 m zincada</v>
      </c>
      <c r="J842" s="32" t="str">
        <f aca="false">INDEX(Productos!$C$2:$C$13,MATCH($H842,Productos!$A$2:$A$13,0))</f>
        <v>Especial</v>
      </c>
      <c r="K842" s="31" t="s">
        <v>246</v>
      </c>
      <c r="L842" s="46" t="n">
        <v>312</v>
      </c>
      <c r="M842" s="50" t="n">
        <f aca="false">INDEX(Productos!$F$2:$F$13,MATCH($H842,Productos!$A$2:$A$13,0))</f>
        <v>54</v>
      </c>
      <c r="N842" s="51" t="n">
        <v>0.172</v>
      </c>
      <c r="O842" s="52" t="n">
        <f aca="false">M842*(1-N842)</f>
        <v>44.712</v>
      </c>
      <c r="P842" s="21" t="n">
        <f aca="false">L842*O842</f>
        <v>13950.144</v>
      </c>
      <c r="Q842" s="50" t="n">
        <f aca="false">INDEX(Productos!$E$2:$E$13,MATCH($H842,Productos!$A$2:$A$13,0))*INDEX(Parametros!$B$26:$B$43,MATCH($C842,Parametros!$A$26:$A$43,0))</f>
        <v>29.0415</v>
      </c>
      <c r="R842" s="21" t="n">
        <f aca="false">L842*Q842</f>
        <v>9060.948</v>
      </c>
      <c r="S842" s="18" t="n">
        <f aca="false">L842*INDEX(Parametros!$B$20:$B$22,MATCH($E842,Parametros!$A$20:$A$22,0))</f>
        <v>592.8</v>
      </c>
      <c r="T842" s="18" t="n">
        <f aca="false">P842*INDEX(Parametros!$B$13:$B$16,MATCH($F842,Parametros!$A$13:$A$16,0))</f>
        <v>558.00576</v>
      </c>
      <c r="U842" s="21" t="n">
        <f aca="false">P842-R842-S842-T842</f>
        <v>3738.39024</v>
      </c>
      <c r="V842" s="19" t="n">
        <f aca="false">IFERROR(U842/P842,0)</f>
        <v>0.267982197173019</v>
      </c>
      <c r="W842" s="48" t="n">
        <f aca="false">B842+INDEX(Parametros!$C$13:$C$16,MATCH($F842,Parametros!$A$13:$A$16,0))</f>
        <v>46025</v>
      </c>
      <c r="X842" s="31" t="s">
        <v>67</v>
      </c>
      <c r="Y842" s="53" t="n">
        <f aca="false">IF(COUNTIF($A$2:$A842,A842)=1,1,0)</f>
        <v>0</v>
      </c>
    </row>
    <row r="843" customFormat="false" ht="15" hidden="false" customHeight="false" outlineLevel="0" collapsed="false">
      <c r="A843" s="31" t="s">
        <v>697</v>
      </c>
      <c r="B843" s="36" t="n">
        <v>45950</v>
      </c>
      <c r="C843" s="49" t="n">
        <f aca="false">DATE(YEAR(B843),MONTH(B843),1)</f>
        <v>45931</v>
      </c>
      <c r="D843" s="31" t="s">
        <v>199</v>
      </c>
      <c r="E843" s="31" t="s">
        <v>41</v>
      </c>
      <c r="F843" s="31" t="s">
        <v>45</v>
      </c>
      <c r="G843" s="31" t="s">
        <v>58</v>
      </c>
      <c r="H843" s="31" t="s">
        <v>179</v>
      </c>
      <c r="I843" s="32" t="str">
        <f aca="false">INDEX(Productos!$B$2:$B$13,MATCH($H843,Productos!$A$2:$A$13,0))</f>
        <v>Autotaladrante DIN 7504 4,8x38 zincado</v>
      </c>
      <c r="J843" s="32" t="str">
        <f aca="false">INDEX(Productos!$C$2:$C$13,MATCH($H843,Productos!$A$2:$A$13,0))</f>
        <v>Autotaladrante</v>
      </c>
      <c r="K843" s="31" t="s">
        <v>246</v>
      </c>
      <c r="L843" s="46" t="n">
        <v>87</v>
      </c>
      <c r="M843" s="50" t="n">
        <f aca="false">INDEX(Productos!$F$2:$F$13,MATCH($H843,Productos!$A$2:$A$13,0))</f>
        <v>29.5</v>
      </c>
      <c r="N843" s="51" t="n">
        <v>0.152</v>
      </c>
      <c r="O843" s="52" t="n">
        <f aca="false">M843*(1-N843)</f>
        <v>25.016</v>
      </c>
      <c r="P843" s="21" t="n">
        <f aca="false">L843*O843</f>
        <v>2176.392</v>
      </c>
      <c r="Q843" s="50" t="n">
        <f aca="false">INDEX(Productos!$E$2:$E$13,MATCH($H843,Productos!$A$2:$A$13,0))*INDEX(Parametros!$B$26:$B$43,MATCH($C843,Parametros!$A$26:$A$43,0))</f>
        <v>15.4888</v>
      </c>
      <c r="R843" s="21" t="n">
        <f aca="false">L843*Q843</f>
        <v>1347.5256</v>
      </c>
      <c r="S843" s="18" t="n">
        <f aca="false">L843*INDEX(Parametros!$B$20:$B$22,MATCH($E843,Parametros!$A$20:$A$22,0))</f>
        <v>73.95</v>
      </c>
      <c r="T843" s="18" t="n">
        <f aca="false">P843*INDEX(Parametros!$B$13:$B$16,MATCH($F843,Parametros!$A$13:$A$16,0))</f>
        <v>65.29176</v>
      </c>
      <c r="U843" s="21" t="n">
        <f aca="false">P843-R843-S843-T843</f>
        <v>689.62464</v>
      </c>
      <c r="V843" s="19" t="n">
        <f aca="false">IFERROR(U843/P843,0)</f>
        <v>0.316866005756316</v>
      </c>
      <c r="W843" s="48" t="n">
        <f aca="false">B843+INDEX(Parametros!$C$13:$C$16,MATCH($F843,Parametros!$A$13:$A$16,0))</f>
        <v>46010</v>
      </c>
      <c r="X843" s="31" t="s">
        <v>67</v>
      </c>
      <c r="Y843" s="53" t="n">
        <f aca="false">IF(COUNTIF($A$2:$A843,A843)=1,1,0)</f>
        <v>1</v>
      </c>
    </row>
    <row r="844" customFormat="false" ht="15" hidden="false" customHeight="false" outlineLevel="0" collapsed="false">
      <c r="A844" s="31" t="s">
        <v>698</v>
      </c>
      <c r="B844" s="36" t="n">
        <v>45951</v>
      </c>
      <c r="C844" s="49" t="n">
        <f aca="false">DATE(YEAR(B844),MONTH(B844),1)</f>
        <v>45931</v>
      </c>
      <c r="D844" s="31" t="s">
        <v>194</v>
      </c>
      <c r="E844" s="31" t="s">
        <v>41</v>
      </c>
      <c r="F844" s="31" t="s">
        <v>46</v>
      </c>
      <c r="G844" s="31" t="s">
        <v>58</v>
      </c>
      <c r="H844" s="31" t="s">
        <v>175</v>
      </c>
      <c r="I844" s="32" t="str">
        <f aca="false">INDEX(Productos!$B$2:$B$13,MATCH($H844,Productos!$A$2:$A$13,0))</f>
        <v>Tirafondo madera 5x60 cabeza plana Torx</v>
      </c>
      <c r="J844" s="32" t="str">
        <f aca="false">INDEX(Productos!$C$2:$C$13,MATCH($H844,Productos!$A$2:$A$13,0))</f>
        <v>Madera</v>
      </c>
      <c r="K844" s="31" t="s">
        <v>246</v>
      </c>
      <c r="L844" s="46" t="n">
        <v>27</v>
      </c>
      <c r="M844" s="50" t="n">
        <f aca="false">INDEX(Productos!$F$2:$F$13,MATCH($H844,Productos!$A$2:$A$13,0))</f>
        <v>26</v>
      </c>
      <c r="N844" s="51" t="n">
        <v>0.164</v>
      </c>
      <c r="O844" s="52" t="n">
        <f aca="false">M844*(1-N844)</f>
        <v>21.736</v>
      </c>
      <c r="P844" s="21" t="n">
        <f aca="false">L844*O844</f>
        <v>586.872</v>
      </c>
      <c r="Q844" s="50" t="n">
        <f aca="false">INDEX(Productos!$E$2:$E$13,MATCH($H844,Productos!$A$2:$A$13,0))*INDEX(Parametros!$B$26:$B$43,MATCH($C844,Parametros!$A$26:$A$43,0))</f>
        <v>13.6546</v>
      </c>
      <c r="R844" s="21" t="n">
        <f aca="false">L844*Q844</f>
        <v>368.6742</v>
      </c>
      <c r="S844" s="18" t="n">
        <f aca="false">L844*INDEX(Parametros!$B$20:$B$22,MATCH($E844,Parametros!$A$20:$A$22,0))</f>
        <v>22.95</v>
      </c>
      <c r="T844" s="18" t="n">
        <f aca="false">P844*INDEX(Parametros!$B$13:$B$16,MATCH($F844,Parametros!$A$13:$A$16,0))</f>
        <v>23.47488</v>
      </c>
      <c r="U844" s="21" t="n">
        <f aca="false">P844-R844-S844-T844</f>
        <v>171.77292</v>
      </c>
      <c r="V844" s="19" t="n">
        <f aca="false">IFERROR(U844/P844,0)</f>
        <v>0.292692307692308</v>
      </c>
      <c r="W844" s="48" t="n">
        <f aca="false">B844+INDEX(Parametros!$C$13:$C$16,MATCH($F844,Parametros!$A$13:$A$16,0))</f>
        <v>46026</v>
      </c>
      <c r="X844" s="31" t="s">
        <v>67</v>
      </c>
      <c r="Y844" s="53" t="n">
        <f aca="false">IF(COUNTIF($A$2:$A844,A844)=1,1,0)</f>
        <v>1</v>
      </c>
    </row>
    <row r="845" customFormat="false" ht="15" hidden="false" customHeight="false" outlineLevel="0" collapsed="false">
      <c r="A845" s="31" t="s">
        <v>699</v>
      </c>
      <c r="B845" s="36" t="n">
        <v>45951</v>
      </c>
      <c r="C845" s="49" t="n">
        <f aca="false">DATE(YEAR(B845),MONTH(B845),1)</f>
        <v>45931</v>
      </c>
      <c r="D845" s="31" t="s">
        <v>217</v>
      </c>
      <c r="E845" s="31" t="s">
        <v>42</v>
      </c>
      <c r="F845" s="31" t="s">
        <v>47</v>
      </c>
      <c r="G845" s="31" t="s">
        <v>61</v>
      </c>
      <c r="H845" s="31" t="s">
        <v>181</v>
      </c>
      <c r="I845" s="32" t="str">
        <f aca="false">INDEX(Productos!$B$2:$B$13,MATCH($H845,Productos!$A$2:$A$13,0))</f>
        <v>Autotaladrante 5,5x55 punta broca</v>
      </c>
      <c r="J845" s="32" t="str">
        <f aca="false">INDEX(Productos!$C$2:$C$13,MATCH($H845,Productos!$A$2:$A$13,0))</f>
        <v>Autotaladrante</v>
      </c>
      <c r="K845" s="31" t="s">
        <v>246</v>
      </c>
      <c r="L845" s="46" t="n">
        <v>63</v>
      </c>
      <c r="M845" s="50" t="n">
        <f aca="false">INDEX(Productos!$F$2:$F$13,MATCH($H845,Productos!$A$2:$A$13,0))</f>
        <v>39</v>
      </c>
      <c r="N845" s="51" t="n">
        <v>0.081</v>
      </c>
      <c r="O845" s="52" t="n">
        <f aca="false">M845*(1-N845)</f>
        <v>35.841</v>
      </c>
      <c r="P845" s="21" t="n">
        <f aca="false">L845*O845</f>
        <v>2257.983</v>
      </c>
      <c r="Q845" s="50" t="n">
        <f aca="false">INDEX(Productos!$E$2:$E$13,MATCH($H845,Productos!$A$2:$A$13,0))*INDEX(Parametros!$B$26:$B$43,MATCH($C845,Parametros!$A$26:$A$43,0))</f>
        <v>20.6857</v>
      </c>
      <c r="R845" s="21" t="n">
        <f aca="false">L845*Q845</f>
        <v>1303.1991</v>
      </c>
      <c r="S845" s="18" t="n">
        <f aca="false">L845*INDEX(Parametros!$B$20:$B$22,MATCH($E845,Parametros!$A$20:$A$22,0))</f>
        <v>151.2</v>
      </c>
      <c r="T845" s="18" t="n">
        <f aca="false">P845*INDEX(Parametros!$B$13:$B$16,MATCH($F845,Parametros!$A$13:$A$16,0))</f>
        <v>79.029405</v>
      </c>
      <c r="U845" s="21" t="n">
        <f aca="false">P845-R845-S845-T845</f>
        <v>724.554495</v>
      </c>
      <c r="V845" s="19" t="n">
        <f aca="false">IFERROR(U845/P845,0)</f>
        <v>0.320885717474401</v>
      </c>
      <c r="W845" s="48" t="n">
        <f aca="false">B845+INDEX(Parametros!$C$13:$C$16,MATCH($F845,Parametros!$A$13:$A$16,0))</f>
        <v>45996</v>
      </c>
      <c r="X845" s="31" t="s">
        <v>67</v>
      </c>
      <c r="Y845" s="53" t="n">
        <f aca="false">IF(COUNTIF($A$2:$A845,A845)=1,1,0)</f>
        <v>1</v>
      </c>
    </row>
    <row r="846" customFormat="false" ht="15" hidden="false" customHeight="false" outlineLevel="0" collapsed="false">
      <c r="A846" s="31" t="s">
        <v>700</v>
      </c>
      <c r="B846" s="36" t="n">
        <v>45952</v>
      </c>
      <c r="C846" s="49" t="n">
        <f aca="false">DATE(YEAR(B846),MONTH(B846),1)</f>
        <v>45931</v>
      </c>
      <c r="D846" s="31" t="s">
        <v>225</v>
      </c>
      <c r="E846" s="31" t="s">
        <v>43</v>
      </c>
      <c r="F846" s="31" t="s">
        <v>47</v>
      </c>
      <c r="G846" s="31" t="s">
        <v>59</v>
      </c>
      <c r="H846" s="31" t="s">
        <v>167</v>
      </c>
      <c r="I846" s="32" t="str">
        <f aca="false">INDEX(Productos!$B$2:$B$13,MATCH($H846,Productos!$A$2:$A$13,0))</f>
        <v>Tornillo DIN 912 M6x25 Allen zincado</v>
      </c>
      <c r="J846" s="32" t="str">
        <f aca="false">INDEX(Productos!$C$2:$C$13,MATCH($H846,Productos!$A$2:$A$13,0))</f>
        <v>Métrica</v>
      </c>
      <c r="K846" s="31" t="s">
        <v>246</v>
      </c>
      <c r="L846" s="46" t="n">
        <v>30</v>
      </c>
      <c r="M846" s="50" t="n">
        <f aca="false">INDEX(Productos!$F$2:$F$13,MATCH($H846,Productos!$A$2:$A$13,0))</f>
        <v>42</v>
      </c>
      <c r="N846" s="51" t="n">
        <v>0.099</v>
      </c>
      <c r="O846" s="52" t="n">
        <f aca="false">M846*(1-N846)</f>
        <v>37.842</v>
      </c>
      <c r="P846" s="21" t="n">
        <f aca="false">L846*O846</f>
        <v>1135.26</v>
      </c>
      <c r="Q846" s="50" t="n">
        <f aca="false">INDEX(Productos!$E$2:$E$13,MATCH($H846,Productos!$A$2:$A$13,0))*INDEX(Parametros!$B$26:$B$43,MATCH($C846,Parametros!$A$26:$A$43,0))</f>
        <v>22.2142</v>
      </c>
      <c r="R846" s="21" t="n">
        <f aca="false">L846*Q846</f>
        <v>666.426</v>
      </c>
      <c r="S846" s="18" t="n">
        <f aca="false">L846*INDEX(Parametros!$B$20:$B$22,MATCH($E846,Parametros!$A$20:$A$22,0))</f>
        <v>57</v>
      </c>
      <c r="T846" s="18" t="n">
        <f aca="false">P846*INDEX(Parametros!$B$13:$B$16,MATCH($F846,Parametros!$A$13:$A$16,0))</f>
        <v>39.7341</v>
      </c>
      <c r="U846" s="21" t="n">
        <f aca="false">P846-R846-S846-T846</f>
        <v>372.0999</v>
      </c>
      <c r="V846" s="19" t="n">
        <f aca="false">IFERROR(U846/P846,0)</f>
        <v>0.3277662385709</v>
      </c>
      <c r="W846" s="48" t="n">
        <f aca="false">B846+INDEX(Parametros!$C$13:$C$16,MATCH($F846,Parametros!$A$13:$A$16,0))</f>
        <v>45997</v>
      </c>
      <c r="X846" s="31" t="s">
        <v>67</v>
      </c>
      <c r="Y846" s="53" t="n">
        <f aca="false">IF(COUNTIF($A$2:$A846,A846)=1,1,0)</f>
        <v>1</v>
      </c>
    </row>
    <row r="847" customFormat="false" ht="15" hidden="false" customHeight="false" outlineLevel="0" collapsed="false">
      <c r="A847" s="31" t="s">
        <v>700</v>
      </c>
      <c r="B847" s="36" t="n">
        <v>45952</v>
      </c>
      <c r="C847" s="49" t="n">
        <f aca="false">DATE(YEAR(B847),MONTH(B847),1)</f>
        <v>45931</v>
      </c>
      <c r="D847" s="31" t="s">
        <v>225</v>
      </c>
      <c r="E847" s="31" t="s">
        <v>43</v>
      </c>
      <c r="F847" s="31" t="s">
        <v>47</v>
      </c>
      <c r="G847" s="31" t="s">
        <v>59</v>
      </c>
      <c r="H847" s="31" t="s">
        <v>177</v>
      </c>
      <c r="I847" s="32" t="str">
        <f aca="false">INDEX(Productos!$B$2:$B$13,MATCH($H847,Productos!$A$2:$A$13,0))</f>
        <v>Tirafondo madera 6x100 cabeza plana Torx</v>
      </c>
      <c r="J847" s="32" t="str">
        <f aca="false">INDEX(Productos!$C$2:$C$13,MATCH($H847,Productos!$A$2:$A$13,0))</f>
        <v>Madera</v>
      </c>
      <c r="K847" s="31" t="s">
        <v>246</v>
      </c>
      <c r="L847" s="46" t="n">
        <v>26</v>
      </c>
      <c r="M847" s="50" t="n">
        <f aca="false">INDEX(Productos!$F$2:$F$13,MATCH($H847,Productos!$A$2:$A$13,0))</f>
        <v>34</v>
      </c>
      <c r="N847" s="51" t="n">
        <v>0.081</v>
      </c>
      <c r="O847" s="52" t="n">
        <f aca="false">M847*(1-N847)</f>
        <v>31.246</v>
      </c>
      <c r="P847" s="21" t="n">
        <f aca="false">L847*O847</f>
        <v>812.396</v>
      </c>
      <c r="Q847" s="50" t="n">
        <f aca="false">INDEX(Productos!$E$2:$E$13,MATCH($H847,Productos!$A$2:$A$13,0))*INDEX(Parametros!$B$26:$B$43,MATCH($C847,Parametros!$A$26:$A$43,0))</f>
        <v>18.1382</v>
      </c>
      <c r="R847" s="21" t="n">
        <f aca="false">L847*Q847</f>
        <v>471.5932</v>
      </c>
      <c r="S847" s="18" t="n">
        <f aca="false">L847*INDEX(Parametros!$B$20:$B$22,MATCH($E847,Parametros!$A$20:$A$22,0))</f>
        <v>49.4</v>
      </c>
      <c r="T847" s="18" t="n">
        <f aca="false">P847*INDEX(Parametros!$B$13:$B$16,MATCH($F847,Parametros!$A$13:$A$16,0))</f>
        <v>28.43386</v>
      </c>
      <c r="U847" s="21" t="n">
        <f aca="false">P847-R847-S847-T847</f>
        <v>262.96894</v>
      </c>
      <c r="V847" s="19" t="n">
        <f aca="false">IFERROR(U847/P847,0)</f>
        <v>0.323695513025668</v>
      </c>
      <c r="W847" s="48" t="n">
        <f aca="false">B847+INDEX(Parametros!$C$13:$C$16,MATCH($F847,Parametros!$A$13:$A$16,0))</f>
        <v>45997</v>
      </c>
      <c r="X847" s="31" t="s">
        <v>67</v>
      </c>
      <c r="Y847" s="53" t="n">
        <f aca="false">IF(COUNTIF($A$2:$A847,A847)=1,1,0)</f>
        <v>0</v>
      </c>
    </row>
    <row r="848" customFormat="false" ht="15" hidden="false" customHeight="false" outlineLevel="0" collapsed="false">
      <c r="A848" s="31" t="s">
        <v>700</v>
      </c>
      <c r="B848" s="36" t="n">
        <v>45952</v>
      </c>
      <c r="C848" s="49" t="n">
        <f aca="false">DATE(YEAR(B848),MONTH(B848),1)</f>
        <v>45931</v>
      </c>
      <c r="D848" s="31" t="s">
        <v>225</v>
      </c>
      <c r="E848" s="31" t="s">
        <v>43</v>
      </c>
      <c r="F848" s="31" t="s">
        <v>47</v>
      </c>
      <c r="G848" s="31" t="s">
        <v>59</v>
      </c>
      <c r="H848" s="31" t="s">
        <v>179</v>
      </c>
      <c r="I848" s="32" t="str">
        <f aca="false">INDEX(Productos!$B$2:$B$13,MATCH($H848,Productos!$A$2:$A$13,0))</f>
        <v>Autotaladrante DIN 7504 4,8x38 zincado</v>
      </c>
      <c r="J848" s="32" t="str">
        <f aca="false">INDEX(Productos!$C$2:$C$13,MATCH($H848,Productos!$A$2:$A$13,0))</f>
        <v>Autotaladrante</v>
      </c>
      <c r="K848" s="31" t="s">
        <v>246</v>
      </c>
      <c r="L848" s="46" t="n">
        <v>117</v>
      </c>
      <c r="M848" s="50" t="n">
        <f aca="false">INDEX(Productos!$F$2:$F$13,MATCH($H848,Productos!$A$2:$A$13,0))</f>
        <v>29.5</v>
      </c>
      <c r="N848" s="51" t="n">
        <v>0.056</v>
      </c>
      <c r="O848" s="52" t="n">
        <f aca="false">M848*(1-N848)</f>
        <v>27.848</v>
      </c>
      <c r="P848" s="21" t="n">
        <f aca="false">L848*O848</f>
        <v>3258.216</v>
      </c>
      <c r="Q848" s="50" t="n">
        <f aca="false">INDEX(Productos!$E$2:$E$13,MATCH($H848,Productos!$A$2:$A$13,0))*INDEX(Parametros!$B$26:$B$43,MATCH($C848,Parametros!$A$26:$A$43,0))</f>
        <v>15.4888</v>
      </c>
      <c r="R848" s="21" t="n">
        <f aca="false">L848*Q848</f>
        <v>1812.1896</v>
      </c>
      <c r="S848" s="18" t="n">
        <f aca="false">L848*INDEX(Parametros!$B$20:$B$22,MATCH($E848,Parametros!$A$20:$A$22,0))</f>
        <v>222.3</v>
      </c>
      <c r="T848" s="18" t="n">
        <f aca="false">P848*INDEX(Parametros!$B$13:$B$16,MATCH($F848,Parametros!$A$13:$A$16,0))</f>
        <v>114.03756</v>
      </c>
      <c r="U848" s="21" t="n">
        <f aca="false">P848-R848-S848-T848</f>
        <v>1109.68884</v>
      </c>
      <c r="V848" s="19" t="n">
        <f aca="false">IFERROR(U848/P848,0)</f>
        <v>0.340581729388107</v>
      </c>
      <c r="W848" s="48" t="n">
        <f aca="false">B848+INDEX(Parametros!$C$13:$C$16,MATCH($F848,Parametros!$A$13:$A$16,0))</f>
        <v>45997</v>
      </c>
      <c r="X848" s="31" t="s">
        <v>67</v>
      </c>
      <c r="Y848" s="53" t="n">
        <f aca="false">IF(COUNTIF($A$2:$A848,A848)=1,1,0)</f>
        <v>0</v>
      </c>
    </row>
    <row r="849" customFormat="false" ht="15" hidden="false" customHeight="false" outlineLevel="0" collapsed="false">
      <c r="A849" s="31" t="s">
        <v>701</v>
      </c>
      <c r="B849" s="36" t="n">
        <v>45953</v>
      </c>
      <c r="C849" s="49" t="n">
        <f aca="false">DATE(YEAR(B849),MONTH(B849),1)</f>
        <v>45931</v>
      </c>
      <c r="D849" s="31" t="s">
        <v>216</v>
      </c>
      <c r="E849" s="31" t="s">
        <v>42</v>
      </c>
      <c r="F849" s="31" t="s">
        <v>45</v>
      </c>
      <c r="G849" s="31" t="s">
        <v>61</v>
      </c>
      <c r="H849" s="31" t="s">
        <v>169</v>
      </c>
      <c r="I849" s="32" t="str">
        <f aca="false">INDEX(Productos!$B$2:$B$13,MATCH($H849,Productos!$A$2:$A$13,0))</f>
        <v>Tornillo DIN 912 M10x60 Allen inox A2</v>
      </c>
      <c r="J849" s="32" t="str">
        <f aca="false">INDEX(Productos!$C$2:$C$13,MATCH($H849,Productos!$A$2:$A$13,0))</f>
        <v>Inoxidable</v>
      </c>
      <c r="K849" s="31" t="s">
        <v>246</v>
      </c>
      <c r="L849" s="46" t="n">
        <v>83</v>
      </c>
      <c r="M849" s="50" t="n">
        <f aca="false">INDEX(Productos!$F$2:$F$13,MATCH($H849,Productos!$A$2:$A$13,0))</f>
        <v>79</v>
      </c>
      <c r="N849" s="51" t="n">
        <v>0.135</v>
      </c>
      <c r="O849" s="52" t="n">
        <f aca="false">M849*(1-N849)</f>
        <v>68.335</v>
      </c>
      <c r="P849" s="21" t="n">
        <f aca="false">L849*O849</f>
        <v>5671.805</v>
      </c>
      <c r="Q849" s="50" t="n">
        <f aca="false">INDEX(Productos!$E$2:$E$13,MATCH($H849,Productos!$A$2:$A$13,0))*INDEX(Parametros!$B$26:$B$43,MATCH($C849,Parametros!$A$26:$A$43,0))</f>
        <v>42.798</v>
      </c>
      <c r="R849" s="21" t="n">
        <f aca="false">L849*Q849</f>
        <v>3552.234</v>
      </c>
      <c r="S849" s="18" t="n">
        <f aca="false">L849*INDEX(Parametros!$B$20:$B$22,MATCH($E849,Parametros!$A$20:$A$22,0))</f>
        <v>199.2</v>
      </c>
      <c r="T849" s="18" t="n">
        <f aca="false">P849*INDEX(Parametros!$B$13:$B$16,MATCH($F849,Parametros!$A$13:$A$16,0))</f>
        <v>170.15415</v>
      </c>
      <c r="U849" s="21" t="n">
        <f aca="false">P849-R849-S849-T849</f>
        <v>1750.21685</v>
      </c>
      <c r="V849" s="19" t="n">
        <f aca="false">IFERROR(U849/P849,0)</f>
        <v>0.308581985805224</v>
      </c>
      <c r="W849" s="48" t="n">
        <f aca="false">B849+INDEX(Parametros!$C$13:$C$16,MATCH($F849,Parametros!$A$13:$A$16,0))</f>
        <v>46013</v>
      </c>
      <c r="X849" s="31" t="s">
        <v>67</v>
      </c>
      <c r="Y849" s="53" t="n">
        <f aca="false">IF(COUNTIF($A$2:$A849,A849)=1,1,0)</f>
        <v>1</v>
      </c>
    </row>
    <row r="850" customFormat="false" ht="15" hidden="false" customHeight="false" outlineLevel="0" collapsed="false">
      <c r="A850" s="31" t="s">
        <v>701</v>
      </c>
      <c r="B850" s="36" t="n">
        <v>45953</v>
      </c>
      <c r="C850" s="49" t="n">
        <f aca="false">DATE(YEAR(B850),MONTH(B850),1)</f>
        <v>45931</v>
      </c>
      <c r="D850" s="31" t="s">
        <v>216</v>
      </c>
      <c r="E850" s="31" t="s">
        <v>42</v>
      </c>
      <c r="F850" s="31" t="s">
        <v>45</v>
      </c>
      <c r="G850" s="31" t="s">
        <v>61</v>
      </c>
      <c r="H850" s="31" t="s">
        <v>181</v>
      </c>
      <c r="I850" s="32" t="str">
        <f aca="false">INDEX(Productos!$B$2:$B$13,MATCH($H850,Productos!$A$2:$A$13,0))</f>
        <v>Autotaladrante 5,5x55 punta broca</v>
      </c>
      <c r="J850" s="32" t="str">
        <f aca="false">INDEX(Productos!$C$2:$C$13,MATCH($H850,Productos!$A$2:$A$13,0))</f>
        <v>Autotaladrante</v>
      </c>
      <c r="K850" s="31" t="s">
        <v>246</v>
      </c>
      <c r="L850" s="46" t="n">
        <v>267</v>
      </c>
      <c r="M850" s="50" t="n">
        <f aca="false">INDEX(Productos!$F$2:$F$13,MATCH($H850,Productos!$A$2:$A$13,0))</f>
        <v>39</v>
      </c>
      <c r="N850" s="51" t="n">
        <v>0.173</v>
      </c>
      <c r="O850" s="52" t="n">
        <f aca="false">M850*(1-N850)</f>
        <v>32.253</v>
      </c>
      <c r="P850" s="21" t="n">
        <f aca="false">L850*O850</f>
        <v>8611.551</v>
      </c>
      <c r="Q850" s="50" t="n">
        <f aca="false">INDEX(Productos!$E$2:$E$13,MATCH($H850,Productos!$A$2:$A$13,0))*INDEX(Parametros!$B$26:$B$43,MATCH($C850,Parametros!$A$26:$A$43,0))</f>
        <v>20.6857</v>
      </c>
      <c r="R850" s="21" t="n">
        <f aca="false">L850*Q850</f>
        <v>5523.0819</v>
      </c>
      <c r="S850" s="18" t="n">
        <f aca="false">L850*INDEX(Parametros!$B$20:$B$22,MATCH($E850,Parametros!$A$20:$A$22,0))</f>
        <v>640.8</v>
      </c>
      <c r="T850" s="18" t="n">
        <f aca="false">P850*INDEX(Parametros!$B$13:$B$16,MATCH($F850,Parametros!$A$13:$A$16,0))</f>
        <v>258.34653</v>
      </c>
      <c r="U850" s="21" t="n">
        <f aca="false">P850-R850-S850-T850</f>
        <v>2189.32257</v>
      </c>
      <c r="V850" s="19" t="n">
        <f aca="false">IFERROR(U850/P850,0)</f>
        <v>0.254230924255108</v>
      </c>
      <c r="W850" s="48" t="n">
        <f aca="false">B850+INDEX(Parametros!$C$13:$C$16,MATCH($F850,Parametros!$A$13:$A$16,0))</f>
        <v>46013</v>
      </c>
      <c r="X850" s="31" t="s">
        <v>67</v>
      </c>
      <c r="Y850" s="53" t="n">
        <f aca="false">IF(COUNTIF($A$2:$A850,A850)=1,1,0)</f>
        <v>0</v>
      </c>
    </row>
    <row r="851" customFormat="false" ht="15" hidden="false" customHeight="false" outlineLevel="0" collapsed="false">
      <c r="A851" s="31" t="s">
        <v>701</v>
      </c>
      <c r="B851" s="36" t="n">
        <v>45953</v>
      </c>
      <c r="C851" s="49" t="n">
        <f aca="false">DATE(YEAR(B851),MONTH(B851),1)</f>
        <v>45931</v>
      </c>
      <c r="D851" s="31" t="s">
        <v>216</v>
      </c>
      <c r="E851" s="31" t="s">
        <v>42</v>
      </c>
      <c r="F851" s="31" t="s">
        <v>45</v>
      </c>
      <c r="G851" s="31" t="s">
        <v>61</v>
      </c>
      <c r="H851" s="31" t="s">
        <v>177</v>
      </c>
      <c r="I851" s="32" t="str">
        <f aca="false">INDEX(Productos!$B$2:$B$13,MATCH($H851,Productos!$A$2:$A$13,0))</f>
        <v>Tirafondo madera 6x100 cabeza plana Torx</v>
      </c>
      <c r="J851" s="32" t="str">
        <f aca="false">INDEX(Productos!$C$2:$C$13,MATCH($H851,Productos!$A$2:$A$13,0))</f>
        <v>Madera</v>
      </c>
      <c r="K851" s="31" t="s">
        <v>246</v>
      </c>
      <c r="L851" s="46" t="n">
        <v>76</v>
      </c>
      <c r="M851" s="50" t="n">
        <f aca="false">INDEX(Productos!$F$2:$F$13,MATCH($H851,Productos!$A$2:$A$13,0))</f>
        <v>34</v>
      </c>
      <c r="N851" s="51" t="n">
        <v>0.215</v>
      </c>
      <c r="O851" s="52" t="n">
        <f aca="false">M851*(1-N851)</f>
        <v>26.69</v>
      </c>
      <c r="P851" s="21" t="n">
        <f aca="false">L851*O851</f>
        <v>2028.44</v>
      </c>
      <c r="Q851" s="50" t="n">
        <f aca="false">INDEX(Productos!$E$2:$E$13,MATCH($H851,Productos!$A$2:$A$13,0))*INDEX(Parametros!$B$26:$B$43,MATCH($C851,Parametros!$A$26:$A$43,0))</f>
        <v>18.1382</v>
      </c>
      <c r="R851" s="21" t="n">
        <f aca="false">L851*Q851</f>
        <v>1378.5032</v>
      </c>
      <c r="S851" s="18" t="n">
        <f aca="false">L851*INDEX(Parametros!$B$20:$B$22,MATCH($E851,Parametros!$A$20:$A$22,0))</f>
        <v>182.4</v>
      </c>
      <c r="T851" s="18" t="n">
        <f aca="false">P851*INDEX(Parametros!$B$13:$B$16,MATCH($F851,Parametros!$A$13:$A$16,0))</f>
        <v>60.8532</v>
      </c>
      <c r="U851" s="21" t="n">
        <f aca="false">P851-R851-S851-T851</f>
        <v>406.6836</v>
      </c>
      <c r="V851" s="19" t="n">
        <f aca="false">IFERROR(U851/P851,0)</f>
        <v>0.200490820532035</v>
      </c>
      <c r="W851" s="48" t="n">
        <f aca="false">B851+INDEX(Parametros!$C$13:$C$16,MATCH($F851,Parametros!$A$13:$A$16,0))</f>
        <v>46013</v>
      </c>
      <c r="X851" s="31" t="s">
        <v>67</v>
      </c>
      <c r="Y851" s="53" t="n">
        <f aca="false">IF(COUNTIF($A$2:$A851,A851)=1,1,0)</f>
        <v>0</v>
      </c>
    </row>
    <row r="852" customFormat="false" ht="15" hidden="false" customHeight="false" outlineLevel="0" collapsed="false">
      <c r="A852" s="31" t="s">
        <v>701</v>
      </c>
      <c r="B852" s="36" t="n">
        <v>45953</v>
      </c>
      <c r="C852" s="49" t="n">
        <f aca="false">DATE(YEAR(B852),MONTH(B852),1)</f>
        <v>45931</v>
      </c>
      <c r="D852" s="31" t="s">
        <v>216</v>
      </c>
      <c r="E852" s="31" t="s">
        <v>42</v>
      </c>
      <c r="F852" s="31" t="s">
        <v>45</v>
      </c>
      <c r="G852" s="31" t="s">
        <v>61</v>
      </c>
      <c r="H852" s="31" t="s">
        <v>179</v>
      </c>
      <c r="I852" s="32" t="str">
        <f aca="false">INDEX(Productos!$B$2:$B$13,MATCH($H852,Productos!$A$2:$A$13,0))</f>
        <v>Autotaladrante DIN 7504 4,8x38 zincado</v>
      </c>
      <c r="J852" s="32" t="str">
        <f aca="false">INDEX(Productos!$C$2:$C$13,MATCH($H852,Productos!$A$2:$A$13,0))</f>
        <v>Autotaladrante</v>
      </c>
      <c r="K852" s="31" t="s">
        <v>246</v>
      </c>
      <c r="L852" s="46" t="n">
        <v>63</v>
      </c>
      <c r="M852" s="50" t="n">
        <f aca="false">INDEX(Productos!$F$2:$F$13,MATCH($H852,Productos!$A$2:$A$13,0))</f>
        <v>29.5</v>
      </c>
      <c r="N852" s="51" t="n">
        <v>0.15</v>
      </c>
      <c r="O852" s="52" t="n">
        <f aca="false">M852*(1-N852)</f>
        <v>25.075</v>
      </c>
      <c r="P852" s="21" t="n">
        <f aca="false">L852*O852</f>
        <v>1579.725</v>
      </c>
      <c r="Q852" s="50" t="n">
        <f aca="false">INDEX(Productos!$E$2:$E$13,MATCH($H852,Productos!$A$2:$A$13,0))*INDEX(Parametros!$B$26:$B$43,MATCH($C852,Parametros!$A$26:$A$43,0))</f>
        <v>15.4888</v>
      </c>
      <c r="R852" s="21" t="n">
        <f aca="false">L852*Q852</f>
        <v>975.7944</v>
      </c>
      <c r="S852" s="18" t="n">
        <f aca="false">L852*INDEX(Parametros!$B$20:$B$22,MATCH($E852,Parametros!$A$20:$A$22,0))</f>
        <v>151.2</v>
      </c>
      <c r="T852" s="18" t="n">
        <f aca="false">P852*INDEX(Parametros!$B$13:$B$16,MATCH($F852,Parametros!$A$13:$A$16,0))</f>
        <v>47.39175</v>
      </c>
      <c r="U852" s="21" t="n">
        <f aca="false">P852-R852-S852-T852</f>
        <v>405.33885</v>
      </c>
      <c r="V852" s="19" t="n">
        <f aca="false">IFERROR(U852/P852,0)</f>
        <v>0.256588235294118</v>
      </c>
      <c r="W852" s="48" t="n">
        <f aca="false">B852+INDEX(Parametros!$C$13:$C$16,MATCH($F852,Parametros!$A$13:$A$16,0))</f>
        <v>46013</v>
      </c>
      <c r="X852" s="31" t="s">
        <v>67</v>
      </c>
      <c r="Y852" s="53" t="n">
        <f aca="false">IF(COUNTIF($A$2:$A852,A852)=1,1,0)</f>
        <v>0</v>
      </c>
    </row>
    <row r="853" customFormat="false" ht="15" hidden="false" customHeight="false" outlineLevel="0" collapsed="false">
      <c r="A853" s="31" t="s">
        <v>702</v>
      </c>
      <c r="B853" s="36" t="n">
        <v>45953</v>
      </c>
      <c r="C853" s="49" t="n">
        <f aca="false">DATE(YEAR(B853),MONTH(B853),1)</f>
        <v>45931</v>
      </c>
      <c r="D853" s="31" t="s">
        <v>224</v>
      </c>
      <c r="E853" s="31" t="s">
        <v>43</v>
      </c>
      <c r="F853" s="31" t="s">
        <v>45</v>
      </c>
      <c r="G853" s="31" t="s">
        <v>59</v>
      </c>
      <c r="H853" s="31" t="s">
        <v>165</v>
      </c>
      <c r="I853" s="32" t="str">
        <f aca="false">INDEX(Productos!$B$2:$B$13,MATCH($H853,Productos!$A$2:$A$13,0))</f>
        <v>Tornillo DIN 933 M8x40 rosca completa zincado</v>
      </c>
      <c r="J853" s="32" t="str">
        <f aca="false">INDEX(Productos!$C$2:$C$13,MATCH($H853,Productos!$A$2:$A$13,0))</f>
        <v>Métrica</v>
      </c>
      <c r="K853" s="31" t="s">
        <v>246</v>
      </c>
      <c r="L853" s="46" t="n">
        <v>91</v>
      </c>
      <c r="M853" s="50" t="n">
        <f aca="false">INDEX(Productos!$F$2:$F$13,MATCH($H853,Productos!$A$2:$A$13,0))</f>
        <v>37.5</v>
      </c>
      <c r="N853" s="51" t="n">
        <v>0.196</v>
      </c>
      <c r="O853" s="52" t="n">
        <f aca="false">M853*(1-N853)</f>
        <v>30.15</v>
      </c>
      <c r="P853" s="21" t="n">
        <f aca="false">L853*O853</f>
        <v>2743.65</v>
      </c>
      <c r="Q853" s="50" t="n">
        <f aca="false">INDEX(Productos!$E$2:$E$13,MATCH($H853,Productos!$A$2:$A$13,0))*INDEX(Parametros!$B$26:$B$43,MATCH($C853,Parametros!$A$26:$A$43,0))</f>
        <v>19.7686</v>
      </c>
      <c r="R853" s="21" t="n">
        <f aca="false">L853*Q853</f>
        <v>1798.9426</v>
      </c>
      <c r="S853" s="18" t="n">
        <f aca="false">L853*INDEX(Parametros!$B$20:$B$22,MATCH($E853,Parametros!$A$20:$A$22,0))</f>
        <v>172.9</v>
      </c>
      <c r="T853" s="18" t="n">
        <f aca="false">P853*INDEX(Parametros!$B$13:$B$16,MATCH($F853,Parametros!$A$13:$A$16,0))</f>
        <v>82.3095</v>
      </c>
      <c r="U853" s="21" t="n">
        <f aca="false">P853-R853-S853-T853</f>
        <v>689.497900000001</v>
      </c>
      <c r="V853" s="19" t="n">
        <f aca="false">IFERROR(U853/P853,0)</f>
        <v>0.25130679933665</v>
      </c>
      <c r="W853" s="48" t="n">
        <f aca="false">B853+INDEX(Parametros!$C$13:$C$16,MATCH($F853,Parametros!$A$13:$A$16,0))</f>
        <v>46013</v>
      </c>
      <c r="X853" s="31" t="s">
        <v>67</v>
      </c>
      <c r="Y853" s="53" t="n">
        <f aca="false">IF(COUNTIF($A$2:$A853,A853)=1,1,0)</f>
        <v>1</v>
      </c>
    </row>
    <row r="854" customFormat="false" ht="15" hidden="false" customHeight="false" outlineLevel="0" collapsed="false">
      <c r="A854" s="31" t="s">
        <v>702</v>
      </c>
      <c r="B854" s="36" t="n">
        <v>45953</v>
      </c>
      <c r="C854" s="49" t="n">
        <f aca="false">DATE(YEAR(B854),MONTH(B854),1)</f>
        <v>45931</v>
      </c>
      <c r="D854" s="31" t="s">
        <v>224</v>
      </c>
      <c r="E854" s="31" t="s">
        <v>43</v>
      </c>
      <c r="F854" s="31" t="s">
        <v>45</v>
      </c>
      <c r="G854" s="31" t="s">
        <v>59</v>
      </c>
      <c r="H854" s="31" t="s">
        <v>173</v>
      </c>
      <c r="I854" s="32" t="str">
        <f aca="false">INDEX(Productos!$B$2:$B$13,MATCH($H854,Productos!$A$2:$A$13,0))</f>
        <v>Tornillo DIN 933 M12x70 clase 8.8</v>
      </c>
      <c r="J854" s="32" t="str">
        <f aca="false">INDEX(Productos!$C$2:$C$13,MATCH($H854,Productos!$A$2:$A$13,0))</f>
        <v>Métrica</v>
      </c>
      <c r="K854" s="31" t="s">
        <v>246</v>
      </c>
      <c r="L854" s="46" t="n">
        <v>83</v>
      </c>
      <c r="M854" s="50" t="n">
        <f aca="false">INDEX(Productos!$F$2:$F$13,MATCH($H854,Productos!$A$2:$A$13,0))</f>
        <v>64</v>
      </c>
      <c r="N854" s="51" t="n">
        <v>0.151</v>
      </c>
      <c r="O854" s="52" t="n">
        <f aca="false">M854*(1-N854)</f>
        <v>54.336</v>
      </c>
      <c r="P854" s="21" t="n">
        <f aca="false">L854*O854</f>
        <v>4509.888</v>
      </c>
      <c r="Q854" s="50" t="n">
        <f aca="false">INDEX(Productos!$E$2:$E$13,MATCH($H854,Productos!$A$2:$A$13,0))*INDEX(Parametros!$B$26:$B$43,MATCH($C854,Parametros!$A$26:$A$43,0))</f>
        <v>34.1365</v>
      </c>
      <c r="R854" s="21" t="n">
        <f aca="false">L854*Q854</f>
        <v>2833.3295</v>
      </c>
      <c r="S854" s="18" t="n">
        <f aca="false">L854*INDEX(Parametros!$B$20:$B$22,MATCH($E854,Parametros!$A$20:$A$22,0))</f>
        <v>157.7</v>
      </c>
      <c r="T854" s="18" t="n">
        <f aca="false">P854*INDEX(Parametros!$B$13:$B$16,MATCH($F854,Parametros!$A$13:$A$16,0))</f>
        <v>135.29664</v>
      </c>
      <c r="U854" s="21" t="n">
        <f aca="false">P854-R854-S854-T854</f>
        <v>1383.56186</v>
      </c>
      <c r="V854" s="19" t="n">
        <f aca="false">IFERROR(U854/P854,0)</f>
        <v>0.306784084216726</v>
      </c>
      <c r="W854" s="48" t="n">
        <f aca="false">B854+INDEX(Parametros!$C$13:$C$16,MATCH($F854,Parametros!$A$13:$A$16,0))</f>
        <v>46013</v>
      </c>
      <c r="X854" s="31" t="s">
        <v>67</v>
      </c>
      <c r="Y854" s="53" t="n">
        <f aca="false">IF(COUNTIF($A$2:$A854,A854)=1,1,0)</f>
        <v>0</v>
      </c>
    </row>
    <row r="855" customFormat="false" ht="15" hidden="false" customHeight="false" outlineLevel="0" collapsed="false">
      <c r="A855" s="31" t="s">
        <v>703</v>
      </c>
      <c r="B855" s="36" t="n">
        <v>45953</v>
      </c>
      <c r="C855" s="49" t="n">
        <f aca="false">DATE(YEAR(B855),MONTH(B855),1)</f>
        <v>45931</v>
      </c>
      <c r="D855" s="31" t="s">
        <v>201</v>
      </c>
      <c r="E855" s="31" t="s">
        <v>41</v>
      </c>
      <c r="F855" s="31" t="s">
        <v>46</v>
      </c>
      <c r="G855" s="31" t="s">
        <v>62</v>
      </c>
      <c r="H855" s="31" t="s">
        <v>165</v>
      </c>
      <c r="I855" s="32" t="str">
        <f aca="false">INDEX(Productos!$B$2:$B$13,MATCH($H855,Productos!$A$2:$A$13,0))</f>
        <v>Tornillo DIN 933 M8x40 rosca completa zincado</v>
      </c>
      <c r="J855" s="32" t="str">
        <f aca="false">INDEX(Productos!$C$2:$C$13,MATCH($H855,Productos!$A$2:$A$13,0))</f>
        <v>Métrica</v>
      </c>
      <c r="K855" s="31" t="s">
        <v>246</v>
      </c>
      <c r="L855" s="46" t="n">
        <v>116</v>
      </c>
      <c r="M855" s="50" t="n">
        <f aca="false">INDEX(Productos!$F$2:$F$13,MATCH($H855,Productos!$A$2:$A$13,0))</f>
        <v>37.5</v>
      </c>
      <c r="N855" s="51" t="n">
        <v>0.131</v>
      </c>
      <c r="O855" s="52" t="n">
        <f aca="false">M855*(1-N855)</f>
        <v>32.5875</v>
      </c>
      <c r="P855" s="21" t="n">
        <f aca="false">L855*O855</f>
        <v>3780.15</v>
      </c>
      <c r="Q855" s="50" t="n">
        <f aca="false">INDEX(Productos!$E$2:$E$13,MATCH($H855,Productos!$A$2:$A$13,0))*INDEX(Parametros!$B$26:$B$43,MATCH($C855,Parametros!$A$26:$A$43,0))</f>
        <v>19.7686</v>
      </c>
      <c r="R855" s="21" t="n">
        <f aca="false">L855*Q855</f>
        <v>2293.1576</v>
      </c>
      <c r="S855" s="18" t="n">
        <f aca="false">L855*INDEX(Parametros!$B$20:$B$22,MATCH($E855,Parametros!$A$20:$A$22,0))</f>
        <v>98.6</v>
      </c>
      <c r="T855" s="18" t="n">
        <f aca="false">P855*INDEX(Parametros!$B$13:$B$16,MATCH($F855,Parametros!$A$13:$A$16,0))</f>
        <v>151.206</v>
      </c>
      <c r="U855" s="21" t="n">
        <f aca="false">P855-R855-S855-T855</f>
        <v>1237.1864</v>
      </c>
      <c r="V855" s="19" t="n">
        <f aca="false">IFERROR(U855/P855,0)</f>
        <v>0.327285001917913</v>
      </c>
      <c r="W855" s="48" t="n">
        <f aca="false">B855+INDEX(Parametros!$C$13:$C$16,MATCH($F855,Parametros!$A$13:$A$16,0))</f>
        <v>46028</v>
      </c>
      <c r="X855" s="31" t="s">
        <v>69</v>
      </c>
      <c r="Y855" s="53" t="n">
        <f aca="false">IF(COUNTIF($A$2:$A855,A855)=1,1,0)</f>
        <v>1</v>
      </c>
    </row>
    <row r="856" customFormat="false" ht="15" hidden="false" customHeight="false" outlineLevel="0" collapsed="false">
      <c r="A856" s="31" t="s">
        <v>704</v>
      </c>
      <c r="B856" s="36" t="n">
        <v>45953</v>
      </c>
      <c r="C856" s="49" t="n">
        <f aca="false">DATE(YEAR(B856),MONTH(B856),1)</f>
        <v>45931</v>
      </c>
      <c r="D856" s="31" t="s">
        <v>207</v>
      </c>
      <c r="E856" s="31" t="s">
        <v>41</v>
      </c>
      <c r="F856" s="31" t="s">
        <v>47</v>
      </c>
      <c r="G856" s="31" t="s">
        <v>62</v>
      </c>
      <c r="H856" s="31" t="s">
        <v>165</v>
      </c>
      <c r="I856" s="32" t="str">
        <f aca="false">INDEX(Productos!$B$2:$B$13,MATCH($H856,Productos!$A$2:$A$13,0))</f>
        <v>Tornillo DIN 933 M8x40 rosca completa zincado</v>
      </c>
      <c r="J856" s="32" t="str">
        <f aca="false">INDEX(Productos!$C$2:$C$13,MATCH($H856,Productos!$A$2:$A$13,0))</f>
        <v>Métrica</v>
      </c>
      <c r="K856" s="31" t="s">
        <v>246</v>
      </c>
      <c r="L856" s="46" t="n">
        <v>58</v>
      </c>
      <c r="M856" s="50" t="n">
        <f aca="false">INDEX(Productos!$F$2:$F$13,MATCH($H856,Productos!$A$2:$A$13,0))</f>
        <v>37.5</v>
      </c>
      <c r="N856" s="51" t="n">
        <v>0.095</v>
      </c>
      <c r="O856" s="52" t="n">
        <f aca="false">M856*(1-N856)</f>
        <v>33.9375</v>
      </c>
      <c r="P856" s="21" t="n">
        <f aca="false">L856*O856</f>
        <v>1968.375</v>
      </c>
      <c r="Q856" s="50" t="n">
        <f aca="false">INDEX(Productos!$E$2:$E$13,MATCH($H856,Productos!$A$2:$A$13,0))*INDEX(Parametros!$B$26:$B$43,MATCH($C856,Parametros!$A$26:$A$43,0))</f>
        <v>19.7686</v>
      </c>
      <c r="R856" s="21" t="n">
        <f aca="false">L856*Q856</f>
        <v>1146.5788</v>
      </c>
      <c r="S856" s="18" t="n">
        <f aca="false">L856*INDEX(Parametros!$B$20:$B$22,MATCH($E856,Parametros!$A$20:$A$22,0))</f>
        <v>49.3</v>
      </c>
      <c r="T856" s="18" t="n">
        <f aca="false">P856*INDEX(Parametros!$B$13:$B$16,MATCH($F856,Parametros!$A$13:$A$16,0))</f>
        <v>68.893125</v>
      </c>
      <c r="U856" s="21" t="n">
        <f aca="false">P856-R856-S856-T856</f>
        <v>703.603075</v>
      </c>
      <c r="V856" s="19" t="n">
        <f aca="false">IFERROR(U856/P856,0)</f>
        <v>0.357453775322284</v>
      </c>
      <c r="W856" s="48" t="n">
        <f aca="false">B856+INDEX(Parametros!$C$13:$C$16,MATCH($F856,Parametros!$A$13:$A$16,0))</f>
        <v>45998</v>
      </c>
      <c r="X856" s="31" t="s">
        <v>67</v>
      </c>
      <c r="Y856" s="53" t="n">
        <f aca="false">IF(COUNTIF($A$2:$A856,A856)=1,1,0)</f>
        <v>1</v>
      </c>
    </row>
    <row r="857" customFormat="false" ht="15" hidden="false" customHeight="false" outlineLevel="0" collapsed="false">
      <c r="A857" s="31" t="s">
        <v>704</v>
      </c>
      <c r="B857" s="36" t="n">
        <v>45953</v>
      </c>
      <c r="C857" s="49" t="n">
        <f aca="false">DATE(YEAR(B857),MONTH(B857),1)</f>
        <v>45931</v>
      </c>
      <c r="D857" s="31" t="s">
        <v>207</v>
      </c>
      <c r="E857" s="31" t="s">
        <v>41</v>
      </c>
      <c r="F857" s="31" t="s">
        <v>47</v>
      </c>
      <c r="G857" s="31" t="s">
        <v>62</v>
      </c>
      <c r="H857" s="31" t="s">
        <v>177</v>
      </c>
      <c r="I857" s="32" t="str">
        <f aca="false">INDEX(Productos!$B$2:$B$13,MATCH($H857,Productos!$A$2:$A$13,0))</f>
        <v>Tirafondo madera 6x100 cabeza plana Torx</v>
      </c>
      <c r="J857" s="32" t="str">
        <f aca="false">INDEX(Productos!$C$2:$C$13,MATCH($H857,Productos!$A$2:$A$13,0))</f>
        <v>Madera</v>
      </c>
      <c r="K857" s="31" t="s">
        <v>246</v>
      </c>
      <c r="L857" s="46" t="n">
        <v>64</v>
      </c>
      <c r="M857" s="50" t="n">
        <f aca="false">INDEX(Productos!$F$2:$F$13,MATCH($H857,Productos!$A$2:$A$13,0))</f>
        <v>34</v>
      </c>
      <c r="N857" s="51" t="n">
        <v>0.075</v>
      </c>
      <c r="O857" s="52" t="n">
        <f aca="false">M857*(1-N857)</f>
        <v>31.45</v>
      </c>
      <c r="P857" s="21" t="n">
        <f aca="false">L857*O857</f>
        <v>2012.8</v>
      </c>
      <c r="Q857" s="50" t="n">
        <f aca="false">INDEX(Productos!$E$2:$E$13,MATCH($H857,Productos!$A$2:$A$13,0))*INDEX(Parametros!$B$26:$B$43,MATCH($C857,Parametros!$A$26:$A$43,0))</f>
        <v>18.1382</v>
      </c>
      <c r="R857" s="21" t="n">
        <f aca="false">L857*Q857</f>
        <v>1160.8448</v>
      </c>
      <c r="S857" s="18" t="n">
        <f aca="false">L857*INDEX(Parametros!$B$20:$B$22,MATCH($E857,Parametros!$A$20:$A$22,0))</f>
        <v>54.4</v>
      </c>
      <c r="T857" s="18" t="n">
        <f aca="false">P857*INDEX(Parametros!$B$13:$B$16,MATCH($F857,Parametros!$A$13:$A$16,0))</f>
        <v>70.448</v>
      </c>
      <c r="U857" s="21" t="n">
        <f aca="false">P857-R857-S857-T857</f>
        <v>727.1072</v>
      </c>
      <c r="V857" s="19" t="n">
        <f aca="false">IFERROR(U857/P857,0)</f>
        <v>0.361241653418124</v>
      </c>
      <c r="W857" s="48" t="n">
        <f aca="false">B857+INDEX(Parametros!$C$13:$C$16,MATCH($F857,Parametros!$A$13:$A$16,0))</f>
        <v>45998</v>
      </c>
      <c r="X857" s="31" t="s">
        <v>67</v>
      </c>
      <c r="Y857" s="53" t="n">
        <f aca="false">IF(COUNTIF($A$2:$A857,A857)=1,1,0)</f>
        <v>0</v>
      </c>
    </row>
    <row r="858" customFormat="false" ht="15" hidden="false" customHeight="false" outlineLevel="0" collapsed="false">
      <c r="A858" s="31" t="s">
        <v>705</v>
      </c>
      <c r="B858" s="36" t="n">
        <v>45954</v>
      </c>
      <c r="C858" s="49" t="n">
        <f aca="false">DATE(YEAR(B858),MONTH(B858),1)</f>
        <v>45931</v>
      </c>
      <c r="D858" s="31" t="s">
        <v>197</v>
      </c>
      <c r="E858" s="31" t="s">
        <v>41</v>
      </c>
      <c r="F858" s="31" t="s">
        <v>46</v>
      </c>
      <c r="G858" s="31" t="s">
        <v>58</v>
      </c>
      <c r="H858" s="31" t="s">
        <v>183</v>
      </c>
      <c r="I858" s="32" t="str">
        <f aca="false">INDEX(Productos!$B$2:$B$13,MATCH($H858,Productos!$A$2:$A$13,0))</f>
        <v>Tornillo estructural M16x90 clase 10.9</v>
      </c>
      <c r="J858" s="32" t="str">
        <f aca="false">INDEX(Productos!$C$2:$C$13,MATCH($H858,Productos!$A$2:$A$13,0))</f>
        <v>Especial</v>
      </c>
      <c r="K858" s="31" t="s">
        <v>246</v>
      </c>
      <c r="L858" s="46" t="n">
        <v>105</v>
      </c>
      <c r="M858" s="50" t="n">
        <f aca="false">INDEX(Productos!$F$2:$F$13,MATCH($H858,Productos!$A$2:$A$13,0))</f>
        <v>112</v>
      </c>
      <c r="N858" s="51" t="n">
        <v>0.178</v>
      </c>
      <c r="O858" s="52" t="n">
        <f aca="false">M858*(1-N858)</f>
        <v>92.064</v>
      </c>
      <c r="P858" s="21" t="n">
        <f aca="false">L858*O858</f>
        <v>9666.72</v>
      </c>
      <c r="Q858" s="50" t="n">
        <f aca="false">INDEX(Productos!$E$2:$E$13,MATCH($H858,Productos!$A$2:$A$13,0))*INDEX(Parametros!$B$26:$B$43,MATCH($C858,Parametros!$A$26:$A$43,0))</f>
        <v>61.14</v>
      </c>
      <c r="R858" s="21" t="n">
        <f aca="false">L858*Q858</f>
        <v>6419.7</v>
      </c>
      <c r="S858" s="18" t="n">
        <f aca="false">L858*INDEX(Parametros!$B$20:$B$22,MATCH($E858,Parametros!$A$20:$A$22,0))</f>
        <v>89.25</v>
      </c>
      <c r="T858" s="18" t="n">
        <f aca="false">P858*INDEX(Parametros!$B$13:$B$16,MATCH($F858,Parametros!$A$13:$A$16,0))</f>
        <v>386.6688</v>
      </c>
      <c r="U858" s="21" t="n">
        <f aca="false">P858-R858-S858-T858</f>
        <v>2771.1012</v>
      </c>
      <c r="V858" s="19" t="n">
        <f aca="false">IFERROR(U858/P858,0)</f>
        <v>0.286664059784498</v>
      </c>
      <c r="W858" s="48" t="n">
        <f aca="false">B858+INDEX(Parametros!$C$13:$C$16,MATCH($F858,Parametros!$A$13:$A$16,0))</f>
        <v>46029</v>
      </c>
      <c r="X858" s="31" t="s">
        <v>67</v>
      </c>
      <c r="Y858" s="53" t="n">
        <f aca="false">IF(COUNTIF($A$2:$A858,A858)=1,1,0)</f>
        <v>1</v>
      </c>
    </row>
    <row r="859" customFormat="false" ht="15" hidden="false" customHeight="false" outlineLevel="0" collapsed="false">
      <c r="A859" s="31" t="s">
        <v>705</v>
      </c>
      <c r="B859" s="36" t="n">
        <v>45954</v>
      </c>
      <c r="C859" s="49" t="n">
        <f aca="false">DATE(YEAR(B859),MONTH(B859),1)</f>
        <v>45931</v>
      </c>
      <c r="D859" s="31" t="s">
        <v>197</v>
      </c>
      <c r="E859" s="31" t="s">
        <v>41</v>
      </c>
      <c r="F859" s="31" t="s">
        <v>46</v>
      </c>
      <c r="G859" s="31" t="s">
        <v>58</v>
      </c>
      <c r="H859" s="31" t="s">
        <v>163</v>
      </c>
      <c r="I859" s="32" t="str">
        <f aca="false">INDEX(Productos!$B$2:$B$13,MATCH($H859,Productos!$A$2:$A$13,0))</f>
        <v>Tornillo DIN 933 M6x30 rosca completa zincado</v>
      </c>
      <c r="J859" s="32" t="str">
        <f aca="false">INDEX(Productos!$C$2:$C$13,MATCH($H859,Productos!$A$2:$A$13,0))</f>
        <v>Métrica</v>
      </c>
      <c r="K859" s="31" t="s">
        <v>246</v>
      </c>
      <c r="L859" s="46" t="n">
        <v>54</v>
      </c>
      <c r="M859" s="50" t="n">
        <f aca="false">INDEX(Productos!$F$2:$F$13,MATCH($H859,Productos!$A$2:$A$13,0))</f>
        <v>32</v>
      </c>
      <c r="N859" s="51" t="n">
        <v>0.085</v>
      </c>
      <c r="O859" s="52" t="n">
        <f aca="false">M859*(1-N859)</f>
        <v>29.28</v>
      </c>
      <c r="P859" s="21" t="n">
        <f aca="false">L859*O859</f>
        <v>1581.12</v>
      </c>
      <c r="Q859" s="50" t="n">
        <f aca="false">INDEX(Productos!$E$2:$E$13,MATCH($H859,Productos!$A$2:$A$13,0))*INDEX(Parametros!$B$26:$B$43,MATCH($C859,Parametros!$A$26:$A$43,0))</f>
        <v>16.9154</v>
      </c>
      <c r="R859" s="21" t="n">
        <f aca="false">L859*Q859</f>
        <v>913.4316</v>
      </c>
      <c r="S859" s="18" t="n">
        <f aca="false">L859*INDEX(Parametros!$B$20:$B$22,MATCH($E859,Parametros!$A$20:$A$22,0))</f>
        <v>45.9</v>
      </c>
      <c r="T859" s="18" t="n">
        <f aca="false">P859*INDEX(Parametros!$B$13:$B$16,MATCH($F859,Parametros!$A$13:$A$16,0))</f>
        <v>63.2448</v>
      </c>
      <c r="U859" s="21" t="n">
        <f aca="false">P859-R859-S859-T859</f>
        <v>558.5436</v>
      </c>
      <c r="V859" s="19" t="n">
        <f aca="false">IFERROR(U859/P859,0)</f>
        <v>0.353258196721312</v>
      </c>
      <c r="W859" s="48" t="n">
        <f aca="false">B859+INDEX(Parametros!$C$13:$C$16,MATCH($F859,Parametros!$A$13:$A$16,0))</f>
        <v>46029</v>
      </c>
      <c r="X859" s="31" t="s">
        <v>67</v>
      </c>
      <c r="Y859" s="53" t="n">
        <f aca="false">IF(COUNTIF($A$2:$A859,A859)=1,1,0)</f>
        <v>0</v>
      </c>
    </row>
    <row r="860" customFormat="false" ht="15" hidden="false" customHeight="false" outlineLevel="0" collapsed="false">
      <c r="A860" s="31" t="s">
        <v>705</v>
      </c>
      <c r="B860" s="36" t="n">
        <v>45954</v>
      </c>
      <c r="C860" s="49" t="n">
        <f aca="false">DATE(YEAR(B860),MONTH(B860),1)</f>
        <v>45931</v>
      </c>
      <c r="D860" s="31" t="s">
        <v>197</v>
      </c>
      <c r="E860" s="31" t="s">
        <v>41</v>
      </c>
      <c r="F860" s="31" t="s">
        <v>46</v>
      </c>
      <c r="G860" s="31" t="s">
        <v>58</v>
      </c>
      <c r="H860" s="31" t="s">
        <v>175</v>
      </c>
      <c r="I860" s="32" t="str">
        <f aca="false">INDEX(Productos!$B$2:$B$13,MATCH($H860,Productos!$A$2:$A$13,0))</f>
        <v>Tirafondo madera 5x60 cabeza plana Torx</v>
      </c>
      <c r="J860" s="32" t="str">
        <f aca="false">INDEX(Productos!$C$2:$C$13,MATCH($H860,Productos!$A$2:$A$13,0))</f>
        <v>Madera</v>
      </c>
      <c r="K860" s="31" t="s">
        <v>246</v>
      </c>
      <c r="L860" s="46" t="n">
        <v>48</v>
      </c>
      <c r="M860" s="50" t="n">
        <f aca="false">INDEX(Productos!$F$2:$F$13,MATCH($H860,Productos!$A$2:$A$13,0))</f>
        <v>26</v>
      </c>
      <c r="N860" s="51" t="n">
        <v>0.165</v>
      </c>
      <c r="O860" s="52" t="n">
        <f aca="false">M860*(1-N860)</f>
        <v>21.71</v>
      </c>
      <c r="P860" s="21" t="n">
        <f aca="false">L860*O860</f>
        <v>1042.08</v>
      </c>
      <c r="Q860" s="50" t="n">
        <f aca="false">INDEX(Productos!$E$2:$E$13,MATCH($H860,Productos!$A$2:$A$13,0))*INDEX(Parametros!$B$26:$B$43,MATCH($C860,Parametros!$A$26:$A$43,0))</f>
        <v>13.6546</v>
      </c>
      <c r="R860" s="21" t="n">
        <f aca="false">L860*Q860</f>
        <v>655.4208</v>
      </c>
      <c r="S860" s="18" t="n">
        <f aca="false">L860*INDEX(Parametros!$B$20:$B$22,MATCH($E860,Parametros!$A$20:$A$22,0))</f>
        <v>40.8</v>
      </c>
      <c r="T860" s="18" t="n">
        <f aca="false">P860*INDEX(Parametros!$B$13:$B$16,MATCH($F860,Parametros!$A$13:$A$16,0))</f>
        <v>41.6832</v>
      </c>
      <c r="U860" s="21" t="n">
        <f aca="false">P860-R860-S860-T860</f>
        <v>304.176</v>
      </c>
      <c r="V860" s="19" t="n">
        <f aca="false">IFERROR(U860/P860,0)</f>
        <v>0.291893136803317</v>
      </c>
      <c r="W860" s="48" t="n">
        <f aca="false">B860+INDEX(Parametros!$C$13:$C$16,MATCH($F860,Parametros!$A$13:$A$16,0))</f>
        <v>46029</v>
      </c>
      <c r="X860" s="31" t="s">
        <v>69</v>
      </c>
      <c r="Y860" s="53" t="n">
        <f aca="false">IF(COUNTIF($A$2:$A860,A860)=1,1,0)</f>
        <v>0</v>
      </c>
    </row>
    <row r="861" customFormat="false" ht="15" hidden="false" customHeight="false" outlineLevel="0" collapsed="false">
      <c r="A861" s="31" t="s">
        <v>705</v>
      </c>
      <c r="B861" s="36" t="n">
        <v>45954</v>
      </c>
      <c r="C861" s="49" t="n">
        <f aca="false">DATE(YEAR(B861),MONTH(B861),1)</f>
        <v>45931</v>
      </c>
      <c r="D861" s="31" t="s">
        <v>197</v>
      </c>
      <c r="E861" s="31" t="s">
        <v>41</v>
      </c>
      <c r="F861" s="31" t="s">
        <v>46</v>
      </c>
      <c r="G861" s="31" t="s">
        <v>58</v>
      </c>
      <c r="H861" s="31" t="s">
        <v>177</v>
      </c>
      <c r="I861" s="32" t="str">
        <f aca="false">INDEX(Productos!$B$2:$B$13,MATCH($H861,Productos!$A$2:$A$13,0))</f>
        <v>Tirafondo madera 6x100 cabeza plana Torx</v>
      </c>
      <c r="J861" s="32" t="str">
        <f aca="false">INDEX(Productos!$C$2:$C$13,MATCH($H861,Productos!$A$2:$A$13,0))</f>
        <v>Madera</v>
      </c>
      <c r="K861" s="31" t="s">
        <v>246</v>
      </c>
      <c r="L861" s="46" t="n">
        <v>76</v>
      </c>
      <c r="M861" s="50" t="n">
        <f aca="false">INDEX(Productos!$F$2:$F$13,MATCH($H861,Productos!$A$2:$A$13,0))</f>
        <v>34</v>
      </c>
      <c r="N861" s="51" t="n">
        <v>0.161</v>
      </c>
      <c r="O861" s="52" t="n">
        <f aca="false">M861*(1-N861)</f>
        <v>28.526</v>
      </c>
      <c r="P861" s="21" t="n">
        <f aca="false">L861*O861</f>
        <v>2167.976</v>
      </c>
      <c r="Q861" s="50" t="n">
        <f aca="false">INDEX(Productos!$E$2:$E$13,MATCH($H861,Productos!$A$2:$A$13,0))*INDEX(Parametros!$B$26:$B$43,MATCH($C861,Parametros!$A$26:$A$43,0))</f>
        <v>18.1382</v>
      </c>
      <c r="R861" s="21" t="n">
        <f aca="false">L861*Q861</f>
        <v>1378.5032</v>
      </c>
      <c r="S861" s="18" t="n">
        <f aca="false">L861*INDEX(Parametros!$B$20:$B$22,MATCH($E861,Parametros!$A$20:$A$22,0))</f>
        <v>64.6</v>
      </c>
      <c r="T861" s="18" t="n">
        <f aca="false">P861*INDEX(Parametros!$B$13:$B$16,MATCH($F861,Parametros!$A$13:$A$16,0))</f>
        <v>86.71904</v>
      </c>
      <c r="U861" s="21" t="n">
        <f aca="false">P861-R861-S861-T861</f>
        <v>638.15376</v>
      </c>
      <c r="V861" s="19" t="n">
        <f aca="false">IFERROR(U861/P861,0)</f>
        <v>0.294354623851925</v>
      </c>
      <c r="W861" s="48" t="n">
        <f aca="false">B861+INDEX(Parametros!$C$13:$C$16,MATCH($F861,Parametros!$A$13:$A$16,0))</f>
        <v>46029</v>
      </c>
      <c r="X861" s="31" t="s">
        <v>67</v>
      </c>
      <c r="Y861" s="53" t="n">
        <f aca="false">IF(COUNTIF($A$2:$A861,A861)=1,1,0)</f>
        <v>0</v>
      </c>
    </row>
    <row r="862" customFormat="false" ht="15" hidden="false" customHeight="false" outlineLevel="0" collapsed="false">
      <c r="A862" s="31" t="s">
        <v>706</v>
      </c>
      <c r="B862" s="36" t="n">
        <v>45954</v>
      </c>
      <c r="C862" s="49" t="n">
        <f aca="false">DATE(YEAR(B862),MONTH(B862),1)</f>
        <v>45931</v>
      </c>
      <c r="D862" s="31" t="s">
        <v>224</v>
      </c>
      <c r="E862" s="31" t="s">
        <v>43</v>
      </c>
      <c r="F862" s="31" t="s">
        <v>45</v>
      </c>
      <c r="G862" s="31" t="s">
        <v>59</v>
      </c>
      <c r="H862" s="31" t="s">
        <v>181</v>
      </c>
      <c r="I862" s="32" t="str">
        <f aca="false">INDEX(Productos!$B$2:$B$13,MATCH($H862,Productos!$A$2:$A$13,0))</f>
        <v>Autotaladrante 5,5x55 punta broca</v>
      </c>
      <c r="J862" s="32" t="str">
        <f aca="false">INDEX(Productos!$C$2:$C$13,MATCH($H862,Productos!$A$2:$A$13,0))</f>
        <v>Autotaladrante</v>
      </c>
      <c r="K862" s="31" t="s">
        <v>246</v>
      </c>
      <c r="L862" s="46" t="n">
        <v>116</v>
      </c>
      <c r="M862" s="50" t="n">
        <f aca="false">INDEX(Productos!$F$2:$F$13,MATCH($H862,Productos!$A$2:$A$13,0))</f>
        <v>39</v>
      </c>
      <c r="N862" s="51" t="n">
        <v>0.188</v>
      </c>
      <c r="O862" s="52" t="n">
        <f aca="false">M862*(1-N862)</f>
        <v>31.668</v>
      </c>
      <c r="P862" s="21" t="n">
        <f aca="false">L862*O862</f>
        <v>3673.488</v>
      </c>
      <c r="Q862" s="50" t="n">
        <f aca="false">INDEX(Productos!$E$2:$E$13,MATCH($H862,Productos!$A$2:$A$13,0))*INDEX(Parametros!$B$26:$B$43,MATCH($C862,Parametros!$A$26:$A$43,0))</f>
        <v>20.6857</v>
      </c>
      <c r="R862" s="21" t="n">
        <f aca="false">L862*Q862</f>
        <v>2399.5412</v>
      </c>
      <c r="S862" s="18" t="n">
        <f aca="false">L862*INDEX(Parametros!$B$20:$B$22,MATCH($E862,Parametros!$A$20:$A$22,0))</f>
        <v>220.4</v>
      </c>
      <c r="T862" s="18" t="n">
        <f aca="false">P862*INDEX(Parametros!$B$13:$B$16,MATCH($F862,Parametros!$A$13:$A$16,0))</f>
        <v>110.20464</v>
      </c>
      <c r="U862" s="21" t="n">
        <f aca="false">P862-R862-S862-T862</f>
        <v>943.342160000001</v>
      </c>
      <c r="V862" s="19" t="n">
        <f aca="false">IFERROR(U862/P862,0)</f>
        <v>0.256797398004295</v>
      </c>
      <c r="W862" s="48" t="n">
        <f aca="false">B862+INDEX(Parametros!$C$13:$C$16,MATCH($F862,Parametros!$A$13:$A$16,0))</f>
        <v>46014</v>
      </c>
      <c r="X862" s="31" t="s">
        <v>67</v>
      </c>
      <c r="Y862" s="53" t="n">
        <f aca="false">IF(COUNTIF($A$2:$A862,A862)=1,1,0)</f>
        <v>1</v>
      </c>
    </row>
    <row r="863" customFormat="false" ht="15" hidden="false" customHeight="false" outlineLevel="0" collapsed="false">
      <c r="A863" s="31" t="s">
        <v>707</v>
      </c>
      <c r="B863" s="36" t="n">
        <v>45954</v>
      </c>
      <c r="C863" s="49" t="n">
        <f aca="false">DATE(YEAR(B863),MONTH(B863),1)</f>
        <v>45931</v>
      </c>
      <c r="D863" s="31" t="s">
        <v>193</v>
      </c>
      <c r="E863" s="31" t="s">
        <v>41</v>
      </c>
      <c r="F863" s="31" t="s">
        <v>45</v>
      </c>
      <c r="G863" s="31" t="s">
        <v>62</v>
      </c>
      <c r="H863" s="31" t="s">
        <v>163</v>
      </c>
      <c r="I863" s="32" t="str">
        <f aca="false">INDEX(Productos!$B$2:$B$13,MATCH($H863,Productos!$A$2:$A$13,0))</f>
        <v>Tornillo DIN 933 M6x30 rosca completa zincado</v>
      </c>
      <c r="J863" s="32" t="str">
        <f aca="false">INDEX(Productos!$C$2:$C$13,MATCH($H863,Productos!$A$2:$A$13,0))</f>
        <v>Métrica</v>
      </c>
      <c r="K863" s="31" t="s">
        <v>246</v>
      </c>
      <c r="L863" s="46" t="n">
        <v>312</v>
      </c>
      <c r="M863" s="50" t="n">
        <f aca="false">INDEX(Productos!$F$2:$F$13,MATCH($H863,Productos!$A$2:$A$13,0))</f>
        <v>32</v>
      </c>
      <c r="N863" s="51" t="n">
        <v>0.139</v>
      </c>
      <c r="O863" s="52" t="n">
        <f aca="false">M863*(1-N863)</f>
        <v>27.552</v>
      </c>
      <c r="P863" s="21" t="n">
        <f aca="false">L863*O863</f>
        <v>8596.224</v>
      </c>
      <c r="Q863" s="50" t="n">
        <f aca="false">INDEX(Productos!$E$2:$E$13,MATCH($H863,Productos!$A$2:$A$13,0))*INDEX(Parametros!$B$26:$B$43,MATCH($C863,Parametros!$A$26:$A$43,0))</f>
        <v>16.9154</v>
      </c>
      <c r="R863" s="21" t="n">
        <f aca="false">L863*Q863</f>
        <v>5277.6048</v>
      </c>
      <c r="S863" s="18" t="n">
        <f aca="false">L863*INDEX(Parametros!$B$20:$B$22,MATCH($E863,Parametros!$A$20:$A$22,0))</f>
        <v>265.2</v>
      </c>
      <c r="T863" s="18" t="n">
        <f aca="false">P863*INDEX(Parametros!$B$13:$B$16,MATCH($F863,Parametros!$A$13:$A$16,0))</f>
        <v>257.88672</v>
      </c>
      <c r="U863" s="21" t="n">
        <f aca="false">P863-R863-S863-T863</f>
        <v>2795.53248</v>
      </c>
      <c r="V863" s="19" t="n">
        <f aca="false">IFERROR(U863/P863,0)</f>
        <v>0.325204703832753</v>
      </c>
      <c r="W863" s="48" t="n">
        <f aca="false">B863+INDEX(Parametros!$C$13:$C$16,MATCH($F863,Parametros!$A$13:$A$16,0))</f>
        <v>46014</v>
      </c>
      <c r="X863" s="31" t="s">
        <v>67</v>
      </c>
      <c r="Y863" s="53" t="n">
        <f aca="false">IF(COUNTIF($A$2:$A863,A863)=1,1,0)</f>
        <v>1</v>
      </c>
    </row>
    <row r="864" customFormat="false" ht="15" hidden="false" customHeight="false" outlineLevel="0" collapsed="false">
      <c r="A864" s="31" t="s">
        <v>708</v>
      </c>
      <c r="B864" s="36" t="n">
        <v>45954</v>
      </c>
      <c r="C864" s="49" t="n">
        <f aca="false">DATE(YEAR(B864),MONTH(B864),1)</f>
        <v>45931</v>
      </c>
      <c r="D864" s="31" t="s">
        <v>226</v>
      </c>
      <c r="E864" s="31" t="s">
        <v>43</v>
      </c>
      <c r="F864" s="31" t="s">
        <v>46</v>
      </c>
      <c r="G864" s="31" t="s">
        <v>59</v>
      </c>
      <c r="H864" s="31" t="s">
        <v>165</v>
      </c>
      <c r="I864" s="32" t="str">
        <f aca="false">INDEX(Productos!$B$2:$B$13,MATCH($H864,Productos!$A$2:$A$13,0))</f>
        <v>Tornillo DIN 933 M8x40 rosca completa zincado</v>
      </c>
      <c r="J864" s="32" t="str">
        <f aca="false">INDEX(Productos!$C$2:$C$13,MATCH($H864,Productos!$A$2:$A$13,0))</f>
        <v>Métrica</v>
      </c>
      <c r="K864" s="31" t="s">
        <v>246</v>
      </c>
      <c r="L864" s="46" t="n">
        <v>36</v>
      </c>
      <c r="M864" s="50" t="n">
        <f aca="false">INDEX(Productos!$F$2:$F$13,MATCH($H864,Productos!$A$2:$A$13,0))</f>
        <v>37.5</v>
      </c>
      <c r="N864" s="51" t="n">
        <v>0.114</v>
      </c>
      <c r="O864" s="52" t="n">
        <f aca="false">M864*(1-N864)</f>
        <v>33.225</v>
      </c>
      <c r="P864" s="21" t="n">
        <f aca="false">L864*O864</f>
        <v>1196.1</v>
      </c>
      <c r="Q864" s="50" t="n">
        <f aca="false">INDEX(Productos!$E$2:$E$13,MATCH($H864,Productos!$A$2:$A$13,0))*INDEX(Parametros!$B$26:$B$43,MATCH($C864,Parametros!$A$26:$A$43,0))</f>
        <v>19.7686</v>
      </c>
      <c r="R864" s="21" t="n">
        <f aca="false">L864*Q864</f>
        <v>711.6696</v>
      </c>
      <c r="S864" s="18" t="n">
        <f aca="false">L864*INDEX(Parametros!$B$20:$B$22,MATCH($E864,Parametros!$A$20:$A$22,0))</f>
        <v>68.4</v>
      </c>
      <c r="T864" s="18" t="n">
        <f aca="false">P864*INDEX(Parametros!$B$13:$B$16,MATCH($F864,Parametros!$A$13:$A$16,0))</f>
        <v>47.844</v>
      </c>
      <c r="U864" s="21" t="n">
        <f aca="false">P864-R864-S864-T864</f>
        <v>368.1864</v>
      </c>
      <c r="V864" s="19" t="n">
        <f aca="false">IFERROR(U864/P864,0)</f>
        <v>0.307822422874342</v>
      </c>
      <c r="W864" s="48" t="n">
        <f aca="false">B864+INDEX(Parametros!$C$13:$C$16,MATCH($F864,Parametros!$A$13:$A$16,0))</f>
        <v>46029</v>
      </c>
      <c r="X864" s="31" t="s">
        <v>67</v>
      </c>
      <c r="Y864" s="53" t="n">
        <f aca="false">IF(COUNTIF($A$2:$A864,A864)=1,1,0)</f>
        <v>1</v>
      </c>
    </row>
    <row r="865" customFormat="false" ht="15" hidden="false" customHeight="false" outlineLevel="0" collapsed="false">
      <c r="A865" s="31" t="s">
        <v>709</v>
      </c>
      <c r="B865" s="36" t="n">
        <v>45954</v>
      </c>
      <c r="C865" s="49" t="n">
        <f aca="false">DATE(YEAR(B865),MONTH(B865),1)</f>
        <v>45931</v>
      </c>
      <c r="D865" s="31" t="s">
        <v>221</v>
      </c>
      <c r="E865" s="31" t="s">
        <v>43</v>
      </c>
      <c r="F865" s="31" t="s">
        <v>45</v>
      </c>
      <c r="G865" s="31" t="s">
        <v>59</v>
      </c>
      <c r="H865" s="31" t="s">
        <v>163</v>
      </c>
      <c r="I865" s="32" t="str">
        <f aca="false">INDEX(Productos!$B$2:$B$13,MATCH($H865,Productos!$A$2:$A$13,0))</f>
        <v>Tornillo DIN 933 M6x30 rosca completa zincado</v>
      </c>
      <c r="J865" s="32" t="str">
        <f aca="false">INDEX(Productos!$C$2:$C$13,MATCH($H865,Productos!$A$2:$A$13,0))</f>
        <v>Métrica</v>
      </c>
      <c r="K865" s="31" t="s">
        <v>246</v>
      </c>
      <c r="L865" s="46" t="n">
        <v>78</v>
      </c>
      <c r="M865" s="50" t="n">
        <f aca="false">INDEX(Productos!$F$2:$F$13,MATCH($H865,Productos!$A$2:$A$13,0))</f>
        <v>32</v>
      </c>
      <c r="N865" s="51" t="n">
        <v>0.139</v>
      </c>
      <c r="O865" s="52" t="n">
        <f aca="false">M865*(1-N865)</f>
        <v>27.552</v>
      </c>
      <c r="P865" s="21" t="n">
        <f aca="false">L865*O865</f>
        <v>2149.056</v>
      </c>
      <c r="Q865" s="50" t="n">
        <f aca="false">INDEX(Productos!$E$2:$E$13,MATCH($H865,Productos!$A$2:$A$13,0))*INDEX(Parametros!$B$26:$B$43,MATCH($C865,Parametros!$A$26:$A$43,0))</f>
        <v>16.9154</v>
      </c>
      <c r="R865" s="21" t="n">
        <f aca="false">L865*Q865</f>
        <v>1319.4012</v>
      </c>
      <c r="S865" s="18" t="n">
        <f aca="false">L865*INDEX(Parametros!$B$20:$B$22,MATCH($E865,Parametros!$A$20:$A$22,0))</f>
        <v>148.2</v>
      </c>
      <c r="T865" s="18" t="n">
        <f aca="false">P865*INDEX(Parametros!$B$13:$B$16,MATCH($F865,Parametros!$A$13:$A$16,0))</f>
        <v>64.47168</v>
      </c>
      <c r="U865" s="21" t="n">
        <f aca="false">P865-R865-S865-T865</f>
        <v>616.98312</v>
      </c>
      <c r="V865" s="19" t="n">
        <f aca="false">IFERROR(U865/P865,0)</f>
        <v>0.287094947735192</v>
      </c>
      <c r="W865" s="48" t="n">
        <f aca="false">B865+INDEX(Parametros!$C$13:$C$16,MATCH($F865,Parametros!$A$13:$A$16,0))</f>
        <v>46014</v>
      </c>
      <c r="X865" s="31" t="s">
        <v>67</v>
      </c>
      <c r="Y865" s="53" t="n">
        <f aca="false">IF(COUNTIF($A$2:$A865,A865)=1,1,0)</f>
        <v>1</v>
      </c>
    </row>
    <row r="866" customFormat="false" ht="15" hidden="false" customHeight="false" outlineLevel="0" collapsed="false">
      <c r="A866" s="31" t="s">
        <v>710</v>
      </c>
      <c r="B866" s="36" t="n">
        <v>45957</v>
      </c>
      <c r="C866" s="49" t="n">
        <f aca="false">DATE(YEAR(B866),MONTH(B866),1)</f>
        <v>45931</v>
      </c>
      <c r="D866" s="31" t="s">
        <v>207</v>
      </c>
      <c r="E866" s="31" t="s">
        <v>41</v>
      </c>
      <c r="F866" s="31" t="s">
        <v>47</v>
      </c>
      <c r="G866" s="31" t="s">
        <v>62</v>
      </c>
      <c r="H866" s="31" t="s">
        <v>181</v>
      </c>
      <c r="I866" s="32" t="str">
        <f aca="false">INDEX(Productos!$B$2:$B$13,MATCH($H866,Productos!$A$2:$A$13,0))</f>
        <v>Autotaladrante 5,5x55 punta broca</v>
      </c>
      <c r="J866" s="32" t="str">
        <f aca="false">INDEX(Productos!$C$2:$C$13,MATCH($H866,Productos!$A$2:$A$13,0))</f>
        <v>Autotaladrante</v>
      </c>
      <c r="K866" s="31" t="s">
        <v>246</v>
      </c>
      <c r="L866" s="46" t="n">
        <v>49</v>
      </c>
      <c r="M866" s="50" t="n">
        <f aca="false">INDEX(Productos!$F$2:$F$13,MATCH($H866,Productos!$A$2:$A$13,0))</f>
        <v>39</v>
      </c>
      <c r="N866" s="51" t="n">
        <v>0.094</v>
      </c>
      <c r="O866" s="52" t="n">
        <f aca="false">M866*(1-N866)</f>
        <v>35.334</v>
      </c>
      <c r="P866" s="21" t="n">
        <f aca="false">L866*O866</f>
        <v>1731.366</v>
      </c>
      <c r="Q866" s="50" t="n">
        <f aca="false">INDEX(Productos!$E$2:$E$13,MATCH($H866,Productos!$A$2:$A$13,0))*INDEX(Parametros!$B$26:$B$43,MATCH($C866,Parametros!$A$26:$A$43,0))</f>
        <v>20.6857</v>
      </c>
      <c r="R866" s="21" t="n">
        <f aca="false">L866*Q866</f>
        <v>1013.5993</v>
      </c>
      <c r="S866" s="18" t="n">
        <f aca="false">L866*INDEX(Parametros!$B$20:$B$22,MATCH($E866,Parametros!$A$20:$A$22,0))</f>
        <v>41.65</v>
      </c>
      <c r="T866" s="18" t="n">
        <f aca="false">P866*INDEX(Parametros!$B$13:$B$16,MATCH($F866,Parametros!$A$13:$A$16,0))</f>
        <v>60.59781</v>
      </c>
      <c r="U866" s="21" t="n">
        <f aca="false">P866-R866-S866-T866</f>
        <v>615.51889</v>
      </c>
      <c r="V866" s="19" t="n">
        <f aca="false">IFERROR(U866/P866,0)</f>
        <v>0.355510556404596</v>
      </c>
      <c r="W866" s="48" t="n">
        <f aca="false">B866+INDEX(Parametros!$C$13:$C$16,MATCH($F866,Parametros!$A$13:$A$16,0))</f>
        <v>46002</v>
      </c>
      <c r="X866" s="31" t="s">
        <v>67</v>
      </c>
      <c r="Y866" s="53" t="n">
        <f aca="false">IF(COUNTIF($A$2:$A866,A866)=1,1,0)</f>
        <v>1</v>
      </c>
    </row>
    <row r="867" customFormat="false" ht="15" hidden="false" customHeight="false" outlineLevel="0" collapsed="false">
      <c r="A867" s="31" t="s">
        <v>710</v>
      </c>
      <c r="B867" s="36" t="n">
        <v>45957</v>
      </c>
      <c r="C867" s="49" t="n">
        <f aca="false">DATE(YEAR(B867),MONTH(B867),1)</f>
        <v>45931</v>
      </c>
      <c r="D867" s="31" t="s">
        <v>207</v>
      </c>
      <c r="E867" s="31" t="s">
        <v>41</v>
      </c>
      <c r="F867" s="31" t="s">
        <v>47</v>
      </c>
      <c r="G867" s="31" t="s">
        <v>62</v>
      </c>
      <c r="H867" s="31" t="s">
        <v>163</v>
      </c>
      <c r="I867" s="32" t="str">
        <f aca="false">INDEX(Productos!$B$2:$B$13,MATCH($H867,Productos!$A$2:$A$13,0))</f>
        <v>Tornillo DIN 933 M6x30 rosca completa zincado</v>
      </c>
      <c r="J867" s="32" t="str">
        <f aca="false">INDEX(Productos!$C$2:$C$13,MATCH($H867,Productos!$A$2:$A$13,0))</f>
        <v>Métrica</v>
      </c>
      <c r="K867" s="31" t="s">
        <v>246</v>
      </c>
      <c r="L867" s="46" t="n">
        <v>18</v>
      </c>
      <c r="M867" s="50" t="n">
        <f aca="false">INDEX(Productos!$F$2:$F$13,MATCH($H867,Productos!$A$2:$A$13,0))</f>
        <v>32</v>
      </c>
      <c r="N867" s="51" t="n">
        <v>0.072</v>
      </c>
      <c r="O867" s="52" t="n">
        <f aca="false">M867*(1-N867)</f>
        <v>29.696</v>
      </c>
      <c r="P867" s="21" t="n">
        <f aca="false">L867*O867</f>
        <v>534.528</v>
      </c>
      <c r="Q867" s="50" t="n">
        <f aca="false">INDEX(Productos!$E$2:$E$13,MATCH($H867,Productos!$A$2:$A$13,0))*INDEX(Parametros!$B$26:$B$43,MATCH($C867,Parametros!$A$26:$A$43,0))</f>
        <v>16.9154</v>
      </c>
      <c r="R867" s="21" t="n">
        <f aca="false">L867*Q867</f>
        <v>304.4772</v>
      </c>
      <c r="S867" s="18" t="n">
        <f aca="false">L867*INDEX(Parametros!$B$20:$B$22,MATCH($E867,Parametros!$A$20:$A$22,0))</f>
        <v>15.3</v>
      </c>
      <c r="T867" s="18" t="n">
        <f aca="false">P867*INDEX(Parametros!$B$13:$B$16,MATCH($F867,Parametros!$A$13:$A$16,0))</f>
        <v>18.70848</v>
      </c>
      <c r="U867" s="21" t="n">
        <f aca="false">P867-R867-S867-T867</f>
        <v>196.04232</v>
      </c>
      <c r="V867" s="19" t="n">
        <f aca="false">IFERROR(U867/P867,0)</f>
        <v>0.3667578125</v>
      </c>
      <c r="W867" s="48" t="n">
        <f aca="false">B867+INDEX(Parametros!$C$13:$C$16,MATCH($F867,Parametros!$A$13:$A$16,0))</f>
        <v>46002</v>
      </c>
      <c r="X867" s="31" t="s">
        <v>67</v>
      </c>
      <c r="Y867" s="53" t="n">
        <f aca="false">IF(COUNTIF($A$2:$A867,A867)=1,1,0)</f>
        <v>0</v>
      </c>
    </row>
    <row r="868" customFormat="false" ht="15" hidden="false" customHeight="false" outlineLevel="0" collapsed="false">
      <c r="A868" s="31" t="s">
        <v>711</v>
      </c>
      <c r="B868" s="36" t="n">
        <v>45957</v>
      </c>
      <c r="C868" s="49" t="n">
        <f aca="false">DATE(YEAR(B868),MONTH(B868),1)</f>
        <v>45931</v>
      </c>
      <c r="D868" s="31" t="s">
        <v>205</v>
      </c>
      <c r="E868" s="31" t="s">
        <v>41</v>
      </c>
      <c r="F868" s="31" t="s">
        <v>45</v>
      </c>
      <c r="G868" s="31" t="s">
        <v>62</v>
      </c>
      <c r="H868" s="31" t="s">
        <v>173</v>
      </c>
      <c r="I868" s="32" t="str">
        <f aca="false">INDEX(Productos!$B$2:$B$13,MATCH($H868,Productos!$A$2:$A$13,0))</f>
        <v>Tornillo DIN 933 M12x70 clase 8.8</v>
      </c>
      <c r="J868" s="32" t="str">
        <f aca="false">INDEX(Productos!$C$2:$C$13,MATCH($H868,Productos!$A$2:$A$13,0))</f>
        <v>Métrica</v>
      </c>
      <c r="K868" s="31" t="s">
        <v>246</v>
      </c>
      <c r="L868" s="46" t="n">
        <v>51</v>
      </c>
      <c r="M868" s="50" t="n">
        <f aca="false">INDEX(Productos!$F$2:$F$13,MATCH($H868,Productos!$A$2:$A$13,0))</f>
        <v>64</v>
      </c>
      <c r="N868" s="51" t="n">
        <v>0.156</v>
      </c>
      <c r="O868" s="52" t="n">
        <f aca="false">M868*(1-N868)</f>
        <v>54.016</v>
      </c>
      <c r="P868" s="21" t="n">
        <f aca="false">L868*O868</f>
        <v>2754.816</v>
      </c>
      <c r="Q868" s="50" t="n">
        <f aca="false">INDEX(Productos!$E$2:$E$13,MATCH($H868,Productos!$A$2:$A$13,0))*INDEX(Parametros!$B$26:$B$43,MATCH($C868,Parametros!$A$26:$A$43,0))</f>
        <v>34.1365</v>
      </c>
      <c r="R868" s="21" t="n">
        <f aca="false">L868*Q868</f>
        <v>1740.9615</v>
      </c>
      <c r="S868" s="18" t="n">
        <f aca="false">L868*INDEX(Parametros!$B$20:$B$22,MATCH($E868,Parametros!$A$20:$A$22,0))</f>
        <v>43.35</v>
      </c>
      <c r="T868" s="18" t="n">
        <f aca="false">P868*INDEX(Parametros!$B$13:$B$16,MATCH($F868,Parametros!$A$13:$A$16,0))</f>
        <v>82.64448</v>
      </c>
      <c r="U868" s="21" t="n">
        <f aca="false">P868-R868-S868-T868</f>
        <v>887.86002</v>
      </c>
      <c r="V868" s="19" t="n">
        <f aca="false">IFERROR(U868/P868,0)</f>
        <v>0.322293764810427</v>
      </c>
      <c r="W868" s="48" t="n">
        <f aca="false">B868+INDEX(Parametros!$C$13:$C$16,MATCH($F868,Parametros!$A$13:$A$16,0))</f>
        <v>46017</v>
      </c>
      <c r="X868" s="31" t="s">
        <v>67</v>
      </c>
      <c r="Y868" s="53" t="n">
        <f aca="false">IF(COUNTIF($A$2:$A868,A868)=1,1,0)</f>
        <v>1</v>
      </c>
    </row>
    <row r="869" customFormat="false" ht="15" hidden="false" customHeight="false" outlineLevel="0" collapsed="false">
      <c r="A869" s="31" t="s">
        <v>711</v>
      </c>
      <c r="B869" s="36" t="n">
        <v>45957</v>
      </c>
      <c r="C869" s="49" t="n">
        <f aca="false">DATE(YEAR(B869),MONTH(B869),1)</f>
        <v>45931</v>
      </c>
      <c r="D869" s="31" t="s">
        <v>205</v>
      </c>
      <c r="E869" s="31" t="s">
        <v>41</v>
      </c>
      <c r="F869" s="31" t="s">
        <v>45</v>
      </c>
      <c r="G869" s="31" t="s">
        <v>62</v>
      </c>
      <c r="H869" s="31" t="s">
        <v>185</v>
      </c>
      <c r="I869" s="32" t="str">
        <f aca="false">INDEX(Productos!$B$2:$B$13,MATCH($H869,Productos!$A$2:$A$13,0))</f>
        <v>Varilla roscada M10 x 1 m zincada</v>
      </c>
      <c r="J869" s="32" t="str">
        <f aca="false">INDEX(Productos!$C$2:$C$13,MATCH($H869,Productos!$A$2:$A$13,0))</f>
        <v>Especial</v>
      </c>
      <c r="K869" s="31" t="s">
        <v>246</v>
      </c>
      <c r="L869" s="46" t="n">
        <v>87</v>
      </c>
      <c r="M869" s="50" t="n">
        <f aca="false">INDEX(Productos!$F$2:$F$13,MATCH($H869,Productos!$A$2:$A$13,0))</f>
        <v>54</v>
      </c>
      <c r="N869" s="51" t="n">
        <v>0.186</v>
      </c>
      <c r="O869" s="52" t="n">
        <f aca="false">M869*(1-N869)</f>
        <v>43.956</v>
      </c>
      <c r="P869" s="21" t="n">
        <f aca="false">L869*O869</f>
        <v>3824.172</v>
      </c>
      <c r="Q869" s="50" t="n">
        <f aca="false">INDEX(Productos!$E$2:$E$13,MATCH($H869,Productos!$A$2:$A$13,0))*INDEX(Parametros!$B$26:$B$43,MATCH($C869,Parametros!$A$26:$A$43,0))</f>
        <v>29.0415</v>
      </c>
      <c r="R869" s="21" t="n">
        <f aca="false">L869*Q869</f>
        <v>2526.6105</v>
      </c>
      <c r="S869" s="18" t="n">
        <f aca="false">L869*INDEX(Parametros!$B$20:$B$22,MATCH($E869,Parametros!$A$20:$A$22,0))</f>
        <v>73.95</v>
      </c>
      <c r="T869" s="18" t="n">
        <f aca="false">P869*INDEX(Parametros!$B$13:$B$16,MATCH($F869,Parametros!$A$13:$A$16,0))</f>
        <v>114.72516</v>
      </c>
      <c r="U869" s="21" t="n">
        <f aca="false">P869-R869-S869-T869</f>
        <v>1108.88634</v>
      </c>
      <c r="V869" s="19" t="n">
        <f aca="false">IFERROR(U869/P869,0)</f>
        <v>0.289967694967695</v>
      </c>
      <c r="W869" s="48" t="n">
        <f aca="false">B869+INDEX(Parametros!$C$13:$C$16,MATCH($F869,Parametros!$A$13:$A$16,0))</f>
        <v>46017</v>
      </c>
      <c r="X869" s="31" t="s">
        <v>67</v>
      </c>
      <c r="Y869" s="53" t="n">
        <f aca="false">IF(COUNTIF($A$2:$A869,A869)=1,1,0)</f>
        <v>0</v>
      </c>
    </row>
    <row r="870" customFormat="false" ht="15" hidden="false" customHeight="false" outlineLevel="0" collapsed="false">
      <c r="A870" s="31" t="s">
        <v>712</v>
      </c>
      <c r="B870" s="36" t="n">
        <v>45957</v>
      </c>
      <c r="C870" s="49" t="n">
        <f aca="false">DATE(YEAR(B870),MONTH(B870),1)</f>
        <v>45931</v>
      </c>
      <c r="D870" s="31" t="s">
        <v>216</v>
      </c>
      <c r="E870" s="31" t="s">
        <v>42</v>
      </c>
      <c r="F870" s="31" t="s">
        <v>45</v>
      </c>
      <c r="G870" s="31" t="s">
        <v>61</v>
      </c>
      <c r="H870" s="31" t="s">
        <v>169</v>
      </c>
      <c r="I870" s="32" t="str">
        <f aca="false">INDEX(Productos!$B$2:$B$13,MATCH($H870,Productos!$A$2:$A$13,0))</f>
        <v>Tornillo DIN 912 M10x60 Allen inox A2</v>
      </c>
      <c r="J870" s="32" t="str">
        <f aca="false">INDEX(Productos!$C$2:$C$13,MATCH($H870,Productos!$A$2:$A$13,0))</f>
        <v>Inoxidable</v>
      </c>
      <c r="K870" s="31" t="s">
        <v>246</v>
      </c>
      <c r="L870" s="46" t="n">
        <v>51</v>
      </c>
      <c r="M870" s="50" t="n">
        <f aca="false">INDEX(Productos!$F$2:$F$13,MATCH($H870,Productos!$A$2:$A$13,0))</f>
        <v>79</v>
      </c>
      <c r="N870" s="51" t="n">
        <v>0.127</v>
      </c>
      <c r="O870" s="52" t="n">
        <f aca="false">M870*(1-N870)</f>
        <v>68.967</v>
      </c>
      <c r="P870" s="21" t="n">
        <f aca="false">L870*O870</f>
        <v>3517.317</v>
      </c>
      <c r="Q870" s="50" t="n">
        <f aca="false">INDEX(Productos!$E$2:$E$13,MATCH($H870,Productos!$A$2:$A$13,0))*INDEX(Parametros!$B$26:$B$43,MATCH($C870,Parametros!$A$26:$A$43,0))</f>
        <v>42.798</v>
      </c>
      <c r="R870" s="21" t="n">
        <f aca="false">L870*Q870</f>
        <v>2182.698</v>
      </c>
      <c r="S870" s="18" t="n">
        <f aca="false">L870*INDEX(Parametros!$B$20:$B$22,MATCH($E870,Parametros!$A$20:$A$22,0))</f>
        <v>122.4</v>
      </c>
      <c r="T870" s="18" t="n">
        <f aca="false">P870*INDEX(Parametros!$B$13:$B$16,MATCH($F870,Parametros!$A$13:$A$16,0))</f>
        <v>105.51951</v>
      </c>
      <c r="U870" s="21" t="n">
        <f aca="false">P870-R870-S870-T870</f>
        <v>1106.69949</v>
      </c>
      <c r="V870" s="19" t="n">
        <f aca="false">IFERROR(U870/P870,0)</f>
        <v>0.314643090173561</v>
      </c>
      <c r="W870" s="48" t="n">
        <f aca="false">B870+INDEX(Parametros!$C$13:$C$16,MATCH($F870,Parametros!$A$13:$A$16,0))</f>
        <v>46017</v>
      </c>
      <c r="X870" s="31" t="s">
        <v>67</v>
      </c>
      <c r="Y870" s="53" t="n">
        <f aca="false">IF(COUNTIF($A$2:$A870,A870)=1,1,0)</f>
        <v>1</v>
      </c>
    </row>
    <row r="871" customFormat="false" ht="15" hidden="false" customHeight="false" outlineLevel="0" collapsed="false">
      <c r="A871" s="31" t="s">
        <v>713</v>
      </c>
      <c r="B871" s="36" t="n">
        <v>45957</v>
      </c>
      <c r="C871" s="49" t="n">
        <f aca="false">DATE(YEAR(B871),MONTH(B871),1)</f>
        <v>45931</v>
      </c>
      <c r="D871" s="31" t="s">
        <v>216</v>
      </c>
      <c r="E871" s="31" t="s">
        <v>42</v>
      </c>
      <c r="F871" s="31" t="s">
        <v>45</v>
      </c>
      <c r="G871" s="31" t="s">
        <v>61</v>
      </c>
      <c r="H871" s="31" t="s">
        <v>175</v>
      </c>
      <c r="I871" s="32" t="str">
        <f aca="false">INDEX(Productos!$B$2:$B$13,MATCH($H871,Productos!$A$2:$A$13,0))</f>
        <v>Tirafondo madera 5x60 cabeza plana Torx</v>
      </c>
      <c r="J871" s="32" t="str">
        <f aca="false">INDEX(Productos!$C$2:$C$13,MATCH($H871,Productos!$A$2:$A$13,0))</f>
        <v>Madera</v>
      </c>
      <c r="K871" s="31" t="s">
        <v>246</v>
      </c>
      <c r="L871" s="46" t="n">
        <v>305</v>
      </c>
      <c r="M871" s="50" t="n">
        <f aca="false">INDEX(Productos!$F$2:$F$13,MATCH($H871,Productos!$A$2:$A$13,0))</f>
        <v>26</v>
      </c>
      <c r="N871" s="51" t="n">
        <v>0.204</v>
      </c>
      <c r="O871" s="52" t="n">
        <f aca="false">M871*(1-N871)</f>
        <v>20.696</v>
      </c>
      <c r="P871" s="21" t="n">
        <f aca="false">L871*O871</f>
        <v>6312.28</v>
      </c>
      <c r="Q871" s="50" t="n">
        <f aca="false">INDEX(Productos!$E$2:$E$13,MATCH($H871,Productos!$A$2:$A$13,0))*INDEX(Parametros!$B$26:$B$43,MATCH($C871,Parametros!$A$26:$A$43,0))</f>
        <v>13.6546</v>
      </c>
      <c r="R871" s="21" t="n">
        <f aca="false">L871*Q871</f>
        <v>4164.653</v>
      </c>
      <c r="S871" s="18" t="n">
        <f aca="false">L871*INDEX(Parametros!$B$20:$B$22,MATCH($E871,Parametros!$A$20:$A$22,0))</f>
        <v>732</v>
      </c>
      <c r="T871" s="18" t="n">
        <f aca="false">P871*INDEX(Parametros!$B$13:$B$16,MATCH($F871,Parametros!$A$13:$A$16,0))</f>
        <v>189.3684</v>
      </c>
      <c r="U871" s="21" t="n">
        <f aca="false">P871-R871-S871-T871</f>
        <v>1226.2586</v>
      </c>
      <c r="V871" s="19" t="n">
        <f aca="false">IFERROR(U871/P871,0)</f>
        <v>0.194265558562041</v>
      </c>
      <c r="W871" s="48" t="n">
        <f aca="false">B871+INDEX(Parametros!$C$13:$C$16,MATCH($F871,Parametros!$A$13:$A$16,0))</f>
        <v>46017</v>
      </c>
      <c r="X871" s="31" t="s">
        <v>67</v>
      </c>
      <c r="Y871" s="53" t="n">
        <f aca="false">IF(COUNTIF($A$2:$A871,A871)=1,1,0)</f>
        <v>1</v>
      </c>
    </row>
    <row r="872" customFormat="false" ht="15" hidden="false" customHeight="false" outlineLevel="0" collapsed="false">
      <c r="A872" s="31" t="s">
        <v>714</v>
      </c>
      <c r="B872" s="36" t="n">
        <v>45957</v>
      </c>
      <c r="C872" s="49" t="n">
        <f aca="false">DATE(YEAR(B872),MONTH(B872),1)</f>
        <v>45931</v>
      </c>
      <c r="D872" s="31" t="s">
        <v>219</v>
      </c>
      <c r="E872" s="31" t="s">
        <v>42</v>
      </c>
      <c r="F872" s="31" t="s">
        <v>45</v>
      </c>
      <c r="G872" s="31" t="s">
        <v>61</v>
      </c>
      <c r="H872" s="31" t="s">
        <v>183</v>
      </c>
      <c r="I872" s="32" t="str">
        <f aca="false">INDEX(Productos!$B$2:$B$13,MATCH($H872,Productos!$A$2:$A$13,0))</f>
        <v>Tornillo estructural M16x90 clase 10.9</v>
      </c>
      <c r="J872" s="32" t="str">
        <f aca="false">INDEX(Productos!$C$2:$C$13,MATCH($H872,Productos!$A$2:$A$13,0))</f>
        <v>Especial</v>
      </c>
      <c r="K872" s="31" t="s">
        <v>246</v>
      </c>
      <c r="L872" s="46" t="n">
        <v>216</v>
      </c>
      <c r="M872" s="50" t="n">
        <f aca="false">INDEX(Productos!$F$2:$F$13,MATCH($H872,Productos!$A$2:$A$13,0))</f>
        <v>112</v>
      </c>
      <c r="N872" s="51" t="n">
        <v>0.19</v>
      </c>
      <c r="O872" s="52" t="n">
        <f aca="false">M872*(1-N872)</f>
        <v>90.72</v>
      </c>
      <c r="P872" s="21" t="n">
        <f aca="false">L872*O872</f>
        <v>19595.52</v>
      </c>
      <c r="Q872" s="50" t="n">
        <f aca="false">INDEX(Productos!$E$2:$E$13,MATCH($H872,Productos!$A$2:$A$13,0))*INDEX(Parametros!$B$26:$B$43,MATCH($C872,Parametros!$A$26:$A$43,0))</f>
        <v>61.14</v>
      </c>
      <c r="R872" s="21" t="n">
        <f aca="false">L872*Q872</f>
        <v>13206.24</v>
      </c>
      <c r="S872" s="18" t="n">
        <f aca="false">L872*INDEX(Parametros!$B$20:$B$22,MATCH($E872,Parametros!$A$20:$A$22,0))</f>
        <v>518.4</v>
      </c>
      <c r="T872" s="18" t="n">
        <f aca="false">P872*INDEX(Parametros!$B$13:$B$16,MATCH($F872,Parametros!$A$13:$A$16,0))</f>
        <v>587.8656</v>
      </c>
      <c r="U872" s="21" t="n">
        <f aca="false">P872-R872-S872-T872</f>
        <v>5283.0144</v>
      </c>
      <c r="V872" s="19" t="n">
        <f aca="false">IFERROR(U872/P872,0)</f>
        <v>0.269603174603175</v>
      </c>
      <c r="W872" s="48" t="n">
        <f aca="false">B872+INDEX(Parametros!$C$13:$C$16,MATCH($F872,Parametros!$A$13:$A$16,0))</f>
        <v>46017</v>
      </c>
      <c r="X872" s="31" t="s">
        <v>67</v>
      </c>
      <c r="Y872" s="53" t="n">
        <f aca="false">IF(COUNTIF($A$2:$A872,A872)=1,1,0)</f>
        <v>1</v>
      </c>
    </row>
    <row r="873" customFormat="false" ht="15" hidden="false" customHeight="false" outlineLevel="0" collapsed="false">
      <c r="A873" s="31" t="s">
        <v>714</v>
      </c>
      <c r="B873" s="36" t="n">
        <v>45957</v>
      </c>
      <c r="C873" s="49" t="n">
        <f aca="false">DATE(YEAR(B873),MONTH(B873),1)</f>
        <v>45931</v>
      </c>
      <c r="D873" s="31" t="s">
        <v>219</v>
      </c>
      <c r="E873" s="31" t="s">
        <v>42</v>
      </c>
      <c r="F873" s="31" t="s">
        <v>45</v>
      </c>
      <c r="G873" s="31" t="s">
        <v>61</v>
      </c>
      <c r="H873" s="31" t="s">
        <v>175</v>
      </c>
      <c r="I873" s="32" t="str">
        <f aca="false">INDEX(Productos!$B$2:$B$13,MATCH($H873,Productos!$A$2:$A$13,0))</f>
        <v>Tirafondo madera 5x60 cabeza plana Torx</v>
      </c>
      <c r="J873" s="32" t="str">
        <f aca="false">INDEX(Productos!$C$2:$C$13,MATCH($H873,Productos!$A$2:$A$13,0))</f>
        <v>Madera</v>
      </c>
      <c r="K873" s="31" t="s">
        <v>246</v>
      </c>
      <c r="L873" s="46" t="n">
        <v>101</v>
      </c>
      <c r="M873" s="50" t="n">
        <f aca="false">INDEX(Productos!$F$2:$F$13,MATCH($H873,Productos!$A$2:$A$13,0))</f>
        <v>26</v>
      </c>
      <c r="N873" s="51" t="n">
        <v>0.17</v>
      </c>
      <c r="O873" s="52" t="n">
        <f aca="false">M873*(1-N873)</f>
        <v>21.58</v>
      </c>
      <c r="P873" s="21" t="n">
        <f aca="false">L873*O873</f>
        <v>2179.58</v>
      </c>
      <c r="Q873" s="50" t="n">
        <f aca="false">INDEX(Productos!$E$2:$E$13,MATCH($H873,Productos!$A$2:$A$13,0))*INDEX(Parametros!$B$26:$B$43,MATCH($C873,Parametros!$A$26:$A$43,0))</f>
        <v>13.6546</v>
      </c>
      <c r="R873" s="21" t="n">
        <f aca="false">L873*Q873</f>
        <v>1379.1146</v>
      </c>
      <c r="S873" s="18" t="n">
        <f aca="false">L873*INDEX(Parametros!$B$20:$B$22,MATCH($E873,Parametros!$A$20:$A$22,0))</f>
        <v>242.4</v>
      </c>
      <c r="T873" s="18" t="n">
        <f aca="false">P873*INDEX(Parametros!$B$13:$B$16,MATCH($F873,Parametros!$A$13:$A$16,0))</f>
        <v>65.3874</v>
      </c>
      <c r="U873" s="21" t="n">
        <f aca="false">P873-R873-S873-T873</f>
        <v>492.678</v>
      </c>
      <c r="V873" s="19" t="n">
        <f aca="false">IFERROR(U873/P873,0)</f>
        <v>0.226042632066728</v>
      </c>
      <c r="W873" s="48" t="n">
        <f aca="false">B873+INDEX(Parametros!$C$13:$C$16,MATCH($F873,Parametros!$A$13:$A$16,0))</f>
        <v>46017</v>
      </c>
      <c r="X873" s="31" t="s">
        <v>67</v>
      </c>
      <c r="Y873" s="53" t="n">
        <f aca="false">IF(COUNTIF($A$2:$A873,A873)=1,1,0)</f>
        <v>0</v>
      </c>
    </row>
    <row r="874" customFormat="false" ht="15" hidden="false" customHeight="false" outlineLevel="0" collapsed="false">
      <c r="A874" s="31" t="s">
        <v>714</v>
      </c>
      <c r="B874" s="36" t="n">
        <v>45957</v>
      </c>
      <c r="C874" s="49" t="n">
        <f aca="false">DATE(YEAR(B874),MONTH(B874),1)</f>
        <v>45931</v>
      </c>
      <c r="D874" s="31" t="s">
        <v>219</v>
      </c>
      <c r="E874" s="31" t="s">
        <v>42</v>
      </c>
      <c r="F874" s="31" t="s">
        <v>45</v>
      </c>
      <c r="G874" s="31" t="s">
        <v>61</v>
      </c>
      <c r="H874" s="31" t="s">
        <v>179</v>
      </c>
      <c r="I874" s="32" t="str">
        <f aca="false">INDEX(Productos!$B$2:$B$13,MATCH($H874,Productos!$A$2:$A$13,0))</f>
        <v>Autotaladrante DIN 7504 4,8x38 zincado</v>
      </c>
      <c r="J874" s="32" t="str">
        <f aca="false">INDEX(Productos!$C$2:$C$13,MATCH($H874,Productos!$A$2:$A$13,0))</f>
        <v>Autotaladrante</v>
      </c>
      <c r="K874" s="31" t="s">
        <v>246</v>
      </c>
      <c r="L874" s="46" t="n">
        <v>43</v>
      </c>
      <c r="M874" s="50" t="n">
        <f aca="false">INDEX(Productos!$F$2:$F$13,MATCH($H874,Productos!$A$2:$A$13,0))</f>
        <v>29.5</v>
      </c>
      <c r="N874" s="51" t="n">
        <v>0.139</v>
      </c>
      <c r="O874" s="52" t="n">
        <f aca="false">M874*(1-N874)</f>
        <v>25.3995</v>
      </c>
      <c r="P874" s="21" t="n">
        <f aca="false">L874*O874</f>
        <v>1092.1785</v>
      </c>
      <c r="Q874" s="50" t="n">
        <f aca="false">INDEX(Productos!$E$2:$E$13,MATCH($H874,Productos!$A$2:$A$13,0))*INDEX(Parametros!$B$26:$B$43,MATCH($C874,Parametros!$A$26:$A$43,0))</f>
        <v>15.4888</v>
      </c>
      <c r="R874" s="21" t="n">
        <f aca="false">L874*Q874</f>
        <v>666.0184</v>
      </c>
      <c r="S874" s="18" t="n">
        <f aca="false">L874*INDEX(Parametros!$B$20:$B$22,MATCH($E874,Parametros!$A$20:$A$22,0))</f>
        <v>103.2</v>
      </c>
      <c r="T874" s="18" t="n">
        <f aca="false">P874*INDEX(Parametros!$B$13:$B$16,MATCH($F874,Parametros!$A$13:$A$16,0))</f>
        <v>32.765355</v>
      </c>
      <c r="U874" s="21" t="n">
        <f aca="false">P874-R874-S874-T874</f>
        <v>290.194745</v>
      </c>
      <c r="V874" s="19" t="n">
        <f aca="false">IFERROR(U874/P874,0)</f>
        <v>0.265702671312428</v>
      </c>
      <c r="W874" s="48" t="n">
        <f aca="false">B874+INDEX(Parametros!$C$13:$C$16,MATCH($F874,Parametros!$A$13:$A$16,0))</f>
        <v>46017</v>
      </c>
      <c r="X874" s="31" t="s">
        <v>67</v>
      </c>
      <c r="Y874" s="53" t="n">
        <f aca="false">IF(COUNTIF($A$2:$A874,A874)=1,1,0)</f>
        <v>0</v>
      </c>
    </row>
    <row r="875" customFormat="false" ht="15" hidden="false" customHeight="false" outlineLevel="0" collapsed="false">
      <c r="A875" s="31" t="s">
        <v>715</v>
      </c>
      <c r="B875" s="36" t="n">
        <v>45958</v>
      </c>
      <c r="C875" s="49" t="n">
        <f aca="false">DATE(YEAR(B875),MONTH(B875),1)</f>
        <v>45931</v>
      </c>
      <c r="D875" s="31" t="s">
        <v>194</v>
      </c>
      <c r="E875" s="31" t="s">
        <v>41</v>
      </c>
      <c r="F875" s="31" t="s">
        <v>46</v>
      </c>
      <c r="G875" s="31" t="s">
        <v>58</v>
      </c>
      <c r="H875" s="31" t="s">
        <v>173</v>
      </c>
      <c r="I875" s="32" t="str">
        <f aca="false">INDEX(Productos!$B$2:$B$13,MATCH($H875,Productos!$A$2:$A$13,0))</f>
        <v>Tornillo DIN 933 M12x70 clase 8.8</v>
      </c>
      <c r="J875" s="32" t="str">
        <f aca="false">INDEX(Productos!$C$2:$C$13,MATCH($H875,Productos!$A$2:$A$13,0))</f>
        <v>Métrica</v>
      </c>
      <c r="K875" s="31" t="s">
        <v>246</v>
      </c>
      <c r="L875" s="46" t="n">
        <v>140</v>
      </c>
      <c r="M875" s="50" t="n">
        <f aca="false">INDEX(Productos!$F$2:$F$13,MATCH($H875,Productos!$A$2:$A$13,0))</f>
        <v>64</v>
      </c>
      <c r="N875" s="51" t="n">
        <v>0.119</v>
      </c>
      <c r="O875" s="52" t="n">
        <f aca="false">M875*(1-N875)</f>
        <v>56.384</v>
      </c>
      <c r="P875" s="21" t="n">
        <f aca="false">L875*O875</f>
        <v>7893.76</v>
      </c>
      <c r="Q875" s="50" t="n">
        <f aca="false">INDEX(Productos!$E$2:$E$13,MATCH($H875,Productos!$A$2:$A$13,0))*INDEX(Parametros!$B$26:$B$43,MATCH($C875,Parametros!$A$26:$A$43,0))</f>
        <v>34.1365</v>
      </c>
      <c r="R875" s="21" t="n">
        <f aca="false">L875*Q875</f>
        <v>4779.11</v>
      </c>
      <c r="S875" s="18" t="n">
        <f aca="false">L875*INDEX(Parametros!$B$20:$B$22,MATCH($E875,Parametros!$A$20:$A$22,0))</f>
        <v>119</v>
      </c>
      <c r="T875" s="18" t="n">
        <f aca="false">P875*INDEX(Parametros!$B$13:$B$16,MATCH($F875,Parametros!$A$13:$A$16,0))</f>
        <v>315.7504</v>
      </c>
      <c r="U875" s="21" t="n">
        <f aca="false">P875-R875-S875-T875</f>
        <v>2679.8996</v>
      </c>
      <c r="V875" s="19" t="n">
        <f aca="false">IFERROR(U875/P875,0)</f>
        <v>0.33949595629966</v>
      </c>
      <c r="W875" s="48" t="n">
        <f aca="false">B875+INDEX(Parametros!$C$13:$C$16,MATCH($F875,Parametros!$A$13:$A$16,0))</f>
        <v>46033</v>
      </c>
      <c r="X875" s="31" t="s">
        <v>67</v>
      </c>
      <c r="Y875" s="53" t="n">
        <f aca="false">IF(COUNTIF($A$2:$A875,A875)=1,1,0)</f>
        <v>1</v>
      </c>
    </row>
    <row r="876" customFormat="false" ht="15" hidden="false" customHeight="false" outlineLevel="0" collapsed="false">
      <c r="A876" s="31" t="s">
        <v>715</v>
      </c>
      <c r="B876" s="36" t="n">
        <v>45958</v>
      </c>
      <c r="C876" s="49" t="n">
        <f aca="false">DATE(YEAR(B876),MONTH(B876),1)</f>
        <v>45931</v>
      </c>
      <c r="D876" s="31" t="s">
        <v>194</v>
      </c>
      <c r="E876" s="31" t="s">
        <v>41</v>
      </c>
      <c r="F876" s="31" t="s">
        <v>46</v>
      </c>
      <c r="G876" s="31" t="s">
        <v>58</v>
      </c>
      <c r="H876" s="31" t="s">
        <v>163</v>
      </c>
      <c r="I876" s="32" t="str">
        <f aca="false">INDEX(Productos!$B$2:$B$13,MATCH($H876,Productos!$A$2:$A$13,0))</f>
        <v>Tornillo DIN 933 M6x30 rosca completa zincado</v>
      </c>
      <c r="J876" s="32" t="str">
        <f aca="false">INDEX(Productos!$C$2:$C$13,MATCH($H876,Productos!$A$2:$A$13,0))</f>
        <v>Métrica</v>
      </c>
      <c r="K876" s="31" t="s">
        <v>246</v>
      </c>
      <c r="L876" s="46" t="n">
        <v>249</v>
      </c>
      <c r="M876" s="50" t="n">
        <f aca="false">INDEX(Productos!$F$2:$F$13,MATCH($H876,Productos!$A$2:$A$13,0))</f>
        <v>32</v>
      </c>
      <c r="N876" s="51" t="n">
        <v>0.087</v>
      </c>
      <c r="O876" s="52" t="n">
        <f aca="false">M876*(1-N876)</f>
        <v>29.216</v>
      </c>
      <c r="P876" s="21" t="n">
        <f aca="false">L876*O876</f>
        <v>7274.784</v>
      </c>
      <c r="Q876" s="50" t="n">
        <f aca="false">INDEX(Productos!$E$2:$E$13,MATCH($H876,Productos!$A$2:$A$13,0))*INDEX(Parametros!$B$26:$B$43,MATCH($C876,Parametros!$A$26:$A$43,0))</f>
        <v>16.9154</v>
      </c>
      <c r="R876" s="21" t="n">
        <f aca="false">L876*Q876</f>
        <v>4211.9346</v>
      </c>
      <c r="S876" s="18" t="n">
        <f aca="false">L876*INDEX(Parametros!$B$20:$B$22,MATCH($E876,Parametros!$A$20:$A$22,0))</f>
        <v>211.65</v>
      </c>
      <c r="T876" s="18" t="n">
        <f aca="false">P876*INDEX(Parametros!$B$13:$B$16,MATCH($F876,Parametros!$A$13:$A$16,0))</f>
        <v>290.99136</v>
      </c>
      <c r="U876" s="21" t="n">
        <f aca="false">P876-R876-S876-T876</f>
        <v>2560.20804</v>
      </c>
      <c r="V876" s="19" t="n">
        <f aca="false">IFERROR(U876/P876,0)</f>
        <v>0.351929079956189</v>
      </c>
      <c r="W876" s="48" t="n">
        <f aca="false">B876+INDEX(Parametros!$C$13:$C$16,MATCH($F876,Parametros!$A$13:$A$16,0))</f>
        <v>46033</v>
      </c>
      <c r="X876" s="31" t="s">
        <v>67</v>
      </c>
      <c r="Y876" s="53" t="n">
        <f aca="false">IF(COUNTIF($A$2:$A876,A876)=1,1,0)</f>
        <v>0</v>
      </c>
    </row>
    <row r="877" customFormat="false" ht="15" hidden="false" customHeight="false" outlineLevel="0" collapsed="false">
      <c r="A877" s="31" t="s">
        <v>715</v>
      </c>
      <c r="B877" s="36" t="n">
        <v>45958</v>
      </c>
      <c r="C877" s="49" t="n">
        <f aca="false">DATE(YEAR(B877),MONTH(B877),1)</f>
        <v>45931</v>
      </c>
      <c r="D877" s="31" t="s">
        <v>194</v>
      </c>
      <c r="E877" s="31" t="s">
        <v>41</v>
      </c>
      <c r="F877" s="31" t="s">
        <v>46</v>
      </c>
      <c r="G877" s="31" t="s">
        <v>58</v>
      </c>
      <c r="H877" s="31" t="s">
        <v>165</v>
      </c>
      <c r="I877" s="32" t="str">
        <f aca="false">INDEX(Productos!$B$2:$B$13,MATCH($H877,Productos!$A$2:$A$13,0))</f>
        <v>Tornillo DIN 933 M8x40 rosca completa zincado</v>
      </c>
      <c r="J877" s="32" t="str">
        <f aca="false">INDEX(Productos!$C$2:$C$13,MATCH($H877,Productos!$A$2:$A$13,0))</f>
        <v>Métrica</v>
      </c>
      <c r="K877" s="31" t="s">
        <v>246</v>
      </c>
      <c r="L877" s="46" t="n">
        <v>144</v>
      </c>
      <c r="M877" s="50" t="n">
        <f aca="false">INDEX(Productos!$F$2:$F$13,MATCH($H877,Productos!$A$2:$A$13,0))</f>
        <v>37.5</v>
      </c>
      <c r="N877" s="51" t="n">
        <v>0.09</v>
      </c>
      <c r="O877" s="52" t="n">
        <f aca="false">M877*(1-N877)</f>
        <v>34.125</v>
      </c>
      <c r="P877" s="21" t="n">
        <f aca="false">L877*O877</f>
        <v>4914</v>
      </c>
      <c r="Q877" s="50" t="n">
        <f aca="false">INDEX(Productos!$E$2:$E$13,MATCH($H877,Productos!$A$2:$A$13,0))*INDEX(Parametros!$B$26:$B$43,MATCH($C877,Parametros!$A$26:$A$43,0))</f>
        <v>19.7686</v>
      </c>
      <c r="R877" s="21" t="n">
        <f aca="false">L877*Q877</f>
        <v>2846.6784</v>
      </c>
      <c r="S877" s="18" t="n">
        <f aca="false">L877*INDEX(Parametros!$B$20:$B$22,MATCH($E877,Parametros!$A$20:$A$22,0))</f>
        <v>122.4</v>
      </c>
      <c r="T877" s="18" t="n">
        <f aca="false">P877*INDEX(Parametros!$B$13:$B$16,MATCH($F877,Parametros!$A$13:$A$16,0))</f>
        <v>196.56</v>
      </c>
      <c r="U877" s="21" t="n">
        <f aca="false">P877-R877-S877-T877</f>
        <v>1748.3616</v>
      </c>
      <c r="V877" s="19" t="n">
        <f aca="false">IFERROR(U877/P877,0)</f>
        <v>0.355791941391942</v>
      </c>
      <c r="W877" s="48" t="n">
        <f aca="false">B877+INDEX(Parametros!$C$13:$C$16,MATCH($F877,Parametros!$A$13:$A$16,0))</f>
        <v>46033</v>
      </c>
      <c r="X877" s="31" t="s">
        <v>67</v>
      </c>
      <c r="Y877" s="53" t="n">
        <f aca="false">IF(COUNTIF($A$2:$A877,A877)=1,1,0)</f>
        <v>0</v>
      </c>
    </row>
    <row r="878" customFormat="false" ht="15" hidden="false" customHeight="false" outlineLevel="0" collapsed="false">
      <c r="A878" s="31" t="s">
        <v>716</v>
      </c>
      <c r="B878" s="36" t="n">
        <v>45958</v>
      </c>
      <c r="C878" s="49" t="n">
        <f aca="false">DATE(YEAR(B878),MONTH(B878),1)</f>
        <v>45931</v>
      </c>
      <c r="D878" s="31" t="s">
        <v>222</v>
      </c>
      <c r="E878" s="31" t="s">
        <v>43</v>
      </c>
      <c r="F878" s="31" t="s">
        <v>45</v>
      </c>
      <c r="G878" s="31" t="s">
        <v>59</v>
      </c>
      <c r="H878" s="31" t="s">
        <v>163</v>
      </c>
      <c r="I878" s="32" t="str">
        <f aca="false">INDEX(Productos!$B$2:$B$13,MATCH($H878,Productos!$A$2:$A$13,0))</f>
        <v>Tornillo DIN 933 M6x30 rosca completa zincado</v>
      </c>
      <c r="J878" s="32" t="str">
        <f aca="false">INDEX(Productos!$C$2:$C$13,MATCH($H878,Productos!$A$2:$A$13,0))</f>
        <v>Métrica</v>
      </c>
      <c r="K878" s="31" t="s">
        <v>246</v>
      </c>
      <c r="L878" s="46" t="n">
        <v>48</v>
      </c>
      <c r="M878" s="50" t="n">
        <f aca="false">INDEX(Productos!$F$2:$F$13,MATCH($H878,Productos!$A$2:$A$13,0))</f>
        <v>32</v>
      </c>
      <c r="N878" s="51" t="n">
        <v>0.2</v>
      </c>
      <c r="O878" s="52" t="n">
        <f aca="false">M878*(1-N878)</f>
        <v>25.6</v>
      </c>
      <c r="P878" s="21" t="n">
        <f aca="false">L878*O878</f>
        <v>1228.8</v>
      </c>
      <c r="Q878" s="50" t="n">
        <f aca="false">INDEX(Productos!$E$2:$E$13,MATCH($H878,Productos!$A$2:$A$13,0))*INDEX(Parametros!$B$26:$B$43,MATCH($C878,Parametros!$A$26:$A$43,0))</f>
        <v>16.9154</v>
      </c>
      <c r="R878" s="21" t="n">
        <f aca="false">L878*Q878</f>
        <v>811.9392</v>
      </c>
      <c r="S878" s="18" t="n">
        <f aca="false">L878*INDEX(Parametros!$B$20:$B$22,MATCH($E878,Parametros!$A$20:$A$22,0))</f>
        <v>91.2</v>
      </c>
      <c r="T878" s="18" t="n">
        <f aca="false">P878*INDEX(Parametros!$B$13:$B$16,MATCH($F878,Parametros!$A$13:$A$16,0))</f>
        <v>36.864</v>
      </c>
      <c r="U878" s="21" t="n">
        <f aca="false">P878-R878-S878-T878</f>
        <v>288.7968</v>
      </c>
      <c r="V878" s="19" t="n">
        <f aca="false">IFERROR(U878/P878,0)</f>
        <v>0.2350234375</v>
      </c>
      <c r="W878" s="48" t="n">
        <f aca="false">B878+INDEX(Parametros!$C$13:$C$16,MATCH($F878,Parametros!$A$13:$A$16,0))</f>
        <v>46018</v>
      </c>
      <c r="X878" s="31" t="s">
        <v>67</v>
      </c>
      <c r="Y878" s="53" t="n">
        <f aca="false">IF(COUNTIF($A$2:$A878,A878)=1,1,0)</f>
        <v>1</v>
      </c>
    </row>
    <row r="879" customFormat="false" ht="15" hidden="false" customHeight="false" outlineLevel="0" collapsed="false">
      <c r="A879" s="31" t="s">
        <v>716</v>
      </c>
      <c r="B879" s="36" t="n">
        <v>45958</v>
      </c>
      <c r="C879" s="49" t="n">
        <f aca="false">DATE(YEAR(B879),MONTH(B879),1)</f>
        <v>45931</v>
      </c>
      <c r="D879" s="31" t="s">
        <v>222</v>
      </c>
      <c r="E879" s="31" t="s">
        <v>43</v>
      </c>
      <c r="F879" s="31" t="s">
        <v>45</v>
      </c>
      <c r="G879" s="31" t="s">
        <v>59</v>
      </c>
      <c r="H879" s="31" t="s">
        <v>169</v>
      </c>
      <c r="I879" s="32" t="str">
        <f aca="false">INDEX(Productos!$B$2:$B$13,MATCH($H879,Productos!$A$2:$A$13,0))</f>
        <v>Tornillo DIN 912 M10x60 Allen inox A2</v>
      </c>
      <c r="J879" s="32" t="str">
        <f aca="false">INDEX(Productos!$C$2:$C$13,MATCH($H879,Productos!$A$2:$A$13,0))</f>
        <v>Inoxidable</v>
      </c>
      <c r="K879" s="31" t="s">
        <v>246</v>
      </c>
      <c r="L879" s="46" t="n">
        <v>108</v>
      </c>
      <c r="M879" s="50" t="n">
        <f aca="false">INDEX(Productos!$F$2:$F$13,MATCH($H879,Productos!$A$2:$A$13,0))</f>
        <v>79</v>
      </c>
      <c r="N879" s="51" t="n">
        <v>0.2</v>
      </c>
      <c r="O879" s="52" t="n">
        <f aca="false">M879*(1-N879)</f>
        <v>63.2</v>
      </c>
      <c r="P879" s="21" t="n">
        <f aca="false">L879*O879</f>
        <v>6825.6</v>
      </c>
      <c r="Q879" s="50" t="n">
        <f aca="false">INDEX(Productos!$E$2:$E$13,MATCH($H879,Productos!$A$2:$A$13,0))*INDEX(Parametros!$B$26:$B$43,MATCH($C879,Parametros!$A$26:$A$43,0))</f>
        <v>42.798</v>
      </c>
      <c r="R879" s="21" t="n">
        <f aca="false">L879*Q879</f>
        <v>4622.184</v>
      </c>
      <c r="S879" s="18" t="n">
        <f aca="false">L879*INDEX(Parametros!$B$20:$B$22,MATCH($E879,Parametros!$A$20:$A$22,0))</f>
        <v>205.2</v>
      </c>
      <c r="T879" s="18" t="n">
        <f aca="false">P879*INDEX(Parametros!$B$13:$B$16,MATCH($F879,Parametros!$A$13:$A$16,0))</f>
        <v>204.768</v>
      </c>
      <c r="U879" s="21" t="n">
        <f aca="false">P879-R879-S879-T879</f>
        <v>1793.448</v>
      </c>
      <c r="V879" s="19" t="n">
        <f aca="false">IFERROR(U879/P879,0)</f>
        <v>0.262753164556962</v>
      </c>
      <c r="W879" s="48" t="n">
        <f aca="false">B879+INDEX(Parametros!$C$13:$C$16,MATCH($F879,Parametros!$A$13:$A$16,0))</f>
        <v>46018</v>
      </c>
      <c r="X879" s="31" t="s">
        <v>67</v>
      </c>
      <c r="Y879" s="53" t="n">
        <f aca="false">IF(COUNTIF($A$2:$A879,A879)=1,1,0)</f>
        <v>0</v>
      </c>
    </row>
    <row r="880" customFormat="false" ht="15" hidden="false" customHeight="false" outlineLevel="0" collapsed="false">
      <c r="A880" s="31" t="s">
        <v>717</v>
      </c>
      <c r="B880" s="36" t="n">
        <v>45958</v>
      </c>
      <c r="C880" s="49" t="n">
        <f aca="false">DATE(YEAR(B880),MONTH(B880),1)</f>
        <v>45931</v>
      </c>
      <c r="D880" s="31" t="s">
        <v>196</v>
      </c>
      <c r="E880" s="31" t="s">
        <v>41</v>
      </c>
      <c r="F880" s="31" t="s">
        <v>47</v>
      </c>
      <c r="G880" s="31" t="s">
        <v>58</v>
      </c>
      <c r="H880" s="31" t="s">
        <v>185</v>
      </c>
      <c r="I880" s="32" t="str">
        <f aca="false">INDEX(Productos!$B$2:$B$13,MATCH($H880,Productos!$A$2:$A$13,0))</f>
        <v>Varilla roscada M10 x 1 m zincada</v>
      </c>
      <c r="J880" s="32" t="str">
        <f aca="false">INDEX(Productos!$C$2:$C$13,MATCH($H880,Productos!$A$2:$A$13,0))</f>
        <v>Especial</v>
      </c>
      <c r="K880" s="31" t="s">
        <v>246</v>
      </c>
      <c r="L880" s="46" t="n">
        <v>44</v>
      </c>
      <c r="M880" s="50" t="n">
        <f aca="false">INDEX(Productos!$F$2:$F$13,MATCH($H880,Productos!$A$2:$A$13,0))</f>
        <v>54</v>
      </c>
      <c r="N880" s="51" t="n">
        <v>0.072</v>
      </c>
      <c r="O880" s="52" t="n">
        <f aca="false">M880*(1-N880)</f>
        <v>50.112</v>
      </c>
      <c r="P880" s="21" t="n">
        <f aca="false">L880*O880</f>
        <v>2204.928</v>
      </c>
      <c r="Q880" s="50" t="n">
        <f aca="false">INDEX(Productos!$E$2:$E$13,MATCH($H880,Productos!$A$2:$A$13,0))*INDEX(Parametros!$B$26:$B$43,MATCH($C880,Parametros!$A$26:$A$43,0))</f>
        <v>29.0415</v>
      </c>
      <c r="R880" s="21" t="n">
        <f aca="false">L880*Q880</f>
        <v>1277.826</v>
      </c>
      <c r="S880" s="18" t="n">
        <f aca="false">L880*INDEX(Parametros!$B$20:$B$22,MATCH($E880,Parametros!$A$20:$A$22,0))</f>
        <v>37.4</v>
      </c>
      <c r="T880" s="18" t="n">
        <f aca="false">P880*INDEX(Parametros!$B$13:$B$16,MATCH($F880,Parametros!$A$13:$A$16,0))</f>
        <v>77.17248</v>
      </c>
      <c r="U880" s="21" t="n">
        <f aca="false">P880-R880-S880-T880</f>
        <v>812.52952</v>
      </c>
      <c r="V880" s="19" t="n">
        <f aca="false">IFERROR(U880/P880,0)</f>
        <v>0.368506146232439</v>
      </c>
      <c r="W880" s="48" t="n">
        <f aca="false">B880+INDEX(Parametros!$C$13:$C$16,MATCH($F880,Parametros!$A$13:$A$16,0))</f>
        <v>46003</v>
      </c>
      <c r="X880" s="31" t="s">
        <v>67</v>
      </c>
      <c r="Y880" s="53" t="n">
        <f aca="false">IF(COUNTIF($A$2:$A880,A880)=1,1,0)</f>
        <v>1</v>
      </c>
    </row>
    <row r="881" customFormat="false" ht="15" hidden="false" customHeight="false" outlineLevel="0" collapsed="false">
      <c r="A881" s="31" t="s">
        <v>718</v>
      </c>
      <c r="B881" s="36" t="n">
        <v>45964</v>
      </c>
      <c r="C881" s="49" t="n">
        <f aca="false">DATE(YEAR(B881),MONTH(B881),1)</f>
        <v>45962</v>
      </c>
      <c r="D881" s="31" t="s">
        <v>208</v>
      </c>
      <c r="E881" s="31" t="s">
        <v>41</v>
      </c>
      <c r="F881" s="31" t="s">
        <v>46</v>
      </c>
      <c r="G881" s="31" t="s">
        <v>58</v>
      </c>
      <c r="H881" s="31" t="s">
        <v>177</v>
      </c>
      <c r="I881" s="32" t="str">
        <f aca="false">INDEX(Productos!$B$2:$B$13,MATCH($H881,Productos!$A$2:$A$13,0))</f>
        <v>Tirafondo madera 6x100 cabeza plana Torx</v>
      </c>
      <c r="J881" s="32" t="str">
        <f aca="false">INDEX(Productos!$C$2:$C$13,MATCH($H881,Productos!$A$2:$A$13,0))</f>
        <v>Madera</v>
      </c>
      <c r="K881" s="31" t="s">
        <v>246</v>
      </c>
      <c r="L881" s="46" t="n">
        <v>69</v>
      </c>
      <c r="M881" s="50" t="n">
        <f aca="false">INDEX(Productos!$F$2:$F$13,MATCH($H881,Productos!$A$2:$A$13,0))</f>
        <v>34</v>
      </c>
      <c r="N881" s="51" t="n">
        <v>0.162</v>
      </c>
      <c r="O881" s="52" t="n">
        <f aca="false">M881*(1-N881)</f>
        <v>28.492</v>
      </c>
      <c r="P881" s="21" t="n">
        <f aca="false">L881*O881</f>
        <v>1965.948</v>
      </c>
      <c r="Q881" s="50" t="n">
        <f aca="false">INDEX(Productos!$E$2:$E$13,MATCH($H881,Productos!$A$2:$A$13,0))*INDEX(Parametros!$B$26:$B$43,MATCH($C881,Parametros!$A$26:$A$43,0))</f>
        <v>18.156</v>
      </c>
      <c r="R881" s="21" t="n">
        <f aca="false">L881*Q881</f>
        <v>1252.764</v>
      </c>
      <c r="S881" s="18" t="n">
        <f aca="false">L881*INDEX(Parametros!$B$20:$B$22,MATCH($E881,Parametros!$A$20:$A$22,0))</f>
        <v>58.65</v>
      </c>
      <c r="T881" s="18" t="n">
        <f aca="false">P881*INDEX(Parametros!$B$13:$B$16,MATCH($F881,Parametros!$A$13:$A$16,0))</f>
        <v>78.63792</v>
      </c>
      <c r="U881" s="21" t="n">
        <f aca="false">P881-R881-S881-T881</f>
        <v>575.89608</v>
      </c>
      <c r="V881" s="19" t="n">
        <f aca="false">IFERROR(U881/P881,0)</f>
        <v>0.292935560859188</v>
      </c>
      <c r="W881" s="48" t="n">
        <f aca="false">B881+INDEX(Parametros!$C$13:$C$16,MATCH($F881,Parametros!$A$13:$A$16,0))</f>
        <v>46039</v>
      </c>
      <c r="X881" s="31" t="s">
        <v>67</v>
      </c>
      <c r="Y881" s="53" t="n">
        <f aca="false">IF(COUNTIF($A$2:$A881,A881)=1,1,0)</f>
        <v>1</v>
      </c>
    </row>
    <row r="882" customFormat="false" ht="15" hidden="false" customHeight="false" outlineLevel="0" collapsed="false">
      <c r="A882" s="31" t="s">
        <v>719</v>
      </c>
      <c r="B882" s="36" t="n">
        <v>45964</v>
      </c>
      <c r="C882" s="49" t="n">
        <f aca="false">DATE(YEAR(B882),MONTH(B882),1)</f>
        <v>45962</v>
      </c>
      <c r="D882" s="31" t="s">
        <v>218</v>
      </c>
      <c r="E882" s="31" t="s">
        <v>42</v>
      </c>
      <c r="F882" s="31" t="s">
        <v>45</v>
      </c>
      <c r="G882" s="31" t="s">
        <v>61</v>
      </c>
      <c r="H882" s="31" t="s">
        <v>165</v>
      </c>
      <c r="I882" s="32" t="str">
        <f aca="false">INDEX(Productos!$B$2:$B$13,MATCH($H882,Productos!$A$2:$A$13,0))</f>
        <v>Tornillo DIN 933 M8x40 rosca completa zincado</v>
      </c>
      <c r="J882" s="32" t="str">
        <f aca="false">INDEX(Productos!$C$2:$C$13,MATCH($H882,Productos!$A$2:$A$13,0))</f>
        <v>Métrica</v>
      </c>
      <c r="K882" s="31" t="s">
        <v>275</v>
      </c>
      <c r="L882" s="46" t="n">
        <v>-71</v>
      </c>
      <c r="M882" s="50" t="n">
        <f aca="false">INDEX(Productos!$F$2:$F$13,MATCH($H882,Productos!$A$2:$A$13,0))</f>
        <v>37.5</v>
      </c>
      <c r="N882" s="51" t="n">
        <v>0.18</v>
      </c>
      <c r="O882" s="52" t="n">
        <f aca="false">M882*(1-N882)</f>
        <v>30.75</v>
      </c>
      <c r="P882" s="21" t="n">
        <f aca="false">L882*O882</f>
        <v>-2183.25</v>
      </c>
      <c r="Q882" s="50" t="n">
        <f aca="false">INDEX(Productos!$E$2:$E$13,MATCH($H882,Productos!$A$2:$A$13,0))*INDEX(Parametros!$B$26:$B$43,MATCH($C882,Parametros!$A$26:$A$43,0))</f>
        <v>19.788</v>
      </c>
      <c r="R882" s="21" t="n">
        <f aca="false">L882*Q882</f>
        <v>-1404.948</v>
      </c>
      <c r="S882" s="18" t="n">
        <f aca="false">L882*INDEX(Parametros!$B$20:$B$22,MATCH($E882,Parametros!$A$20:$A$22,0))</f>
        <v>-170.4</v>
      </c>
      <c r="T882" s="18" t="n">
        <f aca="false">P882*INDEX(Parametros!$B$13:$B$16,MATCH($F882,Parametros!$A$13:$A$16,0))</f>
        <v>-65.4975</v>
      </c>
      <c r="U882" s="21" t="n">
        <f aca="false">P882-R882-S882-T882</f>
        <v>-542.4045</v>
      </c>
      <c r="V882" s="19" t="n">
        <f aca="false">IFERROR(U882/P882,0)</f>
        <v>0.248439024390244</v>
      </c>
      <c r="W882" s="48" t="n">
        <f aca="false">B882+INDEX(Parametros!$C$13:$C$16,MATCH($F882,Parametros!$A$13:$A$16,0))</f>
        <v>46024</v>
      </c>
      <c r="X882" s="31" t="s">
        <v>67</v>
      </c>
      <c r="Y882" s="53" t="n">
        <f aca="false">IF(COUNTIF($A$2:$A882,A882)=1,1,0)</f>
        <v>1</v>
      </c>
    </row>
    <row r="883" customFormat="false" ht="15" hidden="false" customHeight="false" outlineLevel="0" collapsed="false">
      <c r="A883" s="31" t="s">
        <v>720</v>
      </c>
      <c r="B883" s="36" t="n">
        <v>45964</v>
      </c>
      <c r="C883" s="49" t="n">
        <f aca="false">DATE(YEAR(B883),MONTH(B883),1)</f>
        <v>45962</v>
      </c>
      <c r="D883" s="31" t="s">
        <v>205</v>
      </c>
      <c r="E883" s="31" t="s">
        <v>41</v>
      </c>
      <c r="F883" s="31" t="s">
        <v>45</v>
      </c>
      <c r="G883" s="31" t="s">
        <v>62</v>
      </c>
      <c r="H883" s="31" t="s">
        <v>183</v>
      </c>
      <c r="I883" s="32" t="str">
        <f aca="false">INDEX(Productos!$B$2:$B$13,MATCH($H883,Productos!$A$2:$A$13,0))</f>
        <v>Tornillo estructural M16x90 clase 10.9</v>
      </c>
      <c r="J883" s="32" t="str">
        <f aca="false">INDEX(Productos!$C$2:$C$13,MATCH($H883,Productos!$A$2:$A$13,0))</f>
        <v>Especial</v>
      </c>
      <c r="K883" s="31" t="s">
        <v>246</v>
      </c>
      <c r="L883" s="46" t="n">
        <v>48</v>
      </c>
      <c r="M883" s="50" t="n">
        <f aca="false">INDEX(Productos!$F$2:$F$13,MATCH($H883,Productos!$A$2:$A$13,0))</f>
        <v>112</v>
      </c>
      <c r="N883" s="51" t="n">
        <v>0.175</v>
      </c>
      <c r="O883" s="52" t="n">
        <f aca="false">M883*(1-N883)</f>
        <v>92.4</v>
      </c>
      <c r="P883" s="21" t="n">
        <f aca="false">L883*O883</f>
        <v>4435.2</v>
      </c>
      <c r="Q883" s="50" t="n">
        <f aca="false">INDEX(Productos!$E$2:$E$13,MATCH($H883,Productos!$A$2:$A$13,0))*INDEX(Parametros!$B$26:$B$43,MATCH($C883,Parametros!$A$26:$A$43,0))</f>
        <v>61.2</v>
      </c>
      <c r="R883" s="21" t="n">
        <f aca="false">L883*Q883</f>
        <v>2937.6</v>
      </c>
      <c r="S883" s="18" t="n">
        <f aca="false">L883*INDEX(Parametros!$B$20:$B$22,MATCH($E883,Parametros!$A$20:$A$22,0))</f>
        <v>40.8</v>
      </c>
      <c r="T883" s="18" t="n">
        <f aca="false">P883*INDEX(Parametros!$B$13:$B$16,MATCH($F883,Parametros!$A$13:$A$16,0))</f>
        <v>133.056</v>
      </c>
      <c r="U883" s="21" t="n">
        <f aca="false">P883-R883-S883-T883</f>
        <v>1323.744</v>
      </c>
      <c r="V883" s="19" t="n">
        <f aca="false">IFERROR(U883/P883,0)</f>
        <v>0.298463203463203</v>
      </c>
      <c r="W883" s="48" t="n">
        <f aca="false">B883+INDEX(Parametros!$C$13:$C$16,MATCH($F883,Parametros!$A$13:$A$16,0))</f>
        <v>46024</v>
      </c>
      <c r="X883" s="31" t="s">
        <v>67</v>
      </c>
      <c r="Y883" s="53" t="n">
        <f aca="false">IF(COUNTIF($A$2:$A883,A883)=1,1,0)</f>
        <v>1</v>
      </c>
    </row>
    <row r="884" customFormat="false" ht="15" hidden="false" customHeight="false" outlineLevel="0" collapsed="false">
      <c r="A884" s="31" t="s">
        <v>720</v>
      </c>
      <c r="B884" s="36" t="n">
        <v>45964</v>
      </c>
      <c r="C884" s="49" t="n">
        <f aca="false">DATE(YEAR(B884),MONTH(B884),1)</f>
        <v>45962</v>
      </c>
      <c r="D884" s="31" t="s">
        <v>205</v>
      </c>
      <c r="E884" s="31" t="s">
        <v>41</v>
      </c>
      <c r="F884" s="31" t="s">
        <v>45</v>
      </c>
      <c r="G884" s="31" t="s">
        <v>62</v>
      </c>
      <c r="H884" s="31" t="s">
        <v>179</v>
      </c>
      <c r="I884" s="32" t="str">
        <f aca="false">INDEX(Productos!$B$2:$B$13,MATCH($H884,Productos!$A$2:$A$13,0))</f>
        <v>Autotaladrante DIN 7504 4,8x38 zincado</v>
      </c>
      <c r="J884" s="32" t="str">
        <f aca="false">INDEX(Productos!$C$2:$C$13,MATCH($H884,Productos!$A$2:$A$13,0))</f>
        <v>Autotaladrante</v>
      </c>
      <c r="K884" s="31" t="s">
        <v>246</v>
      </c>
      <c r="L884" s="46" t="n">
        <v>60</v>
      </c>
      <c r="M884" s="50" t="n">
        <f aca="false">INDEX(Productos!$F$2:$F$13,MATCH($H884,Productos!$A$2:$A$13,0))</f>
        <v>29.5</v>
      </c>
      <c r="N884" s="51" t="n">
        <v>0.213</v>
      </c>
      <c r="O884" s="52" t="n">
        <f aca="false">M884*(1-N884)</f>
        <v>23.2165</v>
      </c>
      <c r="P884" s="21" t="n">
        <f aca="false">L884*O884</f>
        <v>1392.99</v>
      </c>
      <c r="Q884" s="50" t="n">
        <f aca="false">INDEX(Productos!$E$2:$E$13,MATCH($H884,Productos!$A$2:$A$13,0))*INDEX(Parametros!$B$26:$B$43,MATCH($C884,Parametros!$A$26:$A$43,0))</f>
        <v>15.504</v>
      </c>
      <c r="R884" s="21" t="n">
        <f aca="false">L884*Q884</f>
        <v>930.24</v>
      </c>
      <c r="S884" s="18" t="n">
        <f aca="false">L884*INDEX(Parametros!$B$20:$B$22,MATCH($E884,Parametros!$A$20:$A$22,0))</f>
        <v>51</v>
      </c>
      <c r="T884" s="18" t="n">
        <f aca="false">P884*INDEX(Parametros!$B$13:$B$16,MATCH($F884,Parametros!$A$13:$A$16,0))</f>
        <v>41.7897</v>
      </c>
      <c r="U884" s="21" t="n">
        <f aca="false">P884-R884-S884-T884</f>
        <v>369.9603</v>
      </c>
      <c r="V884" s="19" t="n">
        <f aca="false">IFERROR(U884/P884,0)</f>
        <v>0.26558719014494</v>
      </c>
      <c r="W884" s="48" t="n">
        <f aca="false">B884+INDEX(Parametros!$C$13:$C$16,MATCH($F884,Parametros!$A$13:$A$16,0))</f>
        <v>46024</v>
      </c>
      <c r="X884" s="31" t="s">
        <v>67</v>
      </c>
      <c r="Y884" s="53" t="n">
        <f aca="false">IF(COUNTIF($A$2:$A884,A884)=1,1,0)</f>
        <v>0</v>
      </c>
    </row>
    <row r="885" customFormat="false" ht="15" hidden="false" customHeight="false" outlineLevel="0" collapsed="false">
      <c r="A885" s="31" t="s">
        <v>721</v>
      </c>
      <c r="B885" s="36" t="n">
        <v>45964</v>
      </c>
      <c r="C885" s="49" t="n">
        <f aca="false">DATE(YEAR(B885),MONTH(B885),1)</f>
        <v>45962</v>
      </c>
      <c r="D885" s="31" t="s">
        <v>195</v>
      </c>
      <c r="E885" s="31" t="s">
        <v>41</v>
      </c>
      <c r="F885" s="31" t="s">
        <v>45</v>
      </c>
      <c r="G885" s="31" t="s">
        <v>58</v>
      </c>
      <c r="H885" s="31" t="s">
        <v>179</v>
      </c>
      <c r="I885" s="32" t="str">
        <f aca="false">INDEX(Productos!$B$2:$B$13,MATCH($H885,Productos!$A$2:$A$13,0))</f>
        <v>Autotaladrante DIN 7504 4,8x38 zincado</v>
      </c>
      <c r="J885" s="32" t="str">
        <f aca="false">INDEX(Productos!$C$2:$C$13,MATCH($H885,Productos!$A$2:$A$13,0))</f>
        <v>Autotaladrante</v>
      </c>
      <c r="K885" s="31" t="s">
        <v>246</v>
      </c>
      <c r="L885" s="46" t="n">
        <v>74</v>
      </c>
      <c r="M885" s="50" t="n">
        <f aca="false">INDEX(Productos!$F$2:$F$13,MATCH($H885,Productos!$A$2:$A$13,0))</f>
        <v>29.5</v>
      </c>
      <c r="N885" s="51" t="n">
        <v>0.203</v>
      </c>
      <c r="O885" s="52" t="n">
        <f aca="false">M885*(1-N885)</f>
        <v>23.5115</v>
      </c>
      <c r="P885" s="21" t="n">
        <f aca="false">L885*O885</f>
        <v>1739.851</v>
      </c>
      <c r="Q885" s="50" t="n">
        <f aca="false">INDEX(Productos!$E$2:$E$13,MATCH($H885,Productos!$A$2:$A$13,0))*INDEX(Parametros!$B$26:$B$43,MATCH($C885,Parametros!$A$26:$A$43,0))</f>
        <v>15.504</v>
      </c>
      <c r="R885" s="21" t="n">
        <f aca="false">L885*Q885</f>
        <v>1147.296</v>
      </c>
      <c r="S885" s="18" t="n">
        <f aca="false">L885*INDEX(Parametros!$B$20:$B$22,MATCH($E885,Parametros!$A$20:$A$22,0))</f>
        <v>62.9</v>
      </c>
      <c r="T885" s="18" t="n">
        <f aca="false">P885*INDEX(Parametros!$B$13:$B$16,MATCH($F885,Parametros!$A$13:$A$16,0))</f>
        <v>52.19553</v>
      </c>
      <c r="U885" s="21" t="n">
        <f aca="false">P885-R885-S885-T885</f>
        <v>477.45947</v>
      </c>
      <c r="V885" s="19" t="n">
        <f aca="false">IFERROR(U885/P885,0)</f>
        <v>0.274425493907237</v>
      </c>
      <c r="W885" s="48" t="n">
        <f aca="false">B885+INDEX(Parametros!$C$13:$C$16,MATCH($F885,Parametros!$A$13:$A$16,0))</f>
        <v>46024</v>
      </c>
      <c r="X885" s="31" t="s">
        <v>67</v>
      </c>
      <c r="Y885" s="53" t="n">
        <f aca="false">IF(COUNTIF($A$2:$A885,A885)=1,1,0)</f>
        <v>1</v>
      </c>
    </row>
    <row r="886" customFormat="false" ht="15" hidden="false" customHeight="false" outlineLevel="0" collapsed="false">
      <c r="A886" s="31" t="s">
        <v>721</v>
      </c>
      <c r="B886" s="36" t="n">
        <v>45964</v>
      </c>
      <c r="C886" s="49" t="n">
        <f aca="false">DATE(YEAR(B886),MONTH(B886),1)</f>
        <v>45962</v>
      </c>
      <c r="D886" s="31" t="s">
        <v>195</v>
      </c>
      <c r="E886" s="31" t="s">
        <v>41</v>
      </c>
      <c r="F886" s="31" t="s">
        <v>45</v>
      </c>
      <c r="G886" s="31" t="s">
        <v>58</v>
      </c>
      <c r="H886" s="31" t="s">
        <v>183</v>
      </c>
      <c r="I886" s="32" t="str">
        <f aca="false">INDEX(Productos!$B$2:$B$13,MATCH($H886,Productos!$A$2:$A$13,0))</f>
        <v>Tornillo estructural M16x90 clase 10.9</v>
      </c>
      <c r="J886" s="32" t="str">
        <f aca="false">INDEX(Productos!$C$2:$C$13,MATCH($H886,Productos!$A$2:$A$13,0))</f>
        <v>Especial</v>
      </c>
      <c r="K886" s="31" t="s">
        <v>246</v>
      </c>
      <c r="L886" s="46" t="n">
        <v>109</v>
      </c>
      <c r="M886" s="50" t="n">
        <f aca="false">INDEX(Productos!$F$2:$F$13,MATCH($H886,Productos!$A$2:$A$13,0))</f>
        <v>112</v>
      </c>
      <c r="N886" s="51" t="n">
        <v>0.143</v>
      </c>
      <c r="O886" s="52" t="n">
        <f aca="false">M886*(1-N886)</f>
        <v>95.984</v>
      </c>
      <c r="P886" s="21" t="n">
        <f aca="false">L886*O886</f>
        <v>10462.256</v>
      </c>
      <c r="Q886" s="50" t="n">
        <f aca="false">INDEX(Productos!$E$2:$E$13,MATCH($H886,Productos!$A$2:$A$13,0))*INDEX(Parametros!$B$26:$B$43,MATCH($C886,Parametros!$A$26:$A$43,0))</f>
        <v>61.2</v>
      </c>
      <c r="R886" s="21" t="n">
        <f aca="false">L886*Q886</f>
        <v>6670.8</v>
      </c>
      <c r="S886" s="18" t="n">
        <f aca="false">L886*INDEX(Parametros!$B$20:$B$22,MATCH($E886,Parametros!$A$20:$A$22,0))</f>
        <v>92.65</v>
      </c>
      <c r="T886" s="18" t="n">
        <f aca="false">P886*INDEX(Parametros!$B$13:$B$16,MATCH($F886,Parametros!$A$13:$A$16,0))</f>
        <v>313.86768</v>
      </c>
      <c r="U886" s="21" t="n">
        <f aca="false">P886-R886-S886-T886</f>
        <v>3384.93832</v>
      </c>
      <c r="V886" s="19" t="n">
        <f aca="false">IFERROR(U886/P886,0)</f>
        <v>0.323538089681614</v>
      </c>
      <c r="W886" s="48" t="n">
        <f aca="false">B886+INDEX(Parametros!$C$13:$C$16,MATCH($F886,Parametros!$A$13:$A$16,0))</f>
        <v>46024</v>
      </c>
      <c r="X886" s="31" t="s">
        <v>67</v>
      </c>
      <c r="Y886" s="53" t="n">
        <f aca="false">IF(COUNTIF($A$2:$A886,A886)=1,1,0)</f>
        <v>0</v>
      </c>
    </row>
    <row r="887" customFormat="false" ht="15" hidden="false" customHeight="false" outlineLevel="0" collapsed="false">
      <c r="A887" s="31" t="s">
        <v>722</v>
      </c>
      <c r="B887" s="36" t="n">
        <v>45964</v>
      </c>
      <c r="C887" s="49" t="n">
        <f aca="false">DATE(YEAR(B887),MONTH(B887),1)</f>
        <v>45962</v>
      </c>
      <c r="D887" s="31" t="s">
        <v>218</v>
      </c>
      <c r="E887" s="31" t="s">
        <v>42</v>
      </c>
      <c r="F887" s="31" t="s">
        <v>45</v>
      </c>
      <c r="G887" s="31" t="s">
        <v>61</v>
      </c>
      <c r="H887" s="31" t="s">
        <v>181</v>
      </c>
      <c r="I887" s="32" t="str">
        <f aca="false">INDEX(Productos!$B$2:$B$13,MATCH($H887,Productos!$A$2:$A$13,0))</f>
        <v>Autotaladrante 5,5x55 punta broca</v>
      </c>
      <c r="J887" s="32" t="str">
        <f aca="false">INDEX(Productos!$C$2:$C$13,MATCH($H887,Productos!$A$2:$A$13,0))</f>
        <v>Autotaladrante</v>
      </c>
      <c r="K887" s="31" t="s">
        <v>246</v>
      </c>
      <c r="L887" s="46" t="n">
        <v>251</v>
      </c>
      <c r="M887" s="50" t="n">
        <f aca="false">INDEX(Productos!$F$2:$F$13,MATCH($H887,Productos!$A$2:$A$13,0))</f>
        <v>39</v>
      </c>
      <c r="N887" s="51" t="n">
        <v>0.15</v>
      </c>
      <c r="O887" s="52" t="n">
        <f aca="false">M887*(1-N887)</f>
        <v>33.15</v>
      </c>
      <c r="P887" s="21" t="n">
        <f aca="false">L887*O887</f>
        <v>8320.65</v>
      </c>
      <c r="Q887" s="50" t="n">
        <f aca="false">INDEX(Productos!$E$2:$E$13,MATCH($H887,Productos!$A$2:$A$13,0))*INDEX(Parametros!$B$26:$B$43,MATCH($C887,Parametros!$A$26:$A$43,0))</f>
        <v>20.706</v>
      </c>
      <c r="R887" s="21" t="n">
        <f aca="false">L887*Q887</f>
        <v>5197.206</v>
      </c>
      <c r="S887" s="18" t="n">
        <f aca="false">L887*INDEX(Parametros!$B$20:$B$22,MATCH($E887,Parametros!$A$20:$A$22,0))</f>
        <v>602.4</v>
      </c>
      <c r="T887" s="18" t="n">
        <f aca="false">P887*INDEX(Parametros!$B$13:$B$16,MATCH($F887,Parametros!$A$13:$A$16,0))</f>
        <v>249.6195</v>
      </c>
      <c r="U887" s="21" t="n">
        <f aca="false">P887-R887-S887-T887</f>
        <v>2271.4245</v>
      </c>
      <c r="V887" s="19" t="n">
        <f aca="false">IFERROR(U887/P887,0)</f>
        <v>0.272986425339366</v>
      </c>
      <c r="W887" s="48" t="n">
        <f aca="false">B887+INDEX(Parametros!$C$13:$C$16,MATCH($F887,Parametros!$A$13:$A$16,0))</f>
        <v>46024</v>
      </c>
      <c r="X887" s="31" t="s">
        <v>67</v>
      </c>
      <c r="Y887" s="53" t="n">
        <f aca="false">IF(COUNTIF($A$2:$A887,A887)=1,1,0)</f>
        <v>1</v>
      </c>
    </row>
    <row r="888" customFormat="false" ht="15" hidden="false" customHeight="false" outlineLevel="0" collapsed="false">
      <c r="A888" s="31" t="s">
        <v>723</v>
      </c>
      <c r="B888" s="36" t="n">
        <v>45964</v>
      </c>
      <c r="C888" s="49" t="n">
        <f aca="false">DATE(YEAR(B888),MONTH(B888),1)</f>
        <v>45962</v>
      </c>
      <c r="D888" s="31" t="s">
        <v>208</v>
      </c>
      <c r="E888" s="31" t="s">
        <v>41</v>
      </c>
      <c r="F888" s="31" t="s">
        <v>46</v>
      </c>
      <c r="G888" s="31" t="s">
        <v>58</v>
      </c>
      <c r="H888" s="31" t="s">
        <v>171</v>
      </c>
      <c r="I888" s="32" t="str">
        <f aca="false">INDEX(Productos!$B$2:$B$13,MATCH($H888,Productos!$A$2:$A$13,0))</f>
        <v>Tornillo DIN 7991 M8x30 avellanado inox A2</v>
      </c>
      <c r="J888" s="32" t="str">
        <f aca="false">INDEX(Productos!$C$2:$C$13,MATCH($H888,Productos!$A$2:$A$13,0))</f>
        <v>Inoxidable</v>
      </c>
      <c r="K888" s="31" t="s">
        <v>246</v>
      </c>
      <c r="L888" s="46" t="n">
        <v>118</v>
      </c>
      <c r="M888" s="50" t="n">
        <f aca="false">INDEX(Productos!$F$2:$F$13,MATCH($H888,Productos!$A$2:$A$13,0))</f>
        <v>88</v>
      </c>
      <c r="N888" s="51" t="n">
        <v>0.112</v>
      </c>
      <c r="O888" s="52" t="n">
        <f aca="false">M888*(1-N888)</f>
        <v>78.144</v>
      </c>
      <c r="P888" s="21" t="n">
        <f aca="false">L888*O888</f>
        <v>9220.992</v>
      </c>
      <c r="Q888" s="50" t="n">
        <f aca="false">INDEX(Productos!$E$2:$E$13,MATCH($H888,Productos!$A$2:$A$13,0))*INDEX(Parametros!$B$26:$B$43,MATCH($C888,Parametros!$A$26:$A$43,0))</f>
        <v>47.43</v>
      </c>
      <c r="R888" s="21" t="n">
        <f aca="false">L888*Q888</f>
        <v>5596.74</v>
      </c>
      <c r="S888" s="18" t="n">
        <f aca="false">L888*INDEX(Parametros!$B$20:$B$22,MATCH($E888,Parametros!$A$20:$A$22,0))</f>
        <v>100.3</v>
      </c>
      <c r="T888" s="18" t="n">
        <f aca="false">P888*INDEX(Parametros!$B$13:$B$16,MATCH($F888,Parametros!$A$13:$A$16,0))</f>
        <v>368.83968</v>
      </c>
      <c r="U888" s="21" t="n">
        <f aca="false">P888-R888-S888-T888</f>
        <v>3155.11232</v>
      </c>
      <c r="V888" s="19" t="n">
        <f aca="false">IFERROR(U888/P888,0)</f>
        <v>0.342166257166257</v>
      </c>
      <c r="W888" s="48" t="n">
        <f aca="false">B888+INDEX(Parametros!$C$13:$C$16,MATCH($F888,Parametros!$A$13:$A$16,0))</f>
        <v>46039</v>
      </c>
      <c r="X888" s="31" t="s">
        <v>67</v>
      </c>
      <c r="Y888" s="53" t="n">
        <f aca="false">IF(COUNTIF($A$2:$A888,A888)=1,1,0)</f>
        <v>1</v>
      </c>
    </row>
    <row r="889" customFormat="false" ht="15" hidden="false" customHeight="false" outlineLevel="0" collapsed="false">
      <c r="A889" s="31" t="s">
        <v>723</v>
      </c>
      <c r="B889" s="36" t="n">
        <v>45964</v>
      </c>
      <c r="C889" s="49" t="n">
        <f aca="false">DATE(YEAR(B889),MONTH(B889),1)</f>
        <v>45962</v>
      </c>
      <c r="D889" s="31" t="s">
        <v>208</v>
      </c>
      <c r="E889" s="31" t="s">
        <v>41</v>
      </c>
      <c r="F889" s="31" t="s">
        <v>46</v>
      </c>
      <c r="G889" s="31" t="s">
        <v>58</v>
      </c>
      <c r="H889" s="31" t="s">
        <v>181</v>
      </c>
      <c r="I889" s="32" t="str">
        <f aca="false">INDEX(Productos!$B$2:$B$13,MATCH($H889,Productos!$A$2:$A$13,0))</f>
        <v>Autotaladrante 5,5x55 punta broca</v>
      </c>
      <c r="J889" s="32" t="str">
        <f aca="false">INDEX(Productos!$C$2:$C$13,MATCH($H889,Productos!$A$2:$A$13,0))</f>
        <v>Autotaladrante</v>
      </c>
      <c r="K889" s="31" t="s">
        <v>246</v>
      </c>
      <c r="L889" s="46" t="n">
        <v>23</v>
      </c>
      <c r="M889" s="50" t="n">
        <f aca="false">INDEX(Productos!$F$2:$F$13,MATCH($H889,Productos!$A$2:$A$13,0))</f>
        <v>39</v>
      </c>
      <c r="N889" s="51" t="n">
        <v>0.092</v>
      </c>
      <c r="O889" s="52" t="n">
        <f aca="false">M889*(1-N889)</f>
        <v>35.412</v>
      </c>
      <c r="P889" s="21" t="n">
        <f aca="false">L889*O889</f>
        <v>814.476</v>
      </c>
      <c r="Q889" s="50" t="n">
        <f aca="false">INDEX(Productos!$E$2:$E$13,MATCH($H889,Productos!$A$2:$A$13,0))*INDEX(Parametros!$B$26:$B$43,MATCH($C889,Parametros!$A$26:$A$43,0))</f>
        <v>20.706</v>
      </c>
      <c r="R889" s="21" t="n">
        <f aca="false">L889*Q889</f>
        <v>476.238</v>
      </c>
      <c r="S889" s="18" t="n">
        <f aca="false">L889*INDEX(Parametros!$B$20:$B$22,MATCH($E889,Parametros!$A$20:$A$22,0))</f>
        <v>19.55</v>
      </c>
      <c r="T889" s="18" t="n">
        <f aca="false">P889*INDEX(Parametros!$B$13:$B$16,MATCH($F889,Parametros!$A$13:$A$16,0))</f>
        <v>32.57904</v>
      </c>
      <c r="U889" s="21" t="n">
        <f aca="false">P889-R889-S889-T889</f>
        <v>286.10896</v>
      </c>
      <c r="V889" s="19" t="n">
        <f aca="false">IFERROR(U889/P889,0)</f>
        <v>0.351279792160849</v>
      </c>
      <c r="W889" s="48" t="n">
        <f aca="false">B889+INDEX(Parametros!$C$13:$C$16,MATCH($F889,Parametros!$A$13:$A$16,0))</f>
        <v>46039</v>
      </c>
      <c r="X889" s="31" t="s">
        <v>67</v>
      </c>
      <c r="Y889" s="53" t="n">
        <f aca="false">IF(COUNTIF($A$2:$A889,A889)=1,1,0)</f>
        <v>0</v>
      </c>
    </row>
    <row r="890" customFormat="false" ht="15" hidden="false" customHeight="false" outlineLevel="0" collapsed="false">
      <c r="A890" s="31" t="s">
        <v>723</v>
      </c>
      <c r="B890" s="36" t="n">
        <v>45964</v>
      </c>
      <c r="C890" s="49" t="n">
        <f aca="false">DATE(YEAR(B890),MONTH(B890),1)</f>
        <v>45962</v>
      </c>
      <c r="D890" s="31" t="s">
        <v>208</v>
      </c>
      <c r="E890" s="31" t="s">
        <v>41</v>
      </c>
      <c r="F890" s="31" t="s">
        <v>46</v>
      </c>
      <c r="G890" s="31" t="s">
        <v>58</v>
      </c>
      <c r="H890" s="31" t="s">
        <v>179</v>
      </c>
      <c r="I890" s="32" t="str">
        <f aca="false">INDEX(Productos!$B$2:$B$13,MATCH($H890,Productos!$A$2:$A$13,0))</f>
        <v>Autotaladrante DIN 7504 4,8x38 zincado</v>
      </c>
      <c r="J890" s="32" t="str">
        <f aca="false">INDEX(Productos!$C$2:$C$13,MATCH($H890,Productos!$A$2:$A$13,0))</f>
        <v>Autotaladrante</v>
      </c>
      <c r="K890" s="31" t="s">
        <v>246</v>
      </c>
      <c r="L890" s="46" t="n">
        <v>76</v>
      </c>
      <c r="M890" s="50" t="n">
        <f aca="false">INDEX(Productos!$F$2:$F$13,MATCH($H890,Productos!$A$2:$A$13,0))</f>
        <v>29.5</v>
      </c>
      <c r="N890" s="51" t="n">
        <v>0.152</v>
      </c>
      <c r="O890" s="52" t="n">
        <f aca="false">M890*(1-N890)</f>
        <v>25.016</v>
      </c>
      <c r="P890" s="21" t="n">
        <f aca="false">L890*O890</f>
        <v>1901.216</v>
      </c>
      <c r="Q890" s="50" t="n">
        <f aca="false">INDEX(Productos!$E$2:$E$13,MATCH($H890,Productos!$A$2:$A$13,0))*INDEX(Parametros!$B$26:$B$43,MATCH($C890,Parametros!$A$26:$A$43,0))</f>
        <v>15.504</v>
      </c>
      <c r="R890" s="21" t="n">
        <f aca="false">L890*Q890</f>
        <v>1178.304</v>
      </c>
      <c r="S890" s="18" t="n">
        <f aca="false">L890*INDEX(Parametros!$B$20:$B$22,MATCH($E890,Parametros!$A$20:$A$22,0))</f>
        <v>64.6</v>
      </c>
      <c r="T890" s="18" t="n">
        <f aca="false">P890*INDEX(Parametros!$B$13:$B$16,MATCH($F890,Parametros!$A$13:$A$16,0))</f>
        <v>76.04864</v>
      </c>
      <c r="U890" s="21" t="n">
        <f aca="false">P890-R890-S890-T890</f>
        <v>582.26336</v>
      </c>
      <c r="V890" s="19" t="n">
        <f aca="false">IFERROR(U890/P890,0)</f>
        <v>0.306258394627439</v>
      </c>
      <c r="W890" s="48" t="n">
        <f aca="false">B890+INDEX(Parametros!$C$13:$C$16,MATCH($F890,Parametros!$A$13:$A$16,0))</f>
        <v>46039</v>
      </c>
      <c r="X890" s="31" t="s">
        <v>67</v>
      </c>
      <c r="Y890" s="53" t="n">
        <f aca="false">IF(COUNTIF($A$2:$A890,A890)=1,1,0)</f>
        <v>0</v>
      </c>
    </row>
    <row r="891" customFormat="false" ht="15" hidden="false" customHeight="false" outlineLevel="0" collapsed="false">
      <c r="A891" s="31" t="s">
        <v>724</v>
      </c>
      <c r="B891" s="36" t="n">
        <v>45964</v>
      </c>
      <c r="C891" s="49" t="n">
        <f aca="false">DATE(YEAR(B891),MONTH(B891),1)</f>
        <v>45962</v>
      </c>
      <c r="D891" s="31" t="s">
        <v>218</v>
      </c>
      <c r="E891" s="31" t="s">
        <v>42</v>
      </c>
      <c r="F891" s="31" t="s">
        <v>45</v>
      </c>
      <c r="G891" s="31" t="s">
        <v>61</v>
      </c>
      <c r="H891" s="31" t="s">
        <v>183</v>
      </c>
      <c r="I891" s="32" t="str">
        <f aca="false">INDEX(Productos!$B$2:$B$13,MATCH($H891,Productos!$A$2:$A$13,0))</f>
        <v>Tornillo estructural M16x90 clase 10.9</v>
      </c>
      <c r="J891" s="32" t="str">
        <f aca="false">INDEX(Productos!$C$2:$C$13,MATCH($H891,Productos!$A$2:$A$13,0))</f>
        <v>Especial</v>
      </c>
      <c r="K891" s="31" t="s">
        <v>246</v>
      </c>
      <c r="L891" s="46" t="n">
        <v>176</v>
      </c>
      <c r="M891" s="50" t="n">
        <f aca="false">INDEX(Productos!$F$2:$F$13,MATCH($H891,Productos!$A$2:$A$13,0))</f>
        <v>112</v>
      </c>
      <c r="N891" s="51" t="n">
        <v>0.216</v>
      </c>
      <c r="O891" s="52" t="n">
        <f aca="false">M891*(1-N891)</f>
        <v>87.808</v>
      </c>
      <c r="P891" s="21" t="n">
        <f aca="false">L891*O891</f>
        <v>15454.208</v>
      </c>
      <c r="Q891" s="50" t="n">
        <f aca="false">INDEX(Productos!$E$2:$E$13,MATCH($H891,Productos!$A$2:$A$13,0))*INDEX(Parametros!$B$26:$B$43,MATCH($C891,Parametros!$A$26:$A$43,0))</f>
        <v>61.2</v>
      </c>
      <c r="R891" s="21" t="n">
        <f aca="false">L891*Q891</f>
        <v>10771.2</v>
      </c>
      <c r="S891" s="18" t="n">
        <f aca="false">L891*INDEX(Parametros!$B$20:$B$22,MATCH($E891,Parametros!$A$20:$A$22,0))</f>
        <v>422.4</v>
      </c>
      <c r="T891" s="18" t="n">
        <f aca="false">P891*INDEX(Parametros!$B$13:$B$16,MATCH($F891,Parametros!$A$13:$A$16,0))</f>
        <v>463.62624</v>
      </c>
      <c r="U891" s="21" t="n">
        <f aca="false">P891-R891-S891-T891</f>
        <v>3796.98176</v>
      </c>
      <c r="V891" s="19" t="n">
        <f aca="false">IFERROR(U891/P891,0)</f>
        <v>0.245692419825073</v>
      </c>
      <c r="W891" s="48" t="n">
        <f aca="false">B891+INDEX(Parametros!$C$13:$C$16,MATCH($F891,Parametros!$A$13:$A$16,0))</f>
        <v>46024</v>
      </c>
      <c r="X891" s="31" t="s">
        <v>67</v>
      </c>
      <c r="Y891" s="53" t="n">
        <f aca="false">IF(COUNTIF($A$2:$A891,A891)=1,1,0)</f>
        <v>1</v>
      </c>
    </row>
    <row r="892" customFormat="false" ht="15" hidden="false" customHeight="false" outlineLevel="0" collapsed="false">
      <c r="A892" s="31" t="s">
        <v>724</v>
      </c>
      <c r="B892" s="36" t="n">
        <v>45964</v>
      </c>
      <c r="C892" s="49" t="n">
        <f aca="false">DATE(YEAR(B892),MONTH(B892),1)</f>
        <v>45962</v>
      </c>
      <c r="D892" s="31" t="s">
        <v>218</v>
      </c>
      <c r="E892" s="31" t="s">
        <v>42</v>
      </c>
      <c r="F892" s="31" t="s">
        <v>45</v>
      </c>
      <c r="G892" s="31" t="s">
        <v>61</v>
      </c>
      <c r="H892" s="31" t="s">
        <v>167</v>
      </c>
      <c r="I892" s="32" t="str">
        <f aca="false">INDEX(Productos!$B$2:$B$13,MATCH($H892,Productos!$A$2:$A$13,0))</f>
        <v>Tornillo DIN 912 M6x25 Allen zincado</v>
      </c>
      <c r="J892" s="32" t="str">
        <f aca="false">INDEX(Productos!$C$2:$C$13,MATCH($H892,Productos!$A$2:$A$13,0))</f>
        <v>Métrica</v>
      </c>
      <c r="K892" s="31" t="s">
        <v>246</v>
      </c>
      <c r="L892" s="46" t="n">
        <v>289</v>
      </c>
      <c r="M892" s="50" t="n">
        <f aca="false">INDEX(Productos!$F$2:$F$13,MATCH($H892,Productos!$A$2:$A$13,0))</f>
        <v>42</v>
      </c>
      <c r="N892" s="51" t="n">
        <v>0.197</v>
      </c>
      <c r="O892" s="52" t="n">
        <f aca="false">M892*(1-N892)</f>
        <v>33.726</v>
      </c>
      <c r="P892" s="21" t="n">
        <f aca="false">L892*O892</f>
        <v>9746.814</v>
      </c>
      <c r="Q892" s="50" t="n">
        <f aca="false">INDEX(Productos!$E$2:$E$13,MATCH($H892,Productos!$A$2:$A$13,0))*INDEX(Parametros!$B$26:$B$43,MATCH($C892,Parametros!$A$26:$A$43,0))</f>
        <v>22.236</v>
      </c>
      <c r="R892" s="21" t="n">
        <f aca="false">L892*Q892</f>
        <v>6426.204</v>
      </c>
      <c r="S892" s="18" t="n">
        <f aca="false">L892*INDEX(Parametros!$B$20:$B$22,MATCH($E892,Parametros!$A$20:$A$22,0))</f>
        <v>693.6</v>
      </c>
      <c r="T892" s="18" t="n">
        <f aca="false">P892*INDEX(Parametros!$B$13:$B$16,MATCH($F892,Parametros!$A$13:$A$16,0))</f>
        <v>292.40442</v>
      </c>
      <c r="U892" s="21" t="n">
        <f aca="false">P892-R892-S892-T892</f>
        <v>2334.60558</v>
      </c>
      <c r="V892" s="19" t="n">
        <f aca="false">IFERROR(U892/P892,0)</f>
        <v>0.239524995552393</v>
      </c>
      <c r="W892" s="48" t="n">
        <f aca="false">B892+INDEX(Parametros!$C$13:$C$16,MATCH($F892,Parametros!$A$13:$A$16,0))</f>
        <v>46024</v>
      </c>
      <c r="X892" s="31" t="s">
        <v>67</v>
      </c>
      <c r="Y892" s="53" t="n">
        <f aca="false">IF(COUNTIF($A$2:$A892,A892)=1,1,0)</f>
        <v>0</v>
      </c>
    </row>
    <row r="893" customFormat="false" ht="15" hidden="false" customHeight="false" outlineLevel="0" collapsed="false">
      <c r="A893" s="31" t="s">
        <v>724</v>
      </c>
      <c r="B893" s="36" t="n">
        <v>45964</v>
      </c>
      <c r="C893" s="49" t="n">
        <f aca="false">DATE(YEAR(B893),MONTH(B893),1)</f>
        <v>45962</v>
      </c>
      <c r="D893" s="31" t="s">
        <v>218</v>
      </c>
      <c r="E893" s="31" t="s">
        <v>42</v>
      </c>
      <c r="F893" s="31" t="s">
        <v>45</v>
      </c>
      <c r="G893" s="31" t="s">
        <v>61</v>
      </c>
      <c r="H893" s="31" t="s">
        <v>163</v>
      </c>
      <c r="I893" s="32" t="str">
        <f aca="false">INDEX(Productos!$B$2:$B$13,MATCH($H893,Productos!$A$2:$A$13,0))</f>
        <v>Tornillo DIN 933 M6x30 rosca completa zincado</v>
      </c>
      <c r="J893" s="32" t="str">
        <f aca="false">INDEX(Productos!$C$2:$C$13,MATCH($H893,Productos!$A$2:$A$13,0))</f>
        <v>Métrica</v>
      </c>
      <c r="K893" s="31" t="s">
        <v>246</v>
      </c>
      <c r="L893" s="46" t="n">
        <v>27</v>
      </c>
      <c r="M893" s="50" t="n">
        <f aca="false">INDEX(Productos!$F$2:$F$13,MATCH($H893,Productos!$A$2:$A$13,0))</f>
        <v>32</v>
      </c>
      <c r="N893" s="51" t="n">
        <v>0.184</v>
      </c>
      <c r="O893" s="52" t="n">
        <f aca="false">M893*(1-N893)</f>
        <v>26.112</v>
      </c>
      <c r="P893" s="21" t="n">
        <f aca="false">L893*O893</f>
        <v>705.024</v>
      </c>
      <c r="Q893" s="50" t="n">
        <f aca="false">INDEX(Productos!$E$2:$E$13,MATCH($H893,Productos!$A$2:$A$13,0))*INDEX(Parametros!$B$26:$B$43,MATCH($C893,Parametros!$A$26:$A$43,0))</f>
        <v>16.932</v>
      </c>
      <c r="R893" s="21" t="n">
        <f aca="false">L893*Q893</f>
        <v>457.164</v>
      </c>
      <c r="S893" s="18" t="n">
        <f aca="false">L893*INDEX(Parametros!$B$20:$B$22,MATCH($E893,Parametros!$A$20:$A$22,0))</f>
        <v>64.8</v>
      </c>
      <c r="T893" s="18" t="n">
        <f aca="false">P893*INDEX(Parametros!$B$13:$B$16,MATCH($F893,Parametros!$A$13:$A$16,0))</f>
        <v>21.15072</v>
      </c>
      <c r="U893" s="21" t="n">
        <f aca="false">P893-R893-S893-T893</f>
        <v>161.90928</v>
      </c>
      <c r="V893" s="19" t="n">
        <f aca="false">IFERROR(U893/P893,0)</f>
        <v>0.229650735294118</v>
      </c>
      <c r="W893" s="48" t="n">
        <f aca="false">B893+INDEX(Parametros!$C$13:$C$16,MATCH($F893,Parametros!$A$13:$A$16,0))</f>
        <v>46024</v>
      </c>
      <c r="X893" s="31" t="s">
        <v>67</v>
      </c>
      <c r="Y893" s="53" t="n">
        <f aca="false">IF(COUNTIF($A$2:$A893,A893)=1,1,0)</f>
        <v>0</v>
      </c>
    </row>
    <row r="894" customFormat="false" ht="15" hidden="false" customHeight="false" outlineLevel="0" collapsed="false">
      <c r="A894" s="31" t="s">
        <v>725</v>
      </c>
      <c r="B894" s="36" t="n">
        <v>45964</v>
      </c>
      <c r="C894" s="49" t="n">
        <f aca="false">DATE(YEAR(B894),MONTH(B894),1)</f>
        <v>45962</v>
      </c>
      <c r="D894" s="31" t="s">
        <v>194</v>
      </c>
      <c r="E894" s="31" t="s">
        <v>41</v>
      </c>
      <c r="F894" s="31" t="s">
        <v>46</v>
      </c>
      <c r="G894" s="31" t="s">
        <v>58</v>
      </c>
      <c r="H894" s="31" t="s">
        <v>169</v>
      </c>
      <c r="I894" s="32" t="str">
        <f aca="false">INDEX(Productos!$B$2:$B$13,MATCH($H894,Productos!$A$2:$A$13,0))</f>
        <v>Tornillo DIN 912 M10x60 Allen inox A2</v>
      </c>
      <c r="J894" s="32" t="str">
        <f aca="false">INDEX(Productos!$C$2:$C$13,MATCH($H894,Productos!$A$2:$A$13,0))</f>
        <v>Inoxidable</v>
      </c>
      <c r="K894" s="31" t="s">
        <v>246</v>
      </c>
      <c r="L894" s="46" t="n">
        <v>62</v>
      </c>
      <c r="M894" s="50" t="n">
        <f aca="false">INDEX(Productos!$F$2:$F$13,MATCH($H894,Productos!$A$2:$A$13,0))</f>
        <v>79</v>
      </c>
      <c r="N894" s="51" t="n">
        <v>0.153</v>
      </c>
      <c r="O894" s="52" t="n">
        <f aca="false">M894*(1-N894)</f>
        <v>66.913</v>
      </c>
      <c r="P894" s="21" t="n">
        <f aca="false">L894*O894</f>
        <v>4148.606</v>
      </c>
      <c r="Q894" s="50" t="n">
        <f aca="false">INDEX(Productos!$E$2:$E$13,MATCH($H894,Productos!$A$2:$A$13,0))*INDEX(Parametros!$B$26:$B$43,MATCH($C894,Parametros!$A$26:$A$43,0))</f>
        <v>42.84</v>
      </c>
      <c r="R894" s="21" t="n">
        <f aca="false">L894*Q894</f>
        <v>2656.08</v>
      </c>
      <c r="S894" s="18" t="n">
        <f aca="false">L894*INDEX(Parametros!$B$20:$B$22,MATCH($E894,Parametros!$A$20:$A$22,0))</f>
        <v>52.7</v>
      </c>
      <c r="T894" s="18" t="n">
        <f aca="false">P894*INDEX(Parametros!$B$13:$B$16,MATCH($F894,Parametros!$A$13:$A$16,0))</f>
        <v>165.94424</v>
      </c>
      <c r="U894" s="21" t="n">
        <f aca="false">P894-R894-S894-T894</f>
        <v>1273.88176</v>
      </c>
      <c r="V894" s="19" t="n">
        <f aca="false">IFERROR(U894/P894,0)</f>
        <v>0.307062603679404</v>
      </c>
      <c r="W894" s="48" t="n">
        <f aca="false">B894+INDEX(Parametros!$C$13:$C$16,MATCH($F894,Parametros!$A$13:$A$16,0))</f>
        <v>46039</v>
      </c>
      <c r="X894" s="31" t="s">
        <v>67</v>
      </c>
      <c r="Y894" s="53" t="n">
        <f aca="false">IF(COUNTIF($A$2:$A894,A894)=1,1,0)</f>
        <v>1</v>
      </c>
    </row>
    <row r="895" customFormat="false" ht="15" hidden="false" customHeight="false" outlineLevel="0" collapsed="false">
      <c r="A895" s="31" t="s">
        <v>726</v>
      </c>
      <c r="B895" s="36" t="n">
        <v>45965</v>
      </c>
      <c r="C895" s="49" t="n">
        <f aca="false">DATE(YEAR(B895),MONTH(B895),1)</f>
        <v>45962</v>
      </c>
      <c r="D895" s="31" t="s">
        <v>212</v>
      </c>
      <c r="E895" s="31" t="s">
        <v>42</v>
      </c>
      <c r="F895" s="31" t="s">
        <v>45</v>
      </c>
      <c r="G895" s="31" t="s">
        <v>61</v>
      </c>
      <c r="H895" s="31" t="s">
        <v>171</v>
      </c>
      <c r="I895" s="32" t="str">
        <f aca="false">INDEX(Productos!$B$2:$B$13,MATCH($H895,Productos!$A$2:$A$13,0))</f>
        <v>Tornillo DIN 7991 M8x30 avellanado inox A2</v>
      </c>
      <c r="J895" s="32" t="str">
        <f aca="false">INDEX(Productos!$C$2:$C$13,MATCH($H895,Productos!$A$2:$A$13,0))</f>
        <v>Inoxidable</v>
      </c>
      <c r="K895" s="31" t="s">
        <v>246</v>
      </c>
      <c r="L895" s="46" t="n">
        <v>320</v>
      </c>
      <c r="M895" s="50" t="n">
        <f aca="false">INDEX(Productos!$F$2:$F$13,MATCH($H895,Productos!$A$2:$A$13,0))</f>
        <v>88</v>
      </c>
      <c r="N895" s="51" t="n">
        <v>0.193</v>
      </c>
      <c r="O895" s="52" t="n">
        <f aca="false">M895*(1-N895)</f>
        <v>71.016</v>
      </c>
      <c r="P895" s="21" t="n">
        <f aca="false">L895*O895</f>
        <v>22725.12</v>
      </c>
      <c r="Q895" s="50" t="n">
        <f aca="false">INDEX(Productos!$E$2:$E$13,MATCH($H895,Productos!$A$2:$A$13,0))*INDEX(Parametros!$B$26:$B$43,MATCH($C895,Parametros!$A$26:$A$43,0))</f>
        <v>47.43</v>
      </c>
      <c r="R895" s="21" t="n">
        <f aca="false">L895*Q895</f>
        <v>15177.6</v>
      </c>
      <c r="S895" s="18" t="n">
        <f aca="false">L895*INDEX(Parametros!$B$20:$B$22,MATCH($E895,Parametros!$A$20:$A$22,0))</f>
        <v>768</v>
      </c>
      <c r="T895" s="18" t="n">
        <f aca="false">P895*INDEX(Parametros!$B$13:$B$16,MATCH($F895,Parametros!$A$13:$A$16,0))</f>
        <v>681.7536</v>
      </c>
      <c r="U895" s="21" t="n">
        <f aca="false">P895-R895-S895-T895</f>
        <v>6097.7664</v>
      </c>
      <c r="V895" s="19" t="n">
        <f aca="false">IFERROR(U895/P895,0)</f>
        <v>0.268327137546468</v>
      </c>
      <c r="W895" s="48" t="n">
        <f aca="false">B895+INDEX(Parametros!$C$13:$C$16,MATCH($F895,Parametros!$A$13:$A$16,0))</f>
        <v>46025</v>
      </c>
      <c r="X895" s="31" t="s">
        <v>67</v>
      </c>
      <c r="Y895" s="53" t="n">
        <f aca="false">IF(COUNTIF($A$2:$A895,A895)=1,1,0)</f>
        <v>1</v>
      </c>
    </row>
    <row r="896" customFormat="false" ht="15" hidden="false" customHeight="false" outlineLevel="0" collapsed="false">
      <c r="A896" s="31" t="s">
        <v>726</v>
      </c>
      <c r="B896" s="36" t="n">
        <v>45965</v>
      </c>
      <c r="C896" s="49" t="n">
        <f aca="false">DATE(YEAR(B896),MONTH(B896),1)</f>
        <v>45962</v>
      </c>
      <c r="D896" s="31" t="s">
        <v>212</v>
      </c>
      <c r="E896" s="31" t="s">
        <v>42</v>
      </c>
      <c r="F896" s="31" t="s">
        <v>45</v>
      </c>
      <c r="G896" s="31" t="s">
        <v>61</v>
      </c>
      <c r="H896" s="31" t="s">
        <v>163</v>
      </c>
      <c r="I896" s="32" t="str">
        <f aca="false">INDEX(Productos!$B$2:$B$13,MATCH($H896,Productos!$A$2:$A$13,0))</f>
        <v>Tornillo DIN 933 M6x30 rosca completa zincado</v>
      </c>
      <c r="J896" s="32" t="str">
        <f aca="false">INDEX(Productos!$C$2:$C$13,MATCH($H896,Productos!$A$2:$A$13,0))</f>
        <v>Métrica</v>
      </c>
      <c r="K896" s="31" t="s">
        <v>246</v>
      </c>
      <c r="L896" s="46" t="n">
        <v>103</v>
      </c>
      <c r="M896" s="50" t="n">
        <f aca="false">INDEX(Productos!$F$2:$F$13,MATCH($H896,Productos!$A$2:$A$13,0))</f>
        <v>32</v>
      </c>
      <c r="N896" s="51" t="n">
        <v>0.186</v>
      </c>
      <c r="O896" s="52" t="n">
        <f aca="false">M896*(1-N896)</f>
        <v>26.048</v>
      </c>
      <c r="P896" s="21" t="n">
        <f aca="false">L896*O896</f>
        <v>2682.944</v>
      </c>
      <c r="Q896" s="50" t="n">
        <f aca="false">INDEX(Productos!$E$2:$E$13,MATCH($H896,Productos!$A$2:$A$13,0))*INDEX(Parametros!$B$26:$B$43,MATCH($C896,Parametros!$A$26:$A$43,0))</f>
        <v>16.932</v>
      </c>
      <c r="R896" s="21" t="n">
        <f aca="false">L896*Q896</f>
        <v>1743.996</v>
      </c>
      <c r="S896" s="18" t="n">
        <f aca="false">L896*INDEX(Parametros!$B$20:$B$22,MATCH($E896,Parametros!$A$20:$A$22,0))</f>
        <v>247.2</v>
      </c>
      <c r="T896" s="18" t="n">
        <f aca="false">P896*INDEX(Parametros!$B$13:$B$16,MATCH($F896,Parametros!$A$13:$A$16,0))</f>
        <v>80.48832</v>
      </c>
      <c r="U896" s="21" t="n">
        <f aca="false">P896-R896-S896-T896</f>
        <v>611.25968</v>
      </c>
      <c r="V896" s="19" t="n">
        <f aca="false">IFERROR(U896/P896,0)</f>
        <v>0.227831695331695</v>
      </c>
      <c r="W896" s="48" t="n">
        <f aca="false">B896+INDEX(Parametros!$C$13:$C$16,MATCH($F896,Parametros!$A$13:$A$16,0))</f>
        <v>46025</v>
      </c>
      <c r="X896" s="31" t="s">
        <v>67</v>
      </c>
      <c r="Y896" s="53" t="n">
        <f aca="false">IF(COUNTIF($A$2:$A896,A896)=1,1,0)</f>
        <v>0</v>
      </c>
    </row>
    <row r="897" customFormat="false" ht="15" hidden="false" customHeight="false" outlineLevel="0" collapsed="false">
      <c r="A897" s="31" t="s">
        <v>726</v>
      </c>
      <c r="B897" s="36" t="n">
        <v>45965</v>
      </c>
      <c r="C897" s="49" t="n">
        <f aca="false">DATE(YEAR(B897),MONTH(B897),1)</f>
        <v>45962</v>
      </c>
      <c r="D897" s="31" t="s">
        <v>212</v>
      </c>
      <c r="E897" s="31" t="s">
        <v>42</v>
      </c>
      <c r="F897" s="31" t="s">
        <v>45</v>
      </c>
      <c r="G897" s="31" t="s">
        <v>61</v>
      </c>
      <c r="H897" s="31" t="s">
        <v>175</v>
      </c>
      <c r="I897" s="32" t="str">
        <f aca="false">INDEX(Productos!$B$2:$B$13,MATCH($H897,Productos!$A$2:$A$13,0))</f>
        <v>Tirafondo madera 5x60 cabeza plana Torx</v>
      </c>
      <c r="J897" s="32" t="str">
        <f aca="false">INDEX(Productos!$C$2:$C$13,MATCH($H897,Productos!$A$2:$A$13,0))</f>
        <v>Madera</v>
      </c>
      <c r="K897" s="31" t="s">
        <v>246</v>
      </c>
      <c r="L897" s="46" t="n">
        <v>84</v>
      </c>
      <c r="M897" s="50" t="n">
        <f aca="false">INDEX(Productos!$F$2:$F$13,MATCH($H897,Productos!$A$2:$A$13,0))</f>
        <v>26</v>
      </c>
      <c r="N897" s="51" t="n">
        <v>0.131</v>
      </c>
      <c r="O897" s="52" t="n">
        <f aca="false">M897*(1-N897)</f>
        <v>22.594</v>
      </c>
      <c r="P897" s="21" t="n">
        <f aca="false">L897*O897</f>
        <v>1897.896</v>
      </c>
      <c r="Q897" s="50" t="n">
        <f aca="false">INDEX(Productos!$E$2:$E$13,MATCH($H897,Productos!$A$2:$A$13,0))*INDEX(Parametros!$B$26:$B$43,MATCH($C897,Parametros!$A$26:$A$43,0))</f>
        <v>13.668</v>
      </c>
      <c r="R897" s="21" t="n">
        <f aca="false">L897*Q897</f>
        <v>1148.112</v>
      </c>
      <c r="S897" s="18" t="n">
        <f aca="false">L897*INDEX(Parametros!$B$20:$B$22,MATCH($E897,Parametros!$A$20:$A$22,0))</f>
        <v>201.6</v>
      </c>
      <c r="T897" s="18" t="n">
        <f aca="false">P897*INDEX(Parametros!$B$13:$B$16,MATCH($F897,Parametros!$A$13:$A$16,0))</f>
        <v>56.93688</v>
      </c>
      <c r="U897" s="21" t="n">
        <f aca="false">P897-R897-S897-T897</f>
        <v>491.24712</v>
      </c>
      <c r="V897" s="19" t="n">
        <f aca="false">IFERROR(U897/P897,0)</f>
        <v>0.258837744533947</v>
      </c>
      <c r="W897" s="48" t="n">
        <f aca="false">B897+INDEX(Parametros!$C$13:$C$16,MATCH($F897,Parametros!$A$13:$A$16,0))</f>
        <v>46025</v>
      </c>
      <c r="X897" s="31" t="s">
        <v>67</v>
      </c>
      <c r="Y897" s="53" t="n">
        <f aca="false">IF(COUNTIF($A$2:$A897,A897)=1,1,0)</f>
        <v>0</v>
      </c>
    </row>
    <row r="898" customFormat="false" ht="15" hidden="false" customHeight="false" outlineLevel="0" collapsed="false">
      <c r="A898" s="31" t="s">
        <v>727</v>
      </c>
      <c r="B898" s="36" t="n">
        <v>45965</v>
      </c>
      <c r="C898" s="49" t="n">
        <f aca="false">DATE(YEAR(B898),MONTH(B898),1)</f>
        <v>45962</v>
      </c>
      <c r="D898" s="31" t="s">
        <v>202</v>
      </c>
      <c r="E898" s="31" t="s">
        <v>41</v>
      </c>
      <c r="F898" s="31" t="s">
        <v>46</v>
      </c>
      <c r="G898" s="31" t="s">
        <v>62</v>
      </c>
      <c r="H898" s="31" t="s">
        <v>185</v>
      </c>
      <c r="I898" s="32" t="str">
        <f aca="false">INDEX(Productos!$B$2:$B$13,MATCH($H898,Productos!$A$2:$A$13,0))</f>
        <v>Varilla roscada M10 x 1 m zincada</v>
      </c>
      <c r="J898" s="32" t="str">
        <f aca="false">INDEX(Productos!$C$2:$C$13,MATCH($H898,Productos!$A$2:$A$13,0))</f>
        <v>Especial</v>
      </c>
      <c r="K898" s="31" t="s">
        <v>246</v>
      </c>
      <c r="L898" s="46" t="n">
        <v>219</v>
      </c>
      <c r="M898" s="50" t="n">
        <f aca="false">INDEX(Productos!$F$2:$F$13,MATCH($H898,Productos!$A$2:$A$13,0))</f>
        <v>54</v>
      </c>
      <c r="N898" s="51" t="n">
        <v>0.096</v>
      </c>
      <c r="O898" s="52" t="n">
        <f aca="false">M898*(1-N898)</f>
        <v>48.816</v>
      </c>
      <c r="P898" s="21" t="n">
        <f aca="false">L898*O898</f>
        <v>10690.704</v>
      </c>
      <c r="Q898" s="50" t="n">
        <f aca="false">INDEX(Productos!$E$2:$E$13,MATCH($H898,Productos!$A$2:$A$13,0))*INDEX(Parametros!$B$26:$B$43,MATCH($C898,Parametros!$A$26:$A$43,0))</f>
        <v>29.07</v>
      </c>
      <c r="R898" s="21" t="n">
        <f aca="false">L898*Q898</f>
        <v>6366.33</v>
      </c>
      <c r="S898" s="18" t="n">
        <f aca="false">L898*INDEX(Parametros!$B$20:$B$22,MATCH($E898,Parametros!$A$20:$A$22,0))</f>
        <v>186.15</v>
      </c>
      <c r="T898" s="18" t="n">
        <f aca="false">P898*INDEX(Parametros!$B$13:$B$16,MATCH($F898,Parametros!$A$13:$A$16,0))</f>
        <v>427.62816</v>
      </c>
      <c r="U898" s="21" t="n">
        <f aca="false">P898-R898-S898-T898</f>
        <v>3710.59584</v>
      </c>
      <c r="V898" s="19" t="n">
        <f aca="false">IFERROR(U898/P898,0)</f>
        <v>0.347086201245493</v>
      </c>
      <c r="W898" s="48" t="n">
        <f aca="false">B898+INDEX(Parametros!$C$13:$C$16,MATCH($F898,Parametros!$A$13:$A$16,0))</f>
        <v>46040</v>
      </c>
      <c r="X898" s="31" t="s">
        <v>67</v>
      </c>
      <c r="Y898" s="53" t="n">
        <f aca="false">IF(COUNTIF($A$2:$A898,A898)=1,1,0)</f>
        <v>1</v>
      </c>
    </row>
    <row r="899" customFormat="false" ht="15" hidden="false" customHeight="false" outlineLevel="0" collapsed="false">
      <c r="A899" s="31" t="s">
        <v>727</v>
      </c>
      <c r="B899" s="36" t="n">
        <v>45965</v>
      </c>
      <c r="C899" s="49" t="n">
        <f aca="false">DATE(YEAR(B899),MONTH(B899),1)</f>
        <v>45962</v>
      </c>
      <c r="D899" s="31" t="s">
        <v>202</v>
      </c>
      <c r="E899" s="31" t="s">
        <v>41</v>
      </c>
      <c r="F899" s="31" t="s">
        <v>46</v>
      </c>
      <c r="G899" s="31" t="s">
        <v>62</v>
      </c>
      <c r="H899" s="31" t="s">
        <v>163</v>
      </c>
      <c r="I899" s="32" t="str">
        <f aca="false">INDEX(Productos!$B$2:$B$13,MATCH($H899,Productos!$A$2:$A$13,0))</f>
        <v>Tornillo DIN 933 M6x30 rosca completa zincado</v>
      </c>
      <c r="J899" s="32" t="str">
        <f aca="false">INDEX(Productos!$C$2:$C$13,MATCH($H899,Productos!$A$2:$A$13,0))</f>
        <v>Métrica</v>
      </c>
      <c r="K899" s="31" t="s">
        <v>246</v>
      </c>
      <c r="L899" s="46" t="n">
        <v>84</v>
      </c>
      <c r="M899" s="50" t="n">
        <f aca="false">INDEX(Productos!$F$2:$F$13,MATCH($H899,Productos!$A$2:$A$13,0))</f>
        <v>32</v>
      </c>
      <c r="N899" s="51" t="n">
        <v>0.087</v>
      </c>
      <c r="O899" s="52" t="n">
        <f aca="false">M899*(1-N899)</f>
        <v>29.216</v>
      </c>
      <c r="P899" s="21" t="n">
        <f aca="false">L899*O899</f>
        <v>2454.144</v>
      </c>
      <c r="Q899" s="50" t="n">
        <f aca="false">INDEX(Productos!$E$2:$E$13,MATCH($H899,Productos!$A$2:$A$13,0))*INDEX(Parametros!$B$26:$B$43,MATCH($C899,Parametros!$A$26:$A$43,0))</f>
        <v>16.932</v>
      </c>
      <c r="R899" s="21" t="n">
        <f aca="false">L899*Q899</f>
        <v>1422.288</v>
      </c>
      <c r="S899" s="18" t="n">
        <f aca="false">L899*INDEX(Parametros!$B$20:$B$22,MATCH($E899,Parametros!$A$20:$A$22,0))</f>
        <v>71.4</v>
      </c>
      <c r="T899" s="18" t="n">
        <f aca="false">P899*INDEX(Parametros!$B$13:$B$16,MATCH($F899,Parametros!$A$13:$A$16,0))</f>
        <v>98.16576</v>
      </c>
      <c r="U899" s="21" t="n">
        <f aca="false">P899-R899-S899-T899</f>
        <v>862.29024</v>
      </c>
      <c r="V899" s="19" t="n">
        <f aca="false">IFERROR(U899/P899,0)</f>
        <v>0.351360898138007</v>
      </c>
      <c r="W899" s="48" t="n">
        <f aca="false">B899+INDEX(Parametros!$C$13:$C$16,MATCH($F899,Parametros!$A$13:$A$16,0))</f>
        <v>46040</v>
      </c>
      <c r="X899" s="31" t="s">
        <v>67</v>
      </c>
      <c r="Y899" s="53" t="n">
        <f aca="false">IF(COUNTIF($A$2:$A899,A899)=1,1,0)</f>
        <v>0</v>
      </c>
    </row>
    <row r="900" customFormat="false" ht="15" hidden="false" customHeight="false" outlineLevel="0" collapsed="false">
      <c r="A900" s="31" t="s">
        <v>728</v>
      </c>
      <c r="B900" s="36" t="n">
        <v>45966</v>
      </c>
      <c r="C900" s="49" t="n">
        <f aca="false">DATE(YEAR(B900),MONTH(B900),1)</f>
        <v>45962</v>
      </c>
      <c r="D900" s="31" t="s">
        <v>221</v>
      </c>
      <c r="E900" s="31" t="s">
        <v>43</v>
      </c>
      <c r="F900" s="31" t="s">
        <v>45</v>
      </c>
      <c r="G900" s="31" t="s">
        <v>59</v>
      </c>
      <c r="H900" s="31" t="s">
        <v>165</v>
      </c>
      <c r="I900" s="32" t="str">
        <f aca="false">INDEX(Productos!$B$2:$B$13,MATCH($H900,Productos!$A$2:$A$13,0))</f>
        <v>Tornillo DIN 933 M8x40 rosca completa zincado</v>
      </c>
      <c r="J900" s="32" t="str">
        <f aca="false">INDEX(Productos!$C$2:$C$13,MATCH($H900,Productos!$A$2:$A$13,0))</f>
        <v>Métrica</v>
      </c>
      <c r="K900" s="31" t="s">
        <v>246</v>
      </c>
      <c r="L900" s="46" t="n">
        <v>191</v>
      </c>
      <c r="M900" s="50" t="n">
        <f aca="false">INDEX(Productos!$F$2:$F$13,MATCH($H900,Productos!$A$2:$A$13,0))</f>
        <v>37.5</v>
      </c>
      <c r="N900" s="51" t="n">
        <v>0.177</v>
      </c>
      <c r="O900" s="52" t="n">
        <f aca="false">M900*(1-N900)</f>
        <v>30.8625</v>
      </c>
      <c r="P900" s="21" t="n">
        <f aca="false">L900*O900</f>
        <v>5894.7375</v>
      </c>
      <c r="Q900" s="50" t="n">
        <f aca="false">INDEX(Productos!$E$2:$E$13,MATCH($H900,Productos!$A$2:$A$13,0))*INDEX(Parametros!$B$26:$B$43,MATCH($C900,Parametros!$A$26:$A$43,0))</f>
        <v>19.788</v>
      </c>
      <c r="R900" s="21" t="n">
        <f aca="false">L900*Q900</f>
        <v>3779.508</v>
      </c>
      <c r="S900" s="18" t="n">
        <f aca="false">L900*INDEX(Parametros!$B$20:$B$22,MATCH($E900,Parametros!$A$20:$A$22,0))</f>
        <v>362.9</v>
      </c>
      <c r="T900" s="18" t="n">
        <f aca="false">P900*INDEX(Parametros!$B$13:$B$16,MATCH($F900,Parametros!$A$13:$A$16,0))</f>
        <v>176.842125</v>
      </c>
      <c r="U900" s="21" t="n">
        <f aca="false">P900-R900-S900-T900</f>
        <v>1575.487375</v>
      </c>
      <c r="V900" s="19" t="n">
        <f aca="false">IFERROR(U900/P900,0)</f>
        <v>0.267270149858242</v>
      </c>
      <c r="W900" s="48" t="n">
        <f aca="false">B900+INDEX(Parametros!$C$13:$C$16,MATCH($F900,Parametros!$A$13:$A$16,0))</f>
        <v>46026</v>
      </c>
      <c r="X900" s="31" t="s">
        <v>69</v>
      </c>
      <c r="Y900" s="53" t="n">
        <f aca="false">IF(COUNTIF($A$2:$A900,A900)=1,1,0)</f>
        <v>1</v>
      </c>
    </row>
    <row r="901" customFormat="false" ht="15" hidden="false" customHeight="false" outlineLevel="0" collapsed="false">
      <c r="A901" s="31" t="s">
        <v>729</v>
      </c>
      <c r="B901" s="36" t="n">
        <v>45967</v>
      </c>
      <c r="C901" s="49" t="n">
        <f aca="false">DATE(YEAR(B901),MONTH(B901),1)</f>
        <v>45962</v>
      </c>
      <c r="D901" s="31" t="s">
        <v>192</v>
      </c>
      <c r="E901" s="31" t="s">
        <v>41</v>
      </c>
      <c r="F901" s="31" t="s">
        <v>45</v>
      </c>
      <c r="G901" s="31" t="s">
        <v>58</v>
      </c>
      <c r="H901" s="31" t="s">
        <v>183</v>
      </c>
      <c r="I901" s="32" t="str">
        <f aca="false">INDEX(Productos!$B$2:$B$13,MATCH($H901,Productos!$A$2:$A$13,0))</f>
        <v>Tornillo estructural M16x90 clase 10.9</v>
      </c>
      <c r="J901" s="32" t="str">
        <f aca="false">INDEX(Productos!$C$2:$C$13,MATCH($H901,Productos!$A$2:$A$13,0))</f>
        <v>Especial</v>
      </c>
      <c r="K901" s="31" t="s">
        <v>246</v>
      </c>
      <c r="L901" s="46" t="n">
        <v>266</v>
      </c>
      <c r="M901" s="50" t="n">
        <f aca="false">INDEX(Productos!$F$2:$F$13,MATCH($H901,Productos!$A$2:$A$13,0))</f>
        <v>112</v>
      </c>
      <c r="N901" s="51" t="n">
        <v>0.154</v>
      </c>
      <c r="O901" s="52" t="n">
        <f aca="false">M901*(1-N901)</f>
        <v>94.752</v>
      </c>
      <c r="P901" s="21" t="n">
        <f aca="false">L901*O901</f>
        <v>25204.032</v>
      </c>
      <c r="Q901" s="50" t="n">
        <f aca="false">INDEX(Productos!$E$2:$E$13,MATCH($H901,Productos!$A$2:$A$13,0))*INDEX(Parametros!$B$26:$B$43,MATCH($C901,Parametros!$A$26:$A$43,0))</f>
        <v>61.2</v>
      </c>
      <c r="R901" s="21" t="n">
        <f aca="false">L901*Q901</f>
        <v>16279.2</v>
      </c>
      <c r="S901" s="18" t="n">
        <f aca="false">L901*INDEX(Parametros!$B$20:$B$22,MATCH($E901,Parametros!$A$20:$A$22,0))</f>
        <v>226.1</v>
      </c>
      <c r="T901" s="18" t="n">
        <f aca="false">P901*INDEX(Parametros!$B$13:$B$16,MATCH($F901,Parametros!$A$13:$A$16,0))</f>
        <v>756.12096</v>
      </c>
      <c r="U901" s="21" t="n">
        <f aca="false">P901-R901-S901-T901</f>
        <v>7942.61104</v>
      </c>
      <c r="V901" s="19" t="n">
        <f aca="false">IFERROR(U901/P901,0)</f>
        <v>0.315132556568727</v>
      </c>
      <c r="W901" s="48" t="n">
        <f aca="false">B901+INDEX(Parametros!$C$13:$C$16,MATCH($F901,Parametros!$A$13:$A$16,0))</f>
        <v>46027</v>
      </c>
      <c r="X901" s="31" t="s">
        <v>69</v>
      </c>
      <c r="Y901" s="53" t="n">
        <f aca="false">IF(COUNTIF($A$2:$A901,A901)=1,1,0)</f>
        <v>1</v>
      </c>
    </row>
    <row r="902" customFormat="false" ht="15" hidden="false" customHeight="false" outlineLevel="0" collapsed="false">
      <c r="A902" s="31" t="s">
        <v>729</v>
      </c>
      <c r="B902" s="36" t="n">
        <v>45967</v>
      </c>
      <c r="C902" s="49" t="n">
        <f aca="false">DATE(YEAR(B902),MONTH(B902),1)</f>
        <v>45962</v>
      </c>
      <c r="D902" s="31" t="s">
        <v>192</v>
      </c>
      <c r="E902" s="31" t="s">
        <v>41</v>
      </c>
      <c r="F902" s="31" t="s">
        <v>45</v>
      </c>
      <c r="G902" s="31" t="s">
        <v>58</v>
      </c>
      <c r="H902" s="31" t="s">
        <v>173</v>
      </c>
      <c r="I902" s="32" t="str">
        <f aca="false">INDEX(Productos!$B$2:$B$13,MATCH($H902,Productos!$A$2:$A$13,0))</f>
        <v>Tornillo DIN 933 M12x70 clase 8.8</v>
      </c>
      <c r="J902" s="32" t="str">
        <f aca="false">INDEX(Productos!$C$2:$C$13,MATCH($H902,Productos!$A$2:$A$13,0))</f>
        <v>Métrica</v>
      </c>
      <c r="K902" s="31" t="s">
        <v>246</v>
      </c>
      <c r="L902" s="46" t="n">
        <v>278</v>
      </c>
      <c r="M902" s="50" t="n">
        <f aca="false">INDEX(Productos!$F$2:$F$13,MATCH($H902,Productos!$A$2:$A$13,0))</f>
        <v>64</v>
      </c>
      <c r="N902" s="51" t="n">
        <v>0.203</v>
      </c>
      <c r="O902" s="52" t="n">
        <f aca="false">M902*(1-N902)</f>
        <v>51.008</v>
      </c>
      <c r="P902" s="21" t="n">
        <f aca="false">L902*O902</f>
        <v>14180.224</v>
      </c>
      <c r="Q902" s="50" t="n">
        <f aca="false">INDEX(Productos!$E$2:$E$13,MATCH($H902,Productos!$A$2:$A$13,0))*INDEX(Parametros!$B$26:$B$43,MATCH($C902,Parametros!$A$26:$A$43,0))</f>
        <v>34.17</v>
      </c>
      <c r="R902" s="21" t="n">
        <f aca="false">L902*Q902</f>
        <v>9499.26</v>
      </c>
      <c r="S902" s="18" t="n">
        <f aca="false">L902*INDEX(Parametros!$B$20:$B$22,MATCH($E902,Parametros!$A$20:$A$22,0))</f>
        <v>236.3</v>
      </c>
      <c r="T902" s="18" t="n">
        <f aca="false">P902*INDEX(Parametros!$B$13:$B$16,MATCH($F902,Parametros!$A$13:$A$16,0))</f>
        <v>425.40672</v>
      </c>
      <c r="U902" s="21" t="n">
        <f aca="false">P902-R902-S902-T902</f>
        <v>4019.25728</v>
      </c>
      <c r="V902" s="19" t="n">
        <f aca="false">IFERROR(U902/P902,0)</f>
        <v>0.283441028858218</v>
      </c>
      <c r="W902" s="48" t="n">
        <f aca="false">B902+INDEX(Parametros!$C$13:$C$16,MATCH($F902,Parametros!$A$13:$A$16,0))</f>
        <v>46027</v>
      </c>
      <c r="X902" s="31" t="s">
        <v>67</v>
      </c>
      <c r="Y902" s="53" t="n">
        <f aca="false">IF(COUNTIF($A$2:$A902,A902)=1,1,0)</f>
        <v>0</v>
      </c>
    </row>
    <row r="903" customFormat="false" ht="15" hidden="false" customHeight="false" outlineLevel="0" collapsed="false">
      <c r="A903" s="31" t="s">
        <v>729</v>
      </c>
      <c r="B903" s="36" t="n">
        <v>45967</v>
      </c>
      <c r="C903" s="49" t="n">
        <f aca="false">DATE(YEAR(B903),MONTH(B903),1)</f>
        <v>45962</v>
      </c>
      <c r="D903" s="31" t="s">
        <v>192</v>
      </c>
      <c r="E903" s="31" t="s">
        <v>41</v>
      </c>
      <c r="F903" s="31" t="s">
        <v>45</v>
      </c>
      <c r="G903" s="31" t="s">
        <v>58</v>
      </c>
      <c r="H903" s="31" t="s">
        <v>185</v>
      </c>
      <c r="I903" s="32" t="str">
        <f aca="false">INDEX(Productos!$B$2:$B$13,MATCH($H903,Productos!$A$2:$A$13,0))</f>
        <v>Varilla roscada M10 x 1 m zincada</v>
      </c>
      <c r="J903" s="32" t="str">
        <f aca="false">INDEX(Productos!$C$2:$C$13,MATCH($H903,Productos!$A$2:$A$13,0))</f>
        <v>Especial</v>
      </c>
      <c r="K903" s="31" t="s">
        <v>246</v>
      </c>
      <c r="L903" s="46" t="n">
        <v>232</v>
      </c>
      <c r="M903" s="50" t="n">
        <f aca="false">INDEX(Productos!$F$2:$F$13,MATCH($H903,Productos!$A$2:$A$13,0))</f>
        <v>54</v>
      </c>
      <c r="N903" s="51" t="n">
        <v>0.121</v>
      </c>
      <c r="O903" s="52" t="n">
        <f aca="false">M903*(1-N903)</f>
        <v>47.466</v>
      </c>
      <c r="P903" s="21" t="n">
        <f aca="false">L903*O903</f>
        <v>11012.112</v>
      </c>
      <c r="Q903" s="50" t="n">
        <f aca="false">INDEX(Productos!$E$2:$E$13,MATCH($H903,Productos!$A$2:$A$13,0))*INDEX(Parametros!$B$26:$B$43,MATCH($C903,Parametros!$A$26:$A$43,0))</f>
        <v>29.07</v>
      </c>
      <c r="R903" s="21" t="n">
        <f aca="false">L903*Q903</f>
        <v>6744.24</v>
      </c>
      <c r="S903" s="18" t="n">
        <f aca="false">L903*INDEX(Parametros!$B$20:$B$22,MATCH($E903,Parametros!$A$20:$A$22,0))</f>
        <v>197.2</v>
      </c>
      <c r="T903" s="18" t="n">
        <f aca="false">P903*INDEX(Parametros!$B$13:$B$16,MATCH($F903,Parametros!$A$13:$A$16,0))</f>
        <v>330.36336</v>
      </c>
      <c r="U903" s="21" t="n">
        <f aca="false">P903-R903-S903-T903</f>
        <v>3740.30864</v>
      </c>
      <c r="V903" s="19" t="n">
        <f aca="false">IFERROR(U903/P903,0)</f>
        <v>0.339654068175115</v>
      </c>
      <c r="W903" s="48" t="n">
        <f aca="false">B903+INDEX(Parametros!$C$13:$C$16,MATCH($F903,Parametros!$A$13:$A$16,0))</f>
        <v>46027</v>
      </c>
      <c r="X903" s="31" t="s">
        <v>67</v>
      </c>
      <c r="Y903" s="53" t="n">
        <f aca="false">IF(COUNTIF($A$2:$A903,A903)=1,1,0)</f>
        <v>0</v>
      </c>
    </row>
    <row r="904" customFormat="false" ht="15" hidden="false" customHeight="false" outlineLevel="0" collapsed="false">
      <c r="A904" s="31" t="s">
        <v>730</v>
      </c>
      <c r="B904" s="36" t="n">
        <v>45968</v>
      </c>
      <c r="C904" s="49" t="n">
        <f aca="false">DATE(YEAR(B904),MONTH(B904),1)</f>
        <v>45962</v>
      </c>
      <c r="D904" s="31" t="s">
        <v>224</v>
      </c>
      <c r="E904" s="31" t="s">
        <v>43</v>
      </c>
      <c r="F904" s="31" t="s">
        <v>45</v>
      </c>
      <c r="G904" s="31" t="s">
        <v>59</v>
      </c>
      <c r="H904" s="31" t="s">
        <v>181</v>
      </c>
      <c r="I904" s="32" t="str">
        <f aca="false">INDEX(Productos!$B$2:$B$13,MATCH($H904,Productos!$A$2:$A$13,0))</f>
        <v>Autotaladrante 5,5x55 punta broca</v>
      </c>
      <c r="J904" s="32" t="str">
        <f aca="false">INDEX(Productos!$C$2:$C$13,MATCH($H904,Productos!$A$2:$A$13,0))</f>
        <v>Autotaladrante</v>
      </c>
      <c r="K904" s="31" t="s">
        <v>246</v>
      </c>
      <c r="L904" s="46" t="n">
        <v>95</v>
      </c>
      <c r="M904" s="50" t="n">
        <f aca="false">INDEX(Productos!$F$2:$F$13,MATCH($H904,Productos!$A$2:$A$13,0))</f>
        <v>39</v>
      </c>
      <c r="N904" s="51" t="n">
        <v>0.134</v>
      </c>
      <c r="O904" s="52" t="n">
        <f aca="false">M904*(1-N904)</f>
        <v>33.774</v>
      </c>
      <c r="P904" s="21" t="n">
        <f aca="false">L904*O904</f>
        <v>3208.53</v>
      </c>
      <c r="Q904" s="50" t="n">
        <f aca="false">INDEX(Productos!$E$2:$E$13,MATCH($H904,Productos!$A$2:$A$13,0))*INDEX(Parametros!$B$26:$B$43,MATCH($C904,Parametros!$A$26:$A$43,0))</f>
        <v>20.706</v>
      </c>
      <c r="R904" s="21" t="n">
        <f aca="false">L904*Q904</f>
        <v>1967.07</v>
      </c>
      <c r="S904" s="18" t="n">
        <f aca="false">L904*INDEX(Parametros!$B$20:$B$22,MATCH($E904,Parametros!$A$20:$A$22,0))</f>
        <v>180.5</v>
      </c>
      <c r="T904" s="18" t="n">
        <f aca="false">P904*INDEX(Parametros!$B$13:$B$16,MATCH($F904,Parametros!$A$13:$A$16,0))</f>
        <v>96.2559</v>
      </c>
      <c r="U904" s="21" t="n">
        <f aca="false">P904-R904-S904-T904</f>
        <v>964.7041</v>
      </c>
      <c r="V904" s="19" t="n">
        <f aca="false">IFERROR(U904/P904,0)</f>
        <v>0.300668561615444</v>
      </c>
      <c r="W904" s="48" t="n">
        <f aca="false">B904+INDEX(Parametros!$C$13:$C$16,MATCH($F904,Parametros!$A$13:$A$16,0))</f>
        <v>46028</v>
      </c>
      <c r="X904" s="31" t="s">
        <v>67</v>
      </c>
      <c r="Y904" s="53" t="n">
        <f aca="false">IF(COUNTIF($A$2:$A904,A904)=1,1,0)</f>
        <v>1</v>
      </c>
    </row>
    <row r="905" customFormat="false" ht="15" hidden="false" customHeight="false" outlineLevel="0" collapsed="false">
      <c r="A905" s="31" t="s">
        <v>730</v>
      </c>
      <c r="B905" s="36" t="n">
        <v>45968</v>
      </c>
      <c r="C905" s="49" t="n">
        <f aca="false">DATE(YEAR(B905),MONTH(B905),1)</f>
        <v>45962</v>
      </c>
      <c r="D905" s="31" t="s">
        <v>224</v>
      </c>
      <c r="E905" s="31" t="s">
        <v>43</v>
      </c>
      <c r="F905" s="31" t="s">
        <v>45</v>
      </c>
      <c r="G905" s="31" t="s">
        <v>59</v>
      </c>
      <c r="H905" s="31" t="s">
        <v>167</v>
      </c>
      <c r="I905" s="32" t="str">
        <f aca="false">INDEX(Productos!$B$2:$B$13,MATCH($H905,Productos!$A$2:$A$13,0))</f>
        <v>Tornillo DIN 912 M6x25 Allen zincado</v>
      </c>
      <c r="J905" s="32" t="str">
        <f aca="false">INDEX(Productos!$C$2:$C$13,MATCH($H905,Productos!$A$2:$A$13,0))</f>
        <v>Métrica</v>
      </c>
      <c r="K905" s="31" t="s">
        <v>246</v>
      </c>
      <c r="L905" s="46" t="n">
        <v>30</v>
      </c>
      <c r="M905" s="50" t="n">
        <f aca="false">INDEX(Productos!$F$2:$F$13,MATCH($H905,Productos!$A$2:$A$13,0))</f>
        <v>42</v>
      </c>
      <c r="N905" s="51" t="n">
        <v>0.161</v>
      </c>
      <c r="O905" s="52" t="n">
        <f aca="false">M905*(1-N905)</f>
        <v>35.238</v>
      </c>
      <c r="P905" s="21" t="n">
        <f aca="false">L905*O905</f>
        <v>1057.14</v>
      </c>
      <c r="Q905" s="50" t="n">
        <f aca="false">INDEX(Productos!$E$2:$E$13,MATCH($H905,Productos!$A$2:$A$13,0))*INDEX(Parametros!$B$26:$B$43,MATCH($C905,Parametros!$A$26:$A$43,0))</f>
        <v>22.236</v>
      </c>
      <c r="R905" s="21" t="n">
        <f aca="false">L905*Q905</f>
        <v>667.08</v>
      </c>
      <c r="S905" s="18" t="n">
        <f aca="false">L905*INDEX(Parametros!$B$20:$B$22,MATCH($E905,Parametros!$A$20:$A$22,0))</f>
        <v>57</v>
      </c>
      <c r="T905" s="18" t="n">
        <f aca="false">P905*INDEX(Parametros!$B$13:$B$16,MATCH($F905,Parametros!$A$13:$A$16,0))</f>
        <v>31.7142</v>
      </c>
      <c r="U905" s="21" t="n">
        <f aca="false">P905-R905-S905-T905</f>
        <v>301.3458</v>
      </c>
      <c r="V905" s="19" t="n">
        <f aca="false">IFERROR(U905/P905,0)</f>
        <v>0.285057608263806</v>
      </c>
      <c r="W905" s="48" t="n">
        <f aca="false">B905+INDEX(Parametros!$C$13:$C$16,MATCH($F905,Parametros!$A$13:$A$16,0))</f>
        <v>46028</v>
      </c>
      <c r="X905" s="31" t="s">
        <v>67</v>
      </c>
      <c r="Y905" s="53" t="n">
        <f aca="false">IF(COUNTIF($A$2:$A905,A905)=1,1,0)</f>
        <v>0</v>
      </c>
    </row>
    <row r="906" customFormat="false" ht="15" hidden="false" customHeight="false" outlineLevel="0" collapsed="false">
      <c r="A906" s="31" t="s">
        <v>731</v>
      </c>
      <c r="B906" s="36" t="n">
        <v>45968</v>
      </c>
      <c r="C906" s="49" t="n">
        <f aca="false">DATE(YEAR(B906),MONTH(B906),1)</f>
        <v>45962</v>
      </c>
      <c r="D906" s="31" t="s">
        <v>208</v>
      </c>
      <c r="E906" s="31" t="s">
        <v>41</v>
      </c>
      <c r="F906" s="31" t="s">
        <v>46</v>
      </c>
      <c r="G906" s="31" t="s">
        <v>58</v>
      </c>
      <c r="H906" s="31" t="s">
        <v>181</v>
      </c>
      <c r="I906" s="32" t="str">
        <f aca="false">INDEX(Productos!$B$2:$B$13,MATCH($H906,Productos!$A$2:$A$13,0))</f>
        <v>Autotaladrante 5,5x55 punta broca</v>
      </c>
      <c r="J906" s="32" t="str">
        <f aca="false">INDEX(Productos!$C$2:$C$13,MATCH($H906,Productos!$A$2:$A$13,0))</f>
        <v>Autotaladrante</v>
      </c>
      <c r="K906" s="31" t="s">
        <v>246</v>
      </c>
      <c r="L906" s="46" t="n">
        <v>271</v>
      </c>
      <c r="M906" s="50" t="n">
        <f aca="false">INDEX(Productos!$F$2:$F$13,MATCH($H906,Productos!$A$2:$A$13,0))</f>
        <v>39</v>
      </c>
      <c r="N906" s="51" t="n">
        <v>0.102</v>
      </c>
      <c r="O906" s="52" t="n">
        <f aca="false">M906*(1-N906)</f>
        <v>35.022</v>
      </c>
      <c r="P906" s="21" t="n">
        <f aca="false">L906*O906</f>
        <v>9490.962</v>
      </c>
      <c r="Q906" s="50" t="n">
        <f aca="false">INDEX(Productos!$E$2:$E$13,MATCH($H906,Productos!$A$2:$A$13,0))*INDEX(Parametros!$B$26:$B$43,MATCH($C906,Parametros!$A$26:$A$43,0))</f>
        <v>20.706</v>
      </c>
      <c r="R906" s="21" t="n">
        <f aca="false">L906*Q906</f>
        <v>5611.326</v>
      </c>
      <c r="S906" s="18" t="n">
        <f aca="false">L906*INDEX(Parametros!$B$20:$B$22,MATCH($E906,Parametros!$A$20:$A$22,0))</f>
        <v>230.35</v>
      </c>
      <c r="T906" s="18" t="n">
        <f aca="false">P906*INDEX(Parametros!$B$13:$B$16,MATCH($F906,Parametros!$A$13:$A$16,0))</f>
        <v>379.63848</v>
      </c>
      <c r="U906" s="21" t="n">
        <f aca="false">P906-R906-S906-T906</f>
        <v>3269.64752</v>
      </c>
      <c r="V906" s="19" t="n">
        <f aca="false">IFERROR(U906/P906,0)</f>
        <v>0.344501170692707</v>
      </c>
      <c r="W906" s="48" t="n">
        <f aca="false">B906+INDEX(Parametros!$C$13:$C$16,MATCH($F906,Parametros!$A$13:$A$16,0))</f>
        <v>46043</v>
      </c>
      <c r="X906" s="31" t="s">
        <v>67</v>
      </c>
      <c r="Y906" s="53" t="n">
        <f aca="false">IF(COUNTIF($A$2:$A906,A906)=1,1,0)</f>
        <v>1</v>
      </c>
    </row>
    <row r="907" customFormat="false" ht="15" hidden="false" customHeight="false" outlineLevel="0" collapsed="false">
      <c r="A907" s="31" t="s">
        <v>731</v>
      </c>
      <c r="B907" s="36" t="n">
        <v>45968</v>
      </c>
      <c r="C907" s="49" t="n">
        <f aca="false">DATE(YEAR(B907),MONTH(B907),1)</f>
        <v>45962</v>
      </c>
      <c r="D907" s="31" t="s">
        <v>208</v>
      </c>
      <c r="E907" s="31" t="s">
        <v>41</v>
      </c>
      <c r="F907" s="31" t="s">
        <v>46</v>
      </c>
      <c r="G907" s="31" t="s">
        <v>58</v>
      </c>
      <c r="H907" s="31" t="s">
        <v>177</v>
      </c>
      <c r="I907" s="32" t="str">
        <f aca="false">INDEX(Productos!$B$2:$B$13,MATCH($H907,Productos!$A$2:$A$13,0))</f>
        <v>Tirafondo madera 6x100 cabeza plana Torx</v>
      </c>
      <c r="J907" s="32" t="str">
        <f aca="false">INDEX(Productos!$C$2:$C$13,MATCH($H907,Productos!$A$2:$A$13,0))</f>
        <v>Madera</v>
      </c>
      <c r="K907" s="31" t="s">
        <v>246</v>
      </c>
      <c r="L907" s="46" t="n">
        <v>125</v>
      </c>
      <c r="M907" s="50" t="n">
        <f aca="false">INDEX(Productos!$F$2:$F$13,MATCH($H907,Productos!$A$2:$A$13,0))</f>
        <v>34</v>
      </c>
      <c r="N907" s="51" t="n">
        <v>0.123</v>
      </c>
      <c r="O907" s="52" t="n">
        <f aca="false">M907*(1-N907)</f>
        <v>29.818</v>
      </c>
      <c r="P907" s="21" t="n">
        <f aca="false">L907*O907</f>
        <v>3727.25</v>
      </c>
      <c r="Q907" s="50" t="n">
        <f aca="false">INDEX(Productos!$E$2:$E$13,MATCH($H907,Productos!$A$2:$A$13,0))*INDEX(Parametros!$B$26:$B$43,MATCH($C907,Parametros!$A$26:$A$43,0))</f>
        <v>18.156</v>
      </c>
      <c r="R907" s="21" t="n">
        <f aca="false">L907*Q907</f>
        <v>2269.5</v>
      </c>
      <c r="S907" s="18" t="n">
        <f aca="false">L907*INDEX(Parametros!$B$20:$B$22,MATCH($E907,Parametros!$A$20:$A$22,0))</f>
        <v>106.25</v>
      </c>
      <c r="T907" s="18" t="n">
        <f aca="false">P907*INDEX(Parametros!$B$13:$B$16,MATCH($F907,Parametros!$A$13:$A$16,0))</f>
        <v>149.09</v>
      </c>
      <c r="U907" s="21" t="n">
        <f aca="false">P907-R907-S907-T907</f>
        <v>1202.41</v>
      </c>
      <c r="V907" s="19" t="n">
        <f aca="false">IFERROR(U907/P907,0)</f>
        <v>0.322599771949829</v>
      </c>
      <c r="W907" s="48" t="n">
        <f aca="false">B907+INDEX(Parametros!$C$13:$C$16,MATCH($F907,Parametros!$A$13:$A$16,0))</f>
        <v>46043</v>
      </c>
      <c r="X907" s="31" t="s">
        <v>67</v>
      </c>
      <c r="Y907" s="53" t="n">
        <f aca="false">IF(COUNTIF($A$2:$A907,A907)=1,1,0)</f>
        <v>0</v>
      </c>
    </row>
    <row r="908" customFormat="false" ht="15" hidden="false" customHeight="false" outlineLevel="0" collapsed="false">
      <c r="A908" s="31" t="s">
        <v>732</v>
      </c>
      <c r="B908" s="36" t="n">
        <v>45971</v>
      </c>
      <c r="C908" s="49" t="n">
        <f aca="false">DATE(YEAR(B908),MONTH(B908),1)</f>
        <v>45962</v>
      </c>
      <c r="D908" s="31" t="s">
        <v>213</v>
      </c>
      <c r="E908" s="31" t="s">
        <v>42</v>
      </c>
      <c r="F908" s="31" t="s">
        <v>46</v>
      </c>
      <c r="G908" s="31" t="s">
        <v>61</v>
      </c>
      <c r="H908" s="31" t="s">
        <v>169</v>
      </c>
      <c r="I908" s="32" t="str">
        <f aca="false">INDEX(Productos!$B$2:$B$13,MATCH($H908,Productos!$A$2:$A$13,0))</f>
        <v>Tornillo DIN 912 M10x60 Allen inox A2</v>
      </c>
      <c r="J908" s="32" t="str">
        <f aca="false">INDEX(Productos!$C$2:$C$13,MATCH($H908,Productos!$A$2:$A$13,0))</f>
        <v>Inoxidable</v>
      </c>
      <c r="K908" s="31" t="s">
        <v>246</v>
      </c>
      <c r="L908" s="46" t="n">
        <v>95</v>
      </c>
      <c r="M908" s="50" t="n">
        <f aca="false">INDEX(Productos!$F$2:$F$13,MATCH($H908,Productos!$A$2:$A$13,0))</f>
        <v>79</v>
      </c>
      <c r="N908" s="51" t="n">
        <v>0.144</v>
      </c>
      <c r="O908" s="52" t="n">
        <f aca="false">M908*(1-N908)</f>
        <v>67.624</v>
      </c>
      <c r="P908" s="21" t="n">
        <f aca="false">L908*O908</f>
        <v>6424.28</v>
      </c>
      <c r="Q908" s="50" t="n">
        <f aca="false">INDEX(Productos!$E$2:$E$13,MATCH($H908,Productos!$A$2:$A$13,0))*INDEX(Parametros!$B$26:$B$43,MATCH($C908,Parametros!$A$26:$A$43,0))</f>
        <v>42.84</v>
      </c>
      <c r="R908" s="21" t="n">
        <f aca="false">L908*Q908</f>
        <v>4069.8</v>
      </c>
      <c r="S908" s="18" t="n">
        <f aca="false">L908*INDEX(Parametros!$B$20:$B$22,MATCH($E908,Parametros!$A$20:$A$22,0))</f>
        <v>228</v>
      </c>
      <c r="T908" s="18" t="n">
        <f aca="false">P908*INDEX(Parametros!$B$13:$B$16,MATCH($F908,Parametros!$A$13:$A$16,0))</f>
        <v>256.9712</v>
      </c>
      <c r="U908" s="21" t="n">
        <f aca="false">P908-R908-S908-T908</f>
        <v>1869.5088</v>
      </c>
      <c r="V908" s="19" t="n">
        <f aca="false">IFERROR(U908/P908,0)</f>
        <v>0.291006743168106</v>
      </c>
      <c r="W908" s="48" t="n">
        <f aca="false">B908+INDEX(Parametros!$C$13:$C$16,MATCH($F908,Parametros!$A$13:$A$16,0))</f>
        <v>46046</v>
      </c>
      <c r="X908" s="31" t="s">
        <v>67</v>
      </c>
      <c r="Y908" s="53" t="n">
        <f aca="false">IF(COUNTIF($A$2:$A908,A908)=1,1,0)</f>
        <v>1</v>
      </c>
    </row>
    <row r="909" customFormat="false" ht="15" hidden="false" customHeight="false" outlineLevel="0" collapsed="false">
      <c r="A909" s="31" t="s">
        <v>732</v>
      </c>
      <c r="B909" s="36" t="n">
        <v>45971</v>
      </c>
      <c r="C909" s="49" t="n">
        <f aca="false">DATE(YEAR(B909),MONTH(B909),1)</f>
        <v>45962</v>
      </c>
      <c r="D909" s="31" t="s">
        <v>213</v>
      </c>
      <c r="E909" s="31" t="s">
        <v>42</v>
      </c>
      <c r="F909" s="31" t="s">
        <v>46</v>
      </c>
      <c r="G909" s="31" t="s">
        <v>61</v>
      </c>
      <c r="H909" s="31" t="s">
        <v>179</v>
      </c>
      <c r="I909" s="32" t="str">
        <f aca="false">INDEX(Productos!$B$2:$B$13,MATCH($H909,Productos!$A$2:$A$13,0))</f>
        <v>Autotaladrante DIN 7504 4,8x38 zincado</v>
      </c>
      <c r="J909" s="32" t="str">
        <f aca="false">INDEX(Productos!$C$2:$C$13,MATCH($H909,Productos!$A$2:$A$13,0))</f>
        <v>Autotaladrante</v>
      </c>
      <c r="K909" s="31" t="s">
        <v>246</v>
      </c>
      <c r="L909" s="46" t="n">
        <v>49</v>
      </c>
      <c r="M909" s="50" t="n">
        <f aca="false">INDEX(Productos!$F$2:$F$13,MATCH($H909,Productos!$A$2:$A$13,0))</f>
        <v>29.5</v>
      </c>
      <c r="N909" s="51" t="n">
        <v>0.086</v>
      </c>
      <c r="O909" s="52" t="n">
        <f aca="false">M909*(1-N909)</f>
        <v>26.963</v>
      </c>
      <c r="P909" s="21" t="n">
        <f aca="false">L909*O909</f>
        <v>1321.187</v>
      </c>
      <c r="Q909" s="50" t="n">
        <f aca="false">INDEX(Productos!$E$2:$E$13,MATCH($H909,Productos!$A$2:$A$13,0))*INDEX(Parametros!$B$26:$B$43,MATCH($C909,Parametros!$A$26:$A$43,0))</f>
        <v>15.504</v>
      </c>
      <c r="R909" s="21" t="n">
        <f aca="false">L909*Q909</f>
        <v>759.696</v>
      </c>
      <c r="S909" s="18" t="n">
        <f aca="false">L909*INDEX(Parametros!$B$20:$B$22,MATCH($E909,Parametros!$A$20:$A$22,0))</f>
        <v>117.6</v>
      </c>
      <c r="T909" s="18" t="n">
        <f aca="false">P909*INDEX(Parametros!$B$13:$B$16,MATCH($F909,Parametros!$A$13:$A$16,0))</f>
        <v>52.84748</v>
      </c>
      <c r="U909" s="21" t="n">
        <f aca="false">P909-R909-S909-T909</f>
        <v>391.04352</v>
      </c>
      <c r="V909" s="19" t="n">
        <f aca="false">IFERROR(U909/P909,0)</f>
        <v>0.295978934094871</v>
      </c>
      <c r="W909" s="48" t="n">
        <f aca="false">B909+INDEX(Parametros!$C$13:$C$16,MATCH($F909,Parametros!$A$13:$A$16,0))</f>
        <v>46046</v>
      </c>
      <c r="X909" s="31" t="s">
        <v>67</v>
      </c>
      <c r="Y909" s="53" t="n">
        <f aca="false">IF(COUNTIF($A$2:$A909,A909)=1,1,0)</f>
        <v>0</v>
      </c>
    </row>
    <row r="910" customFormat="false" ht="15" hidden="false" customHeight="false" outlineLevel="0" collapsed="false">
      <c r="A910" s="31" t="s">
        <v>733</v>
      </c>
      <c r="B910" s="36" t="n">
        <v>45971</v>
      </c>
      <c r="C910" s="49" t="n">
        <f aca="false">DATE(YEAR(B910),MONTH(B910),1)</f>
        <v>45962</v>
      </c>
      <c r="D910" s="31" t="s">
        <v>203</v>
      </c>
      <c r="E910" s="31" t="s">
        <v>41</v>
      </c>
      <c r="F910" s="31" t="s">
        <v>46</v>
      </c>
      <c r="G910" s="31" t="s">
        <v>58</v>
      </c>
      <c r="H910" s="31" t="s">
        <v>175</v>
      </c>
      <c r="I910" s="32" t="str">
        <f aca="false">INDEX(Productos!$B$2:$B$13,MATCH($H910,Productos!$A$2:$A$13,0))</f>
        <v>Tirafondo madera 5x60 cabeza plana Torx</v>
      </c>
      <c r="J910" s="32" t="str">
        <f aca="false">INDEX(Productos!$C$2:$C$13,MATCH($H910,Productos!$A$2:$A$13,0))</f>
        <v>Madera</v>
      </c>
      <c r="K910" s="31" t="s">
        <v>246</v>
      </c>
      <c r="L910" s="46" t="n">
        <v>81</v>
      </c>
      <c r="M910" s="50" t="n">
        <f aca="false">INDEX(Productos!$F$2:$F$13,MATCH($H910,Productos!$A$2:$A$13,0))</f>
        <v>26</v>
      </c>
      <c r="N910" s="51" t="n">
        <v>0.123</v>
      </c>
      <c r="O910" s="52" t="n">
        <f aca="false">M910*(1-N910)</f>
        <v>22.802</v>
      </c>
      <c r="P910" s="21" t="n">
        <f aca="false">L910*O910</f>
        <v>1846.962</v>
      </c>
      <c r="Q910" s="50" t="n">
        <f aca="false">INDEX(Productos!$E$2:$E$13,MATCH($H910,Productos!$A$2:$A$13,0))*INDEX(Parametros!$B$26:$B$43,MATCH($C910,Parametros!$A$26:$A$43,0))</f>
        <v>13.668</v>
      </c>
      <c r="R910" s="21" t="n">
        <f aca="false">L910*Q910</f>
        <v>1107.108</v>
      </c>
      <c r="S910" s="18" t="n">
        <f aca="false">L910*INDEX(Parametros!$B$20:$B$22,MATCH($E910,Parametros!$A$20:$A$22,0))</f>
        <v>68.85</v>
      </c>
      <c r="T910" s="18" t="n">
        <f aca="false">P910*INDEX(Parametros!$B$13:$B$16,MATCH($F910,Parametros!$A$13:$A$16,0))</f>
        <v>73.87848</v>
      </c>
      <c r="U910" s="21" t="n">
        <f aca="false">P910-R910-S910-T910</f>
        <v>597.12552</v>
      </c>
      <c r="V910" s="19" t="n">
        <f aca="false">IFERROR(U910/P910,0)</f>
        <v>0.323301464783791</v>
      </c>
      <c r="W910" s="48" t="n">
        <f aca="false">B910+INDEX(Parametros!$C$13:$C$16,MATCH($F910,Parametros!$A$13:$A$16,0))</f>
        <v>46046</v>
      </c>
      <c r="X910" s="31" t="s">
        <v>67</v>
      </c>
      <c r="Y910" s="53" t="n">
        <f aca="false">IF(COUNTIF($A$2:$A910,A910)=1,1,0)</f>
        <v>1</v>
      </c>
    </row>
    <row r="911" customFormat="false" ht="15" hidden="false" customHeight="false" outlineLevel="0" collapsed="false">
      <c r="A911" s="31" t="s">
        <v>733</v>
      </c>
      <c r="B911" s="36" t="n">
        <v>45971</v>
      </c>
      <c r="C911" s="49" t="n">
        <f aca="false">DATE(YEAR(B911),MONTH(B911),1)</f>
        <v>45962</v>
      </c>
      <c r="D911" s="31" t="s">
        <v>203</v>
      </c>
      <c r="E911" s="31" t="s">
        <v>41</v>
      </c>
      <c r="F911" s="31" t="s">
        <v>46</v>
      </c>
      <c r="G911" s="31" t="s">
        <v>58</v>
      </c>
      <c r="H911" s="31" t="s">
        <v>165</v>
      </c>
      <c r="I911" s="32" t="str">
        <f aca="false">INDEX(Productos!$B$2:$B$13,MATCH($H911,Productos!$A$2:$A$13,0))</f>
        <v>Tornillo DIN 933 M8x40 rosca completa zincado</v>
      </c>
      <c r="J911" s="32" t="str">
        <f aca="false">INDEX(Productos!$C$2:$C$13,MATCH($H911,Productos!$A$2:$A$13,0))</f>
        <v>Métrica</v>
      </c>
      <c r="K911" s="31" t="s">
        <v>246</v>
      </c>
      <c r="L911" s="46" t="n">
        <v>27</v>
      </c>
      <c r="M911" s="50" t="n">
        <f aca="false">INDEX(Productos!$F$2:$F$13,MATCH($H911,Productos!$A$2:$A$13,0))</f>
        <v>37.5</v>
      </c>
      <c r="N911" s="51" t="n">
        <v>0.18</v>
      </c>
      <c r="O911" s="52" t="n">
        <f aca="false">M911*(1-N911)</f>
        <v>30.75</v>
      </c>
      <c r="P911" s="21" t="n">
        <f aca="false">L911*O911</f>
        <v>830.25</v>
      </c>
      <c r="Q911" s="50" t="n">
        <f aca="false">INDEX(Productos!$E$2:$E$13,MATCH($H911,Productos!$A$2:$A$13,0))*INDEX(Parametros!$B$26:$B$43,MATCH($C911,Parametros!$A$26:$A$43,0))</f>
        <v>19.788</v>
      </c>
      <c r="R911" s="21" t="n">
        <f aca="false">L911*Q911</f>
        <v>534.276</v>
      </c>
      <c r="S911" s="18" t="n">
        <f aca="false">L911*INDEX(Parametros!$B$20:$B$22,MATCH($E911,Parametros!$A$20:$A$22,0))</f>
        <v>22.95</v>
      </c>
      <c r="T911" s="18" t="n">
        <f aca="false">P911*INDEX(Parametros!$B$13:$B$16,MATCH($F911,Parametros!$A$13:$A$16,0))</f>
        <v>33.21</v>
      </c>
      <c r="U911" s="21" t="n">
        <f aca="false">P911-R911-S911-T911</f>
        <v>239.814</v>
      </c>
      <c r="V911" s="19" t="n">
        <f aca="false">IFERROR(U911/P911,0)</f>
        <v>0.288845528455285</v>
      </c>
      <c r="W911" s="48" t="n">
        <f aca="false">B911+INDEX(Parametros!$C$13:$C$16,MATCH($F911,Parametros!$A$13:$A$16,0))</f>
        <v>46046</v>
      </c>
      <c r="X911" s="31" t="s">
        <v>67</v>
      </c>
      <c r="Y911" s="53" t="n">
        <f aca="false">IF(COUNTIF($A$2:$A911,A911)=1,1,0)</f>
        <v>0</v>
      </c>
    </row>
    <row r="912" customFormat="false" ht="15" hidden="false" customHeight="false" outlineLevel="0" collapsed="false">
      <c r="A912" s="31" t="s">
        <v>733</v>
      </c>
      <c r="B912" s="36" t="n">
        <v>45971</v>
      </c>
      <c r="C912" s="49" t="n">
        <f aca="false">DATE(YEAR(B912),MONTH(B912),1)</f>
        <v>45962</v>
      </c>
      <c r="D912" s="31" t="s">
        <v>203</v>
      </c>
      <c r="E912" s="31" t="s">
        <v>41</v>
      </c>
      <c r="F912" s="31" t="s">
        <v>46</v>
      </c>
      <c r="G912" s="31" t="s">
        <v>58</v>
      </c>
      <c r="H912" s="31" t="s">
        <v>163</v>
      </c>
      <c r="I912" s="32" t="str">
        <f aca="false">INDEX(Productos!$B$2:$B$13,MATCH($H912,Productos!$A$2:$A$13,0))</f>
        <v>Tornillo DIN 933 M6x30 rosca completa zincado</v>
      </c>
      <c r="J912" s="32" t="str">
        <f aca="false">INDEX(Productos!$C$2:$C$13,MATCH($H912,Productos!$A$2:$A$13,0))</f>
        <v>Métrica</v>
      </c>
      <c r="K912" s="31" t="s">
        <v>246</v>
      </c>
      <c r="L912" s="46" t="n">
        <v>188</v>
      </c>
      <c r="M912" s="50" t="n">
        <f aca="false">INDEX(Productos!$F$2:$F$13,MATCH($H912,Productos!$A$2:$A$13,0))</f>
        <v>32</v>
      </c>
      <c r="N912" s="51" t="n">
        <v>0.135</v>
      </c>
      <c r="O912" s="52" t="n">
        <f aca="false">M912*(1-N912)</f>
        <v>27.68</v>
      </c>
      <c r="P912" s="21" t="n">
        <f aca="false">L912*O912</f>
        <v>5203.84</v>
      </c>
      <c r="Q912" s="50" t="n">
        <f aca="false">INDEX(Productos!$E$2:$E$13,MATCH($H912,Productos!$A$2:$A$13,0))*INDEX(Parametros!$B$26:$B$43,MATCH($C912,Parametros!$A$26:$A$43,0))</f>
        <v>16.932</v>
      </c>
      <c r="R912" s="21" t="n">
        <f aca="false">L912*Q912</f>
        <v>3183.216</v>
      </c>
      <c r="S912" s="18" t="n">
        <f aca="false">L912*INDEX(Parametros!$B$20:$B$22,MATCH($E912,Parametros!$A$20:$A$22,0))</f>
        <v>159.8</v>
      </c>
      <c r="T912" s="18" t="n">
        <f aca="false">P912*INDEX(Parametros!$B$13:$B$16,MATCH($F912,Parametros!$A$13:$A$16,0))</f>
        <v>208.1536</v>
      </c>
      <c r="U912" s="21" t="n">
        <f aca="false">P912-R912-S912-T912</f>
        <v>1652.6704</v>
      </c>
      <c r="V912" s="19" t="n">
        <f aca="false">IFERROR(U912/P912,0)</f>
        <v>0.317586705202312</v>
      </c>
      <c r="W912" s="48" t="n">
        <f aca="false">B912+INDEX(Parametros!$C$13:$C$16,MATCH($F912,Parametros!$A$13:$A$16,0))</f>
        <v>46046</v>
      </c>
      <c r="X912" s="31" t="s">
        <v>67</v>
      </c>
      <c r="Y912" s="53" t="n">
        <f aca="false">IF(COUNTIF($A$2:$A912,A912)=1,1,0)</f>
        <v>0</v>
      </c>
    </row>
    <row r="913" customFormat="false" ht="15" hidden="false" customHeight="false" outlineLevel="0" collapsed="false">
      <c r="A913" s="31" t="s">
        <v>734</v>
      </c>
      <c r="B913" s="36" t="n">
        <v>45971</v>
      </c>
      <c r="C913" s="49" t="n">
        <f aca="false">DATE(YEAR(B913),MONTH(B913),1)</f>
        <v>45962</v>
      </c>
      <c r="D913" s="31" t="s">
        <v>198</v>
      </c>
      <c r="E913" s="31" t="s">
        <v>41</v>
      </c>
      <c r="F913" s="31" t="s">
        <v>46</v>
      </c>
      <c r="G913" s="31" t="s">
        <v>58</v>
      </c>
      <c r="H913" s="31" t="s">
        <v>177</v>
      </c>
      <c r="I913" s="32" t="str">
        <f aca="false">INDEX(Productos!$B$2:$B$13,MATCH($H913,Productos!$A$2:$A$13,0))</f>
        <v>Tirafondo madera 6x100 cabeza plana Torx</v>
      </c>
      <c r="J913" s="32" t="str">
        <f aca="false">INDEX(Productos!$C$2:$C$13,MATCH($H913,Productos!$A$2:$A$13,0))</f>
        <v>Madera</v>
      </c>
      <c r="K913" s="31" t="s">
        <v>246</v>
      </c>
      <c r="L913" s="46" t="n">
        <v>131</v>
      </c>
      <c r="M913" s="50" t="n">
        <f aca="false">INDEX(Productos!$F$2:$F$13,MATCH($H913,Productos!$A$2:$A$13,0))</f>
        <v>34</v>
      </c>
      <c r="N913" s="51" t="n">
        <v>0.096</v>
      </c>
      <c r="O913" s="52" t="n">
        <f aca="false">M913*(1-N913)</f>
        <v>30.736</v>
      </c>
      <c r="P913" s="21" t="n">
        <f aca="false">L913*O913</f>
        <v>4026.416</v>
      </c>
      <c r="Q913" s="50" t="n">
        <f aca="false">INDEX(Productos!$E$2:$E$13,MATCH($H913,Productos!$A$2:$A$13,0))*INDEX(Parametros!$B$26:$B$43,MATCH($C913,Parametros!$A$26:$A$43,0))</f>
        <v>18.156</v>
      </c>
      <c r="R913" s="21" t="n">
        <f aca="false">L913*Q913</f>
        <v>2378.436</v>
      </c>
      <c r="S913" s="18" t="n">
        <f aca="false">L913*INDEX(Parametros!$B$20:$B$22,MATCH($E913,Parametros!$A$20:$A$22,0))</f>
        <v>111.35</v>
      </c>
      <c r="T913" s="18" t="n">
        <f aca="false">P913*INDEX(Parametros!$B$13:$B$16,MATCH($F913,Parametros!$A$13:$A$16,0))</f>
        <v>161.05664</v>
      </c>
      <c r="U913" s="21" t="n">
        <f aca="false">P913-R913-S913-T913</f>
        <v>1375.57336</v>
      </c>
      <c r="V913" s="19" t="n">
        <f aca="false">IFERROR(U913/P913,0)</f>
        <v>0.341637168141593</v>
      </c>
      <c r="W913" s="48" t="n">
        <f aca="false">B913+INDEX(Parametros!$C$13:$C$16,MATCH($F913,Parametros!$A$13:$A$16,0))</f>
        <v>46046</v>
      </c>
      <c r="X913" s="31" t="s">
        <v>69</v>
      </c>
      <c r="Y913" s="53" t="n">
        <f aca="false">IF(COUNTIF($A$2:$A913,A913)=1,1,0)</f>
        <v>1</v>
      </c>
    </row>
    <row r="914" customFormat="false" ht="15" hidden="false" customHeight="false" outlineLevel="0" collapsed="false">
      <c r="A914" s="31" t="s">
        <v>735</v>
      </c>
      <c r="B914" s="36" t="n">
        <v>45971</v>
      </c>
      <c r="C914" s="49" t="n">
        <f aca="false">DATE(YEAR(B914),MONTH(B914),1)</f>
        <v>45962</v>
      </c>
      <c r="D914" s="31" t="s">
        <v>216</v>
      </c>
      <c r="E914" s="31" t="s">
        <v>42</v>
      </c>
      <c r="F914" s="31" t="s">
        <v>45</v>
      </c>
      <c r="G914" s="31" t="s">
        <v>61</v>
      </c>
      <c r="H914" s="31" t="s">
        <v>165</v>
      </c>
      <c r="I914" s="32" t="str">
        <f aca="false">INDEX(Productos!$B$2:$B$13,MATCH($H914,Productos!$A$2:$A$13,0))</f>
        <v>Tornillo DIN 933 M8x40 rosca completa zincado</v>
      </c>
      <c r="J914" s="32" t="str">
        <f aca="false">INDEX(Productos!$C$2:$C$13,MATCH($H914,Productos!$A$2:$A$13,0))</f>
        <v>Métrica</v>
      </c>
      <c r="K914" s="31" t="s">
        <v>246</v>
      </c>
      <c r="L914" s="46" t="n">
        <v>20</v>
      </c>
      <c r="M914" s="50" t="n">
        <f aca="false">INDEX(Productos!$F$2:$F$13,MATCH($H914,Productos!$A$2:$A$13,0))</f>
        <v>37.5</v>
      </c>
      <c r="N914" s="51" t="n">
        <v>0.191</v>
      </c>
      <c r="O914" s="52" t="n">
        <f aca="false">M914*(1-N914)</f>
        <v>30.3375</v>
      </c>
      <c r="P914" s="21" t="n">
        <f aca="false">L914*O914</f>
        <v>606.75</v>
      </c>
      <c r="Q914" s="50" t="n">
        <f aca="false">INDEX(Productos!$E$2:$E$13,MATCH($H914,Productos!$A$2:$A$13,0))*INDEX(Parametros!$B$26:$B$43,MATCH($C914,Parametros!$A$26:$A$43,0))</f>
        <v>19.788</v>
      </c>
      <c r="R914" s="21" t="n">
        <f aca="false">L914*Q914</f>
        <v>395.76</v>
      </c>
      <c r="S914" s="18" t="n">
        <f aca="false">L914*INDEX(Parametros!$B$20:$B$22,MATCH($E914,Parametros!$A$20:$A$22,0))</f>
        <v>48</v>
      </c>
      <c r="T914" s="18" t="n">
        <f aca="false">P914*INDEX(Parametros!$B$13:$B$16,MATCH($F914,Parametros!$A$13:$A$16,0))</f>
        <v>18.2025</v>
      </c>
      <c r="U914" s="21" t="n">
        <f aca="false">P914-R914-S914-T914</f>
        <v>144.7875</v>
      </c>
      <c r="V914" s="19" t="n">
        <f aca="false">IFERROR(U914/P914,0)</f>
        <v>0.238627935723115</v>
      </c>
      <c r="W914" s="48" t="n">
        <f aca="false">B914+INDEX(Parametros!$C$13:$C$16,MATCH($F914,Parametros!$A$13:$A$16,0))</f>
        <v>46031</v>
      </c>
      <c r="X914" s="31" t="s">
        <v>67</v>
      </c>
      <c r="Y914" s="53" t="n">
        <f aca="false">IF(COUNTIF($A$2:$A914,A914)=1,1,0)</f>
        <v>1</v>
      </c>
    </row>
    <row r="915" customFormat="false" ht="15" hidden="false" customHeight="false" outlineLevel="0" collapsed="false">
      <c r="A915" s="31" t="s">
        <v>735</v>
      </c>
      <c r="B915" s="36" t="n">
        <v>45971</v>
      </c>
      <c r="C915" s="49" t="n">
        <f aca="false">DATE(YEAR(B915),MONTH(B915),1)</f>
        <v>45962</v>
      </c>
      <c r="D915" s="31" t="s">
        <v>216</v>
      </c>
      <c r="E915" s="31" t="s">
        <v>42</v>
      </c>
      <c r="F915" s="31" t="s">
        <v>45</v>
      </c>
      <c r="G915" s="31" t="s">
        <v>61</v>
      </c>
      <c r="H915" s="31" t="s">
        <v>173</v>
      </c>
      <c r="I915" s="32" t="str">
        <f aca="false">INDEX(Productos!$B$2:$B$13,MATCH($H915,Productos!$A$2:$A$13,0))</f>
        <v>Tornillo DIN 933 M12x70 clase 8.8</v>
      </c>
      <c r="J915" s="32" t="str">
        <f aca="false">INDEX(Productos!$C$2:$C$13,MATCH($H915,Productos!$A$2:$A$13,0))</f>
        <v>Métrica</v>
      </c>
      <c r="K915" s="31" t="s">
        <v>246</v>
      </c>
      <c r="L915" s="46" t="n">
        <v>143</v>
      </c>
      <c r="M915" s="50" t="n">
        <f aca="false">INDEX(Productos!$F$2:$F$13,MATCH($H915,Productos!$A$2:$A$13,0))</f>
        <v>64</v>
      </c>
      <c r="N915" s="51" t="n">
        <v>0.133</v>
      </c>
      <c r="O915" s="52" t="n">
        <f aca="false">M915*(1-N915)</f>
        <v>55.488</v>
      </c>
      <c r="P915" s="21" t="n">
        <f aca="false">L915*O915</f>
        <v>7934.784</v>
      </c>
      <c r="Q915" s="50" t="n">
        <f aca="false">INDEX(Productos!$E$2:$E$13,MATCH($H915,Productos!$A$2:$A$13,0))*INDEX(Parametros!$B$26:$B$43,MATCH($C915,Parametros!$A$26:$A$43,0))</f>
        <v>34.17</v>
      </c>
      <c r="R915" s="21" t="n">
        <f aca="false">L915*Q915</f>
        <v>4886.31</v>
      </c>
      <c r="S915" s="18" t="n">
        <f aca="false">L915*INDEX(Parametros!$B$20:$B$22,MATCH($E915,Parametros!$A$20:$A$22,0))</f>
        <v>343.2</v>
      </c>
      <c r="T915" s="18" t="n">
        <f aca="false">P915*INDEX(Parametros!$B$13:$B$16,MATCH($F915,Parametros!$A$13:$A$16,0))</f>
        <v>238.04352</v>
      </c>
      <c r="U915" s="21" t="n">
        <f aca="false">P915-R915-S915-T915</f>
        <v>2467.23048</v>
      </c>
      <c r="V915" s="19" t="n">
        <f aca="false">IFERROR(U915/P915,0)</f>
        <v>0.310938581314879</v>
      </c>
      <c r="W915" s="48" t="n">
        <f aca="false">B915+INDEX(Parametros!$C$13:$C$16,MATCH($F915,Parametros!$A$13:$A$16,0))</f>
        <v>46031</v>
      </c>
      <c r="X915" s="31" t="s">
        <v>67</v>
      </c>
      <c r="Y915" s="53" t="n">
        <f aca="false">IF(COUNTIF($A$2:$A915,A915)=1,1,0)</f>
        <v>0</v>
      </c>
    </row>
    <row r="916" customFormat="false" ht="15" hidden="false" customHeight="false" outlineLevel="0" collapsed="false">
      <c r="A916" s="31" t="s">
        <v>736</v>
      </c>
      <c r="B916" s="36" t="n">
        <v>45971</v>
      </c>
      <c r="C916" s="49" t="n">
        <f aca="false">DATE(YEAR(B916),MONTH(B916),1)</f>
        <v>45962</v>
      </c>
      <c r="D916" s="31" t="s">
        <v>199</v>
      </c>
      <c r="E916" s="31" t="s">
        <v>41</v>
      </c>
      <c r="F916" s="31" t="s">
        <v>45</v>
      </c>
      <c r="G916" s="31" t="s">
        <v>58</v>
      </c>
      <c r="H916" s="31" t="s">
        <v>165</v>
      </c>
      <c r="I916" s="32" t="str">
        <f aca="false">INDEX(Productos!$B$2:$B$13,MATCH($H916,Productos!$A$2:$A$13,0))</f>
        <v>Tornillo DIN 933 M8x40 rosca completa zincado</v>
      </c>
      <c r="J916" s="32" t="str">
        <f aca="false">INDEX(Productos!$C$2:$C$13,MATCH($H916,Productos!$A$2:$A$13,0))</f>
        <v>Métrica</v>
      </c>
      <c r="K916" s="31" t="s">
        <v>246</v>
      </c>
      <c r="L916" s="46" t="n">
        <v>90</v>
      </c>
      <c r="M916" s="50" t="n">
        <f aca="false">INDEX(Productos!$F$2:$F$13,MATCH($H916,Productos!$A$2:$A$13,0))</f>
        <v>37.5</v>
      </c>
      <c r="N916" s="51" t="n">
        <v>0.201</v>
      </c>
      <c r="O916" s="52" t="n">
        <f aca="false">M916*(1-N916)</f>
        <v>29.9625</v>
      </c>
      <c r="P916" s="21" t="n">
        <f aca="false">L916*O916</f>
        <v>2696.625</v>
      </c>
      <c r="Q916" s="50" t="n">
        <f aca="false">INDEX(Productos!$E$2:$E$13,MATCH($H916,Productos!$A$2:$A$13,0))*INDEX(Parametros!$B$26:$B$43,MATCH($C916,Parametros!$A$26:$A$43,0))</f>
        <v>19.788</v>
      </c>
      <c r="R916" s="21" t="n">
        <f aca="false">L916*Q916</f>
        <v>1780.92</v>
      </c>
      <c r="S916" s="18" t="n">
        <f aca="false">L916*INDEX(Parametros!$B$20:$B$22,MATCH($E916,Parametros!$A$20:$A$22,0))</f>
        <v>76.5</v>
      </c>
      <c r="T916" s="18" t="n">
        <f aca="false">P916*INDEX(Parametros!$B$13:$B$16,MATCH($F916,Parametros!$A$13:$A$16,0))</f>
        <v>80.89875</v>
      </c>
      <c r="U916" s="21" t="n">
        <f aca="false">P916-R916-S916-T916</f>
        <v>758.30625</v>
      </c>
      <c r="V916" s="19" t="n">
        <f aca="false">IFERROR(U916/P916,0)</f>
        <v>0.281205673758865</v>
      </c>
      <c r="W916" s="48" t="n">
        <f aca="false">B916+INDEX(Parametros!$C$13:$C$16,MATCH($F916,Parametros!$A$13:$A$16,0))</f>
        <v>46031</v>
      </c>
      <c r="X916" s="31" t="s">
        <v>67</v>
      </c>
      <c r="Y916" s="53" t="n">
        <f aca="false">IF(COUNTIF($A$2:$A916,A916)=1,1,0)</f>
        <v>1</v>
      </c>
    </row>
    <row r="917" customFormat="false" ht="15" hidden="false" customHeight="false" outlineLevel="0" collapsed="false">
      <c r="A917" s="31" t="s">
        <v>736</v>
      </c>
      <c r="B917" s="36" t="n">
        <v>45971</v>
      </c>
      <c r="C917" s="49" t="n">
        <f aca="false">DATE(YEAR(B917),MONTH(B917),1)</f>
        <v>45962</v>
      </c>
      <c r="D917" s="31" t="s">
        <v>199</v>
      </c>
      <c r="E917" s="31" t="s">
        <v>41</v>
      </c>
      <c r="F917" s="31" t="s">
        <v>45</v>
      </c>
      <c r="G917" s="31" t="s">
        <v>58</v>
      </c>
      <c r="H917" s="31" t="s">
        <v>177</v>
      </c>
      <c r="I917" s="32" t="str">
        <f aca="false">INDEX(Productos!$B$2:$B$13,MATCH($H917,Productos!$A$2:$A$13,0))</f>
        <v>Tirafondo madera 6x100 cabeza plana Torx</v>
      </c>
      <c r="J917" s="32" t="str">
        <f aca="false">INDEX(Productos!$C$2:$C$13,MATCH($H917,Productos!$A$2:$A$13,0))</f>
        <v>Madera</v>
      </c>
      <c r="K917" s="31" t="s">
        <v>246</v>
      </c>
      <c r="L917" s="46" t="n">
        <v>269</v>
      </c>
      <c r="M917" s="50" t="n">
        <f aca="false">INDEX(Productos!$F$2:$F$13,MATCH($H917,Productos!$A$2:$A$13,0))</f>
        <v>34</v>
      </c>
      <c r="N917" s="51" t="n">
        <v>0.158</v>
      </c>
      <c r="O917" s="52" t="n">
        <f aca="false">M917*(1-N917)</f>
        <v>28.628</v>
      </c>
      <c r="P917" s="21" t="n">
        <f aca="false">L917*O917</f>
        <v>7700.932</v>
      </c>
      <c r="Q917" s="50" t="n">
        <f aca="false">INDEX(Productos!$E$2:$E$13,MATCH($H917,Productos!$A$2:$A$13,0))*INDEX(Parametros!$B$26:$B$43,MATCH($C917,Parametros!$A$26:$A$43,0))</f>
        <v>18.156</v>
      </c>
      <c r="R917" s="21" t="n">
        <f aca="false">L917*Q917</f>
        <v>4883.964</v>
      </c>
      <c r="S917" s="18" t="n">
        <f aca="false">L917*INDEX(Parametros!$B$20:$B$22,MATCH($E917,Parametros!$A$20:$A$22,0))</f>
        <v>228.65</v>
      </c>
      <c r="T917" s="18" t="n">
        <f aca="false">P917*INDEX(Parametros!$B$13:$B$16,MATCH($F917,Parametros!$A$13:$A$16,0))</f>
        <v>231.02796</v>
      </c>
      <c r="U917" s="21" t="n">
        <f aca="false">P917-R917-S917-T917</f>
        <v>2357.29004</v>
      </c>
      <c r="V917" s="19" t="n">
        <f aca="false">IFERROR(U917/P917,0)</f>
        <v>0.306104513064133</v>
      </c>
      <c r="W917" s="48" t="n">
        <f aca="false">B917+INDEX(Parametros!$C$13:$C$16,MATCH($F917,Parametros!$A$13:$A$16,0))</f>
        <v>46031</v>
      </c>
      <c r="X917" s="31" t="s">
        <v>67</v>
      </c>
      <c r="Y917" s="53" t="n">
        <f aca="false">IF(COUNTIF($A$2:$A917,A917)=1,1,0)</f>
        <v>0</v>
      </c>
    </row>
    <row r="918" customFormat="false" ht="15" hidden="false" customHeight="false" outlineLevel="0" collapsed="false">
      <c r="A918" s="31" t="s">
        <v>736</v>
      </c>
      <c r="B918" s="36" t="n">
        <v>45971</v>
      </c>
      <c r="C918" s="49" t="n">
        <f aca="false">DATE(YEAR(B918),MONTH(B918),1)</f>
        <v>45962</v>
      </c>
      <c r="D918" s="31" t="s">
        <v>199</v>
      </c>
      <c r="E918" s="31" t="s">
        <v>41</v>
      </c>
      <c r="F918" s="31" t="s">
        <v>45</v>
      </c>
      <c r="G918" s="31" t="s">
        <v>58</v>
      </c>
      <c r="H918" s="31" t="s">
        <v>171</v>
      </c>
      <c r="I918" s="32" t="str">
        <f aca="false">INDEX(Productos!$B$2:$B$13,MATCH($H918,Productos!$A$2:$A$13,0))</f>
        <v>Tornillo DIN 7991 M8x30 avellanado inox A2</v>
      </c>
      <c r="J918" s="32" t="str">
        <f aca="false">INDEX(Productos!$C$2:$C$13,MATCH($H918,Productos!$A$2:$A$13,0))</f>
        <v>Inoxidable</v>
      </c>
      <c r="K918" s="31" t="s">
        <v>246</v>
      </c>
      <c r="L918" s="46" t="n">
        <v>33</v>
      </c>
      <c r="M918" s="50" t="n">
        <f aca="false">INDEX(Productos!$F$2:$F$13,MATCH($H918,Productos!$A$2:$A$13,0))</f>
        <v>88</v>
      </c>
      <c r="N918" s="51" t="n">
        <v>0.184</v>
      </c>
      <c r="O918" s="52" t="n">
        <f aca="false">M918*(1-N918)</f>
        <v>71.808</v>
      </c>
      <c r="P918" s="21" t="n">
        <f aca="false">L918*O918</f>
        <v>2369.664</v>
      </c>
      <c r="Q918" s="50" t="n">
        <f aca="false">INDEX(Productos!$E$2:$E$13,MATCH($H918,Productos!$A$2:$A$13,0))*INDEX(Parametros!$B$26:$B$43,MATCH($C918,Parametros!$A$26:$A$43,0))</f>
        <v>47.43</v>
      </c>
      <c r="R918" s="21" t="n">
        <f aca="false">L918*Q918</f>
        <v>1565.19</v>
      </c>
      <c r="S918" s="18" t="n">
        <f aca="false">L918*INDEX(Parametros!$B$20:$B$22,MATCH($E918,Parametros!$A$20:$A$22,0))</f>
        <v>28.05</v>
      </c>
      <c r="T918" s="18" t="n">
        <f aca="false">P918*INDEX(Parametros!$B$13:$B$16,MATCH($F918,Parametros!$A$13:$A$16,0))</f>
        <v>71.08992</v>
      </c>
      <c r="U918" s="21" t="n">
        <f aca="false">P918-R918-S918-T918</f>
        <v>705.33408</v>
      </c>
      <c r="V918" s="19" t="n">
        <f aca="false">IFERROR(U918/P918,0)</f>
        <v>0.297651515151515</v>
      </c>
      <c r="W918" s="48" t="n">
        <f aca="false">B918+INDEX(Parametros!$C$13:$C$16,MATCH($F918,Parametros!$A$13:$A$16,0))</f>
        <v>46031</v>
      </c>
      <c r="X918" s="31" t="s">
        <v>67</v>
      </c>
      <c r="Y918" s="53" t="n">
        <f aca="false">IF(COUNTIF($A$2:$A918,A918)=1,1,0)</f>
        <v>0</v>
      </c>
    </row>
    <row r="919" customFormat="false" ht="15" hidden="false" customHeight="false" outlineLevel="0" collapsed="false">
      <c r="A919" s="31" t="s">
        <v>737</v>
      </c>
      <c r="B919" s="36" t="n">
        <v>45971</v>
      </c>
      <c r="C919" s="49" t="n">
        <f aca="false">DATE(YEAR(B919),MONTH(B919),1)</f>
        <v>45962</v>
      </c>
      <c r="D919" s="31" t="s">
        <v>193</v>
      </c>
      <c r="E919" s="31" t="s">
        <v>41</v>
      </c>
      <c r="F919" s="31" t="s">
        <v>45</v>
      </c>
      <c r="G919" s="31" t="s">
        <v>62</v>
      </c>
      <c r="H919" s="31" t="s">
        <v>183</v>
      </c>
      <c r="I919" s="32" t="str">
        <f aca="false">INDEX(Productos!$B$2:$B$13,MATCH($H919,Productos!$A$2:$A$13,0))</f>
        <v>Tornillo estructural M16x90 clase 10.9</v>
      </c>
      <c r="J919" s="32" t="str">
        <f aca="false">INDEX(Productos!$C$2:$C$13,MATCH($H919,Productos!$A$2:$A$13,0))</f>
        <v>Especial</v>
      </c>
      <c r="K919" s="31" t="s">
        <v>246</v>
      </c>
      <c r="L919" s="46" t="n">
        <v>86</v>
      </c>
      <c r="M919" s="50" t="n">
        <f aca="false">INDEX(Productos!$F$2:$F$13,MATCH($H919,Productos!$A$2:$A$13,0))</f>
        <v>112</v>
      </c>
      <c r="N919" s="51" t="n">
        <v>0.148</v>
      </c>
      <c r="O919" s="52" t="n">
        <f aca="false">M919*(1-N919)</f>
        <v>95.424</v>
      </c>
      <c r="P919" s="21" t="n">
        <f aca="false">L919*O919</f>
        <v>8206.464</v>
      </c>
      <c r="Q919" s="50" t="n">
        <f aca="false">INDEX(Productos!$E$2:$E$13,MATCH($H919,Productos!$A$2:$A$13,0))*INDEX(Parametros!$B$26:$B$43,MATCH($C919,Parametros!$A$26:$A$43,0))</f>
        <v>61.2</v>
      </c>
      <c r="R919" s="21" t="n">
        <f aca="false">L919*Q919</f>
        <v>5263.2</v>
      </c>
      <c r="S919" s="18" t="n">
        <f aca="false">L919*INDEX(Parametros!$B$20:$B$22,MATCH($E919,Parametros!$A$20:$A$22,0))</f>
        <v>73.1</v>
      </c>
      <c r="T919" s="18" t="n">
        <f aca="false">P919*INDEX(Parametros!$B$13:$B$16,MATCH($F919,Parametros!$A$13:$A$16,0))</f>
        <v>246.19392</v>
      </c>
      <c r="U919" s="21" t="n">
        <f aca="false">P919-R919-S919-T919</f>
        <v>2623.97008</v>
      </c>
      <c r="V919" s="19" t="n">
        <f aca="false">IFERROR(U919/P919,0)</f>
        <v>0.319744299128102</v>
      </c>
      <c r="W919" s="48" t="n">
        <f aca="false">B919+INDEX(Parametros!$C$13:$C$16,MATCH($F919,Parametros!$A$13:$A$16,0))</f>
        <v>46031</v>
      </c>
      <c r="X919" s="31" t="s">
        <v>67</v>
      </c>
      <c r="Y919" s="53" t="n">
        <f aca="false">IF(COUNTIF($A$2:$A919,A919)=1,1,0)</f>
        <v>1</v>
      </c>
    </row>
    <row r="920" customFormat="false" ht="15" hidden="false" customHeight="false" outlineLevel="0" collapsed="false">
      <c r="A920" s="31" t="s">
        <v>737</v>
      </c>
      <c r="B920" s="36" t="n">
        <v>45971</v>
      </c>
      <c r="C920" s="49" t="n">
        <f aca="false">DATE(YEAR(B920),MONTH(B920),1)</f>
        <v>45962</v>
      </c>
      <c r="D920" s="31" t="s">
        <v>193</v>
      </c>
      <c r="E920" s="31" t="s">
        <v>41</v>
      </c>
      <c r="F920" s="31" t="s">
        <v>45</v>
      </c>
      <c r="G920" s="31" t="s">
        <v>62</v>
      </c>
      <c r="H920" s="31" t="s">
        <v>177</v>
      </c>
      <c r="I920" s="32" t="str">
        <f aca="false">INDEX(Productos!$B$2:$B$13,MATCH($H920,Productos!$A$2:$A$13,0))</f>
        <v>Tirafondo madera 6x100 cabeza plana Torx</v>
      </c>
      <c r="J920" s="32" t="str">
        <f aca="false">INDEX(Productos!$C$2:$C$13,MATCH($H920,Productos!$A$2:$A$13,0))</f>
        <v>Madera</v>
      </c>
      <c r="K920" s="31" t="s">
        <v>246</v>
      </c>
      <c r="L920" s="46" t="n">
        <v>110</v>
      </c>
      <c r="M920" s="50" t="n">
        <f aca="false">INDEX(Productos!$F$2:$F$13,MATCH($H920,Productos!$A$2:$A$13,0))</f>
        <v>34</v>
      </c>
      <c r="N920" s="51" t="n">
        <v>0.126</v>
      </c>
      <c r="O920" s="52" t="n">
        <f aca="false">M920*(1-N920)</f>
        <v>29.716</v>
      </c>
      <c r="P920" s="21" t="n">
        <f aca="false">L920*O920</f>
        <v>3268.76</v>
      </c>
      <c r="Q920" s="50" t="n">
        <f aca="false">INDEX(Productos!$E$2:$E$13,MATCH($H920,Productos!$A$2:$A$13,0))*INDEX(Parametros!$B$26:$B$43,MATCH($C920,Parametros!$A$26:$A$43,0))</f>
        <v>18.156</v>
      </c>
      <c r="R920" s="21" t="n">
        <f aca="false">L920*Q920</f>
        <v>1997.16</v>
      </c>
      <c r="S920" s="18" t="n">
        <f aca="false">L920*INDEX(Parametros!$B$20:$B$22,MATCH($E920,Parametros!$A$20:$A$22,0))</f>
        <v>93.5</v>
      </c>
      <c r="T920" s="18" t="n">
        <f aca="false">P920*INDEX(Parametros!$B$13:$B$16,MATCH($F920,Parametros!$A$13:$A$16,0))</f>
        <v>98.0628</v>
      </c>
      <c r="U920" s="21" t="n">
        <f aca="false">P920-R920-S920-T920</f>
        <v>1080.0372</v>
      </c>
      <c r="V920" s="19" t="n">
        <f aca="false">IFERROR(U920/P920,0)</f>
        <v>0.330411899313501</v>
      </c>
      <c r="W920" s="48" t="n">
        <f aca="false">B920+INDEX(Parametros!$C$13:$C$16,MATCH($F920,Parametros!$A$13:$A$16,0))</f>
        <v>46031</v>
      </c>
      <c r="X920" s="31" t="s">
        <v>67</v>
      </c>
      <c r="Y920" s="53" t="n">
        <f aca="false">IF(COUNTIF($A$2:$A920,A920)=1,1,0)</f>
        <v>0</v>
      </c>
    </row>
    <row r="921" customFormat="false" ht="15" hidden="false" customHeight="false" outlineLevel="0" collapsed="false">
      <c r="A921" s="31" t="s">
        <v>738</v>
      </c>
      <c r="B921" s="36" t="n">
        <v>45971</v>
      </c>
      <c r="C921" s="49" t="n">
        <f aca="false">DATE(YEAR(B921),MONTH(B921),1)</f>
        <v>45962</v>
      </c>
      <c r="D921" s="31" t="s">
        <v>220</v>
      </c>
      <c r="E921" s="31" t="s">
        <v>42</v>
      </c>
      <c r="F921" s="31" t="s">
        <v>46</v>
      </c>
      <c r="G921" s="31" t="s">
        <v>61</v>
      </c>
      <c r="H921" s="31" t="s">
        <v>169</v>
      </c>
      <c r="I921" s="32" t="str">
        <f aca="false">INDEX(Productos!$B$2:$B$13,MATCH($H921,Productos!$A$2:$A$13,0))</f>
        <v>Tornillo DIN 912 M10x60 Allen inox A2</v>
      </c>
      <c r="J921" s="32" t="str">
        <f aca="false">INDEX(Productos!$C$2:$C$13,MATCH($H921,Productos!$A$2:$A$13,0))</f>
        <v>Inoxidable</v>
      </c>
      <c r="K921" s="31" t="s">
        <v>246</v>
      </c>
      <c r="L921" s="46" t="n">
        <v>44</v>
      </c>
      <c r="M921" s="50" t="n">
        <f aca="false">INDEX(Productos!$F$2:$F$13,MATCH($H921,Productos!$A$2:$A$13,0))</f>
        <v>79</v>
      </c>
      <c r="N921" s="51" t="n">
        <v>0.095</v>
      </c>
      <c r="O921" s="52" t="n">
        <f aca="false">M921*(1-N921)</f>
        <v>71.495</v>
      </c>
      <c r="P921" s="21" t="n">
        <f aca="false">L921*O921</f>
        <v>3145.78</v>
      </c>
      <c r="Q921" s="50" t="n">
        <f aca="false">INDEX(Productos!$E$2:$E$13,MATCH($H921,Productos!$A$2:$A$13,0))*INDEX(Parametros!$B$26:$B$43,MATCH($C921,Parametros!$A$26:$A$43,0))</f>
        <v>42.84</v>
      </c>
      <c r="R921" s="21" t="n">
        <f aca="false">L921*Q921</f>
        <v>1884.96</v>
      </c>
      <c r="S921" s="18" t="n">
        <f aca="false">L921*INDEX(Parametros!$B$20:$B$22,MATCH($E921,Parametros!$A$20:$A$22,0))</f>
        <v>105.6</v>
      </c>
      <c r="T921" s="18" t="n">
        <f aca="false">P921*INDEX(Parametros!$B$13:$B$16,MATCH($F921,Parametros!$A$13:$A$16,0))</f>
        <v>125.8312</v>
      </c>
      <c r="U921" s="21" t="n">
        <f aca="false">P921-R921-S921-T921</f>
        <v>1029.3888</v>
      </c>
      <c r="V921" s="19" t="n">
        <f aca="false">IFERROR(U921/P921,0)</f>
        <v>0.32722847751591</v>
      </c>
      <c r="W921" s="48" t="n">
        <f aca="false">B921+INDEX(Parametros!$C$13:$C$16,MATCH($F921,Parametros!$A$13:$A$16,0))</f>
        <v>46046</v>
      </c>
      <c r="X921" s="31" t="s">
        <v>69</v>
      </c>
      <c r="Y921" s="53" t="n">
        <f aca="false">IF(COUNTIF($A$2:$A921,A921)=1,1,0)</f>
        <v>1</v>
      </c>
    </row>
    <row r="922" customFormat="false" ht="15" hidden="false" customHeight="false" outlineLevel="0" collapsed="false">
      <c r="A922" s="31" t="s">
        <v>739</v>
      </c>
      <c r="B922" s="36" t="n">
        <v>45971</v>
      </c>
      <c r="C922" s="49" t="n">
        <f aca="false">DATE(YEAR(B922),MONTH(B922),1)</f>
        <v>45962</v>
      </c>
      <c r="D922" s="31" t="s">
        <v>218</v>
      </c>
      <c r="E922" s="31" t="s">
        <v>42</v>
      </c>
      <c r="F922" s="31" t="s">
        <v>45</v>
      </c>
      <c r="G922" s="31" t="s">
        <v>61</v>
      </c>
      <c r="H922" s="31" t="s">
        <v>173</v>
      </c>
      <c r="I922" s="32" t="str">
        <f aca="false">INDEX(Productos!$B$2:$B$13,MATCH($H922,Productos!$A$2:$A$13,0))</f>
        <v>Tornillo DIN 933 M12x70 clase 8.8</v>
      </c>
      <c r="J922" s="32" t="str">
        <f aca="false">INDEX(Productos!$C$2:$C$13,MATCH($H922,Productos!$A$2:$A$13,0))</f>
        <v>Métrica</v>
      </c>
      <c r="K922" s="31" t="s">
        <v>246</v>
      </c>
      <c r="L922" s="46" t="n">
        <v>56</v>
      </c>
      <c r="M922" s="50" t="n">
        <f aca="false">INDEX(Productos!$F$2:$F$13,MATCH($H922,Productos!$A$2:$A$13,0))</f>
        <v>64</v>
      </c>
      <c r="N922" s="51" t="n">
        <v>0.168</v>
      </c>
      <c r="O922" s="52" t="n">
        <f aca="false">M922*(1-N922)</f>
        <v>53.248</v>
      </c>
      <c r="P922" s="21" t="n">
        <f aca="false">L922*O922</f>
        <v>2981.888</v>
      </c>
      <c r="Q922" s="50" t="n">
        <f aca="false">INDEX(Productos!$E$2:$E$13,MATCH($H922,Productos!$A$2:$A$13,0))*INDEX(Parametros!$B$26:$B$43,MATCH($C922,Parametros!$A$26:$A$43,0))</f>
        <v>34.17</v>
      </c>
      <c r="R922" s="21" t="n">
        <f aca="false">L922*Q922</f>
        <v>1913.52</v>
      </c>
      <c r="S922" s="18" t="n">
        <f aca="false">L922*INDEX(Parametros!$B$20:$B$22,MATCH($E922,Parametros!$A$20:$A$22,0))</f>
        <v>134.4</v>
      </c>
      <c r="T922" s="18" t="n">
        <f aca="false">P922*INDEX(Parametros!$B$13:$B$16,MATCH($F922,Parametros!$A$13:$A$16,0))</f>
        <v>89.45664</v>
      </c>
      <c r="U922" s="21" t="n">
        <f aca="false">P922-R922-S922-T922</f>
        <v>844.51136</v>
      </c>
      <c r="V922" s="19" t="n">
        <f aca="false">IFERROR(U922/P922,0)</f>
        <v>0.283213641826923</v>
      </c>
      <c r="W922" s="48" t="n">
        <f aca="false">B922+INDEX(Parametros!$C$13:$C$16,MATCH($F922,Parametros!$A$13:$A$16,0))</f>
        <v>46031</v>
      </c>
      <c r="X922" s="31" t="s">
        <v>67</v>
      </c>
      <c r="Y922" s="53" t="n">
        <f aca="false">IF(COUNTIF($A$2:$A922,A922)=1,1,0)</f>
        <v>1</v>
      </c>
    </row>
    <row r="923" customFormat="false" ht="15" hidden="false" customHeight="false" outlineLevel="0" collapsed="false">
      <c r="A923" s="31" t="s">
        <v>740</v>
      </c>
      <c r="B923" s="36" t="n">
        <v>45972</v>
      </c>
      <c r="C923" s="49" t="n">
        <f aca="false">DATE(YEAR(B923),MONTH(B923),1)</f>
        <v>45962</v>
      </c>
      <c r="D923" s="31" t="s">
        <v>202</v>
      </c>
      <c r="E923" s="31" t="s">
        <v>41</v>
      </c>
      <c r="F923" s="31" t="s">
        <v>46</v>
      </c>
      <c r="G923" s="31" t="s">
        <v>62</v>
      </c>
      <c r="H923" s="31" t="s">
        <v>183</v>
      </c>
      <c r="I923" s="32" t="str">
        <f aca="false">INDEX(Productos!$B$2:$B$13,MATCH($H923,Productos!$A$2:$A$13,0))</f>
        <v>Tornillo estructural M16x90 clase 10.9</v>
      </c>
      <c r="J923" s="32" t="str">
        <f aca="false">INDEX(Productos!$C$2:$C$13,MATCH($H923,Productos!$A$2:$A$13,0))</f>
        <v>Especial</v>
      </c>
      <c r="K923" s="31" t="s">
        <v>246</v>
      </c>
      <c r="L923" s="46" t="n">
        <v>37</v>
      </c>
      <c r="M923" s="50" t="n">
        <f aca="false">INDEX(Productos!$F$2:$F$13,MATCH($H923,Productos!$A$2:$A$13,0))</f>
        <v>112</v>
      </c>
      <c r="N923" s="51" t="n">
        <v>0.16</v>
      </c>
      <c r="O923" s="52" t="n">
        <f aca="false">M923*(1-N923)</f>
        <v>94.08</v>
      </c>
      <c r="P923" s="21" t="n">
        <f aca="false">L923*O923</f>
        <v>3480.96</v>
      </c>
      <c r="Q923" s="50" t="n">
        <f aca="false">INDEX(Productos!$E$2:$E$13,MATCH($H923,Productos!$A$2:$A$13,0))*INDEX(Parametros!$B$26:$B$43,MATCH($C923,Parametros!$A$26:$A$43,0))</f>
        <v>61.2</v>
      </c>
      <c r="R923" s="21" t="n">
        <f aca="false">L923*Q923</f>
        <v>2264.4</v>
      </c>
      <c r="S923" s="18" t="n">
        <f aca="false">L923*INDEX(Parametros!$B$20:$B$22,MATCH($E923,Parametros!$A$20:$A$22,0))</f>
        <v>31.45</v>
      </c>
      <c r="T923" s="18" t="n">
        <f aca="false">P923*INDEX(Parametros!$B$13:$B$16,MATCH($F923,Parametros!$A$13:$A$16,0))</f>
        <v>139.2384</v>
      </c>
      <c r="U923" s="21" t="n">
        <f aca="false">P923-R923-S923-T923</f>
        <v>1045.8716</v>
      </c>
      <c r="V923" s="19" t="n">
        <f aca="false">IFERROR(U923/P923,0)</f>
        <v>0.300454931972789</v>
      </c>
      <c r="W923" s="48" t="n">
        <f aca="false">B923+INDEX(Parametros!$C$13:$C$16,MATCH($F923,Parametros!$A$13:$A$16,0))</f>
        <v>46047</v>
      </c>
      <c r="X923" s="31" t="s">
        <v>67</v>
      </c>
      <c r="Y923" s="53" t="n">
        <f aca="false">IF(COUNTIF($A$2:$A923,A923)=1,1,0)</f>
        <v>1</v>
      </c>
    </row>
    <row r="924" customFormat="false" ht="15" hidden="false" customHeight="false" outlineLevel="0" collapsed="false">
      <c r="A924" s="31" t="s">
        <v>740</v>
      </c>
      <c r="B924" s="36" t="n">
        <v>45972</v>
      </c>
      <c r="C924" s="49" t="n">
        <f aca="false">DATE(YEAR(B924),MONTH(B924),1)</f>
        <v>45962</v>
      </c>
      <c r="D924" s="31" t="s">
        <v>202</v>
      </c>
      <c r="E924" s="31" t="s">
        <v>41</v>
      </c>
      <c r="F924" s="31" t="s">
        <v>46</v>
      </c>
      <c r="G924" s="31" t="s">
        <v>62</v>
      </c>
      <c r="H924" s="31" t="s">
        <v>175</v>
      </c>
      <c r="I924" s="32" t="str">
        <f aca="false">INDEX(Productos!$B$2:$B$13,MATCH($H924,Productos!$A$2:$A$13,0))</f>
        <v>Tirafondo madera 5x60 cabeza plana Torx</v>
      </c>
      <c r="J924" s="32" t="str">
        <f aca="false">INDEX(Productos!$C$2:$C$13,MATCH($H924,Productos!$A$2:$A$13,0))</f>
        <v>Madera</v>
      </c>
      <c r="K924" s="31" t="s">
        <v>246</v>
      </c>
      <c r="L924" s="46" t="n">
        <v>41</v>
      </c>
      <c r="M924" s="50" t="n">
        <f aca="false">INDEX(Productos!$F$2:$F$13,MATCH($H924,Productos!$A$2:$A$13,0))</f>
        <v>26</v>
      </c>
      <c r="N924" s="51" t="n">
        <v>0.169</v>
      </c>
      <c r="O924" s="52" t="n">
        <f aca="false">M924*(1-N924)</f>
        <v>21.606</v>
      </c>
      <c r="P924" s="21" t="n">
        <f aca="false">L924*O924</f>
        <v>885.846</v>
      </c>
      <c r="Q924" s="50" t="n">
        <f aca="false">INDEX(Productos!$E$2:$E$13,MATCH($H924,Productos!$A$2:$A$13,0))*INDEX(Parametros!$B$26:$B$43,MATCH($C924,Parametros!$A$26:$A$43,0))</f>
        <v>13.668</v>
      </c>
      <c r="R924" s="21" t="n">
        <f aca="false">L924*Q924</f>
        <v>560.388</v>
      </c>
      <c r="S924" s="18" t="n">
        <f aca="false">L924*INDEX(Parametros!$B$20:$B$22,MATCH($E924,Parametros!$A$20:$A$22,0))</f>
        <v>34.85</v>
      </c>
      <c r="T924" s="18" t="n">
        <f aca="false">P924*INDEX(Parametros!$B$13:$B$16,MATCH($F924,Parametros!$A$13:$A$16,0))</f>
        <v>35.43384</v>
      </c>
      <c r="U924" s="21" t="n">
        <f aca="false">P924-R924-S924-T924</f>
        <v>255.17416</v>
      </c>
      <c r="V924" s="19" t="n">
        <f aca="false">IFERROR(U924/P924,0)</f>
        <v>0.288057021197815</v>
      </c>
      <c r="W924" s="48" t="n">
        <f aca="false">B924+INDEX(Parametros!$C$13:$C$16,MATCH($F924,Parametros!$A$13:$A$16,0))</f>
        <v>46047</v>
      </c>
      <c r="X924" s="31" t="s">
        <v>69</v>
      </c>
      <c r="Y924" s="53" t="n">
        <f aca="false">IF(COUNTIF($A$2:$A924,A924)=1,1,0)</f>
        <v>0</v>
      </c>
    </row>
    <row r="925" customFormat="false" ht="15" hidden="false" customHeight="false" outlineLevel="0" collapsed="false">
      <c r="A925" s="31" t="s">
        <v>740</v>
      </c>
      <c r="B925" s="36" t="n">
        <v>45972</v>
      </c>
      <c r="C925" s="49" t="n">
        <f aca="false">DATE(YEAR(B925),MONTH(B925),1)</f>
        <v>45962</v>
      </c>
      <c r="D925" s="31" t="s">
        <v>202</v>
      </c>
      <c r="E925" s="31" t="s">
        <v>41</v>
      </c>
      <c r="F925" s="31" t="s">
        <v>46</v>
      </c>
      <c r="G925" s="31" t="s">
        <v>62</v>
      </c>
      <c r="H925" s="31" t="s">
        <v>163</v>
      </c>
      <c r="I925" s="32" t="str">
        <f aca="false">INDEX(Productos!$B$2:$B$13,MATCH($H925,Productos!$A$2:$A$13,0))</f>
        <v>Tornillo DIN 933 M6x30 rosca completa zincado</v>
      </c>
      <c r="J925" s="32" t="str">
        <f aca="false">INDEX(Productos!$C$2:$C$13,MATCH($H925,Productos!$A$2:$A$13,0))</f>
        <v>Métrica</v>
      </c>
      <c r="K925" s="31" t="s">
        <v>246</v>
      </c>
      <c r="L925" s="46" t="n">
        <v>257</v>
      </c>
      <c r="M925" s="50" t="n">
        <f aca="false">INDEX(Productos!$F$2:$F$13,MATCH($H925,Productos!$A$2:$A$13,0))</f>
        <v>32</v>
      </c>
      <c r="N925" s="51" t="n">
        <v>0.135</v>
      </c>
      <c r="O925" s="52" t="n">
        <f aca="false">M925*(1-N925)</f>
        <v>27.68</v>
      </c>
      <c r="P925" s="21" t="n">
        <f aca="false">L925*O925</f>
        <v>7113.76</v>
      </c>
      <c r="Q925" s="50" t="n">
        <f aca="false">INDEX(Productos!$E$2:$E$13,MATCH($H925,Productos!$A$2:$A$13,0))*INDEX(Parametros!$B$26:$B$43,MATCH($C925,Parametros!$A$26:$A$43,0))</f>
        <v>16.932</v>
      </c>
      <c r="R925" s="21" t="n">
        <f aca="false">L925*Q925</f>
        <v>4351.524</v>
      </c>
      <c r="S925" s="18" t="n">
        <f aca="false">L925*INDEX(Parametros!$B$20:$B$22,MATCH($E925,Parametros!$A$20:$A$22,0))</f>
        <v>218.45</v>
      </c>
      <c r="T925" s="18" t="n">
        <f aca="false">P925*INDEX(Parametros!$B$13:$B$16,MATCH($F925,Parametros!$A$13:$A$16,0))</f>
        <v>284.5504</v>
      </c>
      <c r="U925" s="21" t="n">
        <f aca="false">P925-R925-S925-T925</f>
        <v>2259.2356</v>
      </c>
      <c r="V925" s="19" t="n">
        <f aca="false">IFERROR(U925/P925,0)</f>
        <v>0.317586705202312</v>
      </c>
      <c r="W925" s="48" t="n">
        <f aca="false">B925+INDEX(Parametros!$C$13:$C$16,MATCH($F925,Parametros!$A$13:$A$16,0))</f>
        <v>46047</v>
      </c>
      <c r="X925" s="31" t="s">
        <v>67</v>
      </c>
      <c r="Y925" s="53" t="n">
        <f aca="false">IF(COUNTIF($A$2:$A925,A925)=1,1,0)</f>
        <v>0</v>
      </c>
    </row>
    <row r="926" customFormat="false" ht="15" hidden="false" customHeight="false" outlineLevel="0" collapsed="false">
      <c r="A926" s="31" t="s">
        <v>741</v>
      </c>
      <c r="B926" s="36" t="n">
        <v>45972</v>
      </c>
      <c r="C926" s="49" t="n">
        <f aca="false">DATE(YEAR(B926),MONTH(B926),1)</f>
        <v>45962</v>
      </c>
      <c r="D926" s="31" t="s">
        <v>216</v>
      </c>
      <c r="E926" s="31" t="s">
        <v>42</v>
      </c>
      <c r="F926" s="31" t="s">
        <v>45</v>
      </c>
      <c r="G926" s="31" t="s">
        <v>61</v>
      </c>
      <c r="H926" s="31" t="s">
        <v>167</v>
      </c>
      <c r="I926" s="32" t="str">
        <f aca="false">INDEX(Productos!$B$2:$B$13,MATCH($H926,Productos!$A$2:$A$13,0))</f>
        <v>Tornillo DIN 912 M6x25 Allen zincado</v>
      </c>
      <c r="J926" s="32" t="str">
        <f aca="false">INDEX(Productos!$C$2:$C$13,MATCH($H926,Productos!$A$2:$A$13,0))</f>
        <v>Métrica</v>
      </c>
      <c r="K926" s="31" t="s">
        <v>246</v>
      </c>
      <c r="L926" s="46" t="n">
        <v>58</v>
      </c>
      <c r="M926" s="50" t="n">
        <f aca="false">INDEX(Productos!$F$2:$F$13,MATCH($H926,Productos!$A$2:$A$13,0))</f>
        <v>42</v>
      </c>
      <c r="N926" s="51" t="n">
        <v>0.138</v>
      </c>
      <c r="O926" s="52" t="n">
        <f aca="false">M926*(1-N926)</f>
        <v>36.204</v>
      </c>
      <c r="P926" s="21" t="n">
        <f aca="false">L926*O926</f>
        <v>2099.832</v>
      </c>
      <c r="Q926" s="50" t="n">
        <f aca="false">INDEX(Productos!$E$2:$E$13,MATCH($H926,Productos!$A$2:$A$13,0))*INDEX(Parametros!$B$26:$B$43,MATCH($C926,Parametros!$A$26:$A$43,0))</f>
        <v>22.236</v>
      </c>
      <c r="R926" s="21" t="n">
        <f aca="false">L926*Q926</f>
        <v>1289.688</v>
      </c>
      <c r="S926" s="18" t="n">
        <f aca="false">L926*INDEX(Parametros!$B$20:$B$22,MATCH($E926,Parametros!$A$20:$A$22,0))</f>
        <v>139.2</v>
      </c>
      <c r="T926" s="18" t="n">
        <f aca="false">P926*INDEX(Parametros!$B$13:$B$16,MATCH($F926,Parametros!$A$13:$A$16,0))</f>
        <v>62.99496</v>
      </c>
      <c r="U926" s="21" t="n">
        <f aca="false">P926-R926-S926-T926</f>
        <v>607.94904</v>
      </c>
      <c r="V926" s="19" t="n">
        <f aca="false">IFERROR(U926/P926,0)</f>
        <v>0.289522704673517</v>
      </c>
      <c r="W926" s="48" t="n">
        <f aca="false">B926+INDEX(Parametros!$C$13:$C$16,MATCH($F926,Parametros!$A$13:$A$16,0))</f>
        <v>46032</v>
      </c>
      <c r="X926" s="31" t="s">
        <v>67</v>
      </c>
      <c r="Y926" s="53" t="n">
        <f aca="false">IF(COUNTIF($A$2:$A926,A926)=1,1,0)</f>
        <v>1</v>
      </c>
    </row>
    <row r="927" customFormat="false" ht="15" hidden="false" customHeight="false" outlineLevel="0" collapsed="false">
      <c r="A927" s="31" t="s">
        <v>742</v>
      </c>
      <c r="B927" s="36" t="n">
        <v>45972</v>
      </c>
      <c r="C927" s="49" t="n">
        <f aca="false">DATE(YEAR(B927),MONTH(B927),1)</f>
        <v>45962</v>
      </c>
      <c r="D927" s="31" t="s">
        <v>197</v>
      </c>
      <c r="E927" s="31" t="s">
        <v>41</v>
      </c>
      <c r="F927" s="31" t="s">
        <v>46</v>
      </c>
      <c r="G927" s="31" t="s">
        <v>58</v>
      </c>
      <c r="H927" s="31" t="s">
        <v>167</v>
      </c>
      <c r="I927" s="32" t="str">
        <f aca="false">INDEX(Productos!$B$2:$B$13,MATCH($H927,Productos!$A$2:$A$13,0))</f>
        <v>Tornillo DIN 912 M6x25 Allen zincado</v>
      </c>
      <c r="J927" s="32" t="str">
        <f aca="false">INDEX(Productos!$C$2:$C$13,MATCH($H927,Productos!$A$2:$A$13,0))</f>
        <v>Métrica</v>
      </c>
      <c r="K927" s="31" t="s">
        <v>246</v>
      </c>
      <c r="L927" s="46" t="n">
        <v>128</v>
      </c>
      <c r="M927" s="50" t="n">
        <f aca="false">INDEX(Productos!$F$2:$F$13,MATCH($H927,Productos!$A$2:$A$13,0))</f>
        <v>42</v>
      </c>
      <c r="N927" s="51" t="n">
        <v>0.132</v>
      </c>
      <c r="O927" s="52" t="n">
        <f aca="false">M927*(1-N927)</f>
        <v>36.456</v>
      </c>
      <c r="P927" s="21" t="n">
        <f aca="false">L927*O927</f>
        <v>4666.368</v>
      </c>
      <c r="Q927" s="50" t="n">
        <f aca="false">INDEX(Productos!$E$2:$E$13,MATCH($H927,Productos!$A$2:$A$13,0))*INDEX(Parametros!$B$26:$B$43,MATCH($C927,Parametros!$A$26:$A$43,0))</f>
        <v>22.236</v>
      </c>
      <c r="R927" s="21" t="n">
        <f aca="false">L927*Q927</f>
        <v>2846.208</v>
      </c>
      <c r="S927" s="18" t="n">
        <f aca="false">L927*INDEX(Parametros!$B$20:$B$22,MATCH($E927,Parametros!$A$20:$A$22,0))</f>
        <v>108.8</v>
      </c>
      <c r="T927" s="18" t="n">
        <f aca="false">P927*INDEX(Parametros!$B$13:$B$16,MATCH($F927,Parametros!$A$13:$A$16,0))</f>
        <v>186.65472</v>
      </c>
      <c r="U927" s="21" t="n">
        <f aca="false">P927-R927-S927-T927</f>
        <v>1524.70528</v>
      </c>
      <c r="V927" s="19" t="n">
        <f aca="false">IFERROR(U927/P927,0)</f>
        <v>0.326743471582181</v>
      </c>
      <c r="W927" s="48" t="n">
        <f aca="false">B927+INDEX(Parametros!$C$13:$C$16,MATCH($F927,Parametros!$A$13:$A$16,0))</f>
        <v>46047</v>
      </c>
      <c r="X927" s="31" t="s">
        <v>67</v>
      </c>
      <c r="Y927" s="53" t="n">
        <f aca="false">IF(COUNTIF($A$2:$A927,A927)=1,1,0)</f>
        <v>1</v>
      </c>
    </row>
    <row r="928" customFormat="false" ht="15" hidden="false" customHeight="false" outlineLevel="0" collapsed="false">
      <c r="A928" s="31" t="s">
        <v>742</v>
      </c>
      <c r="B928" s="36" t="n">
        <v>45972</v>
      </c>
      <c r="C928" s="49" t="n">
        <f aca="false">DATE(YEAR(B928),MONTH(B928),1)</f>
        <v>45962</v>
      </c>
      <c r="D928" s="31" t="s">
        <v>197</v>
      </c>
      <c r="E928" s="31" t="s">
        <v>41</v>
      </c>
      <c r="F928" s="31" t="s">
        <v>46</v>
      </c>
      <c r="G928" s="31" t="s">
        <v>58</v>
      </c>
      <c r="H928" s="31" t="s">
        <v>175</v>
      </c>
      <c r="I928" s="32" t="str">
        <f aca="false">INDEX(Productos!$B$2:$B$13,MATCH($H928,Productos!$A$2:$A$13,0))</f>
        <v>Tirafondo madera 5x60 cabeza plana Torx</v>
      </c>
      <c r="J928" s="32" t="str">
        <f aca="false">INDEX(Productos!$C$2:$C$13,MATCH($H928,Productos!$A$2:$A$13,0))</f>
        <v>Madera</v>
      </c>
      <c r="K928" s="31" t="s">
        <v>246</v>
      </c>
      <c r="L928" s="46" t="n">
        <v>92</v>
      </c>
      <c r="M928" s="50" t="n">
        <f aca="false">INDEX(Productos!$F$2:$F$13,MATCH($H928,Productos!$A$2:$A$13,0))</f>
        <v>26</v>
      </c>
      <c r="N928" s="51" t="n">
        <v>0.155</v>
      </c>
      <c r="O928" s="52" t="n">
        <f aca="false">M928*(1-N928)</f>
        <v>21.97</v>
      </c>
      <c r="P928" s="21" t="n">
        <f aca="false">L928*O928</f>
        <v>2021.24</v>
      </c>
      <c r="Q928" s="50" t="n">
        <f aca="false">INDEX(Productos!$E$2:$E$13,MATCH($H928,Productos!$A$2:$A$13,0))*INDEX(Parametros!$B$26:$B$43,MATCH($C928,Parametros!$A$26:$A$43,0))</f>
        <v>13.668</v>
      </c>
      <c r="R928" s="21" t="n">
        <f aca="false">L928*Q928</f>
        <v>1257.456</v>
      </c>
      <c r="S928" s="18" t="n">
        <f aca="false">L928*INDEX(Parametros!$B$20:$B$22,MATCH($E928,Parametros!$A$20:$A$22,0))</f>
        <v>78.2</v>
      </c>
      <c r="T928" s="18" t="n">
        <f aca="false">P928*INDEX(Parametros!$B$13:$B$16,MATCH($F928,Parametros!$A$13:$A$16,0))</f>
        <v>80.8496</v>
      </c>
      <c r="U928" s="21" t="n">
        <f aca="false">P928-R928-S928-T928</f>
        <v>604.7344</v>
      </c>
      <c r="V928" s="19" t="n">
        <f aca="false">IFERROR(U928/P928,0)</f>
        <v>0.299189804278562</v>
      </c>
      <c r="W928" s="48" t="n">
        <f aca="false">B928+INDEX(Parametros!$C$13:$C$16,MATCH($F928,Parametros!$A$13:$A$16,0))</f>
        <v>46047</v>
      </c>
      <c r="X928" s="31" t="s">
        <v>67</v>
      </c>
      <c r="Y928" s="53" t="n">
        <f aca="false">IF(COUNTIF($A$2:$A928,A928)=1,1,0)</f>
        <v>0</v>
      </c>
    </row>
    <row r="929" customFormat="false" ht="15" hidden="false" customHeight="false" outlineLevel="0" collapsed="false">
      <c r="A929" s="31" t="s">
        <v>742</v>
      </c>
      <c r="B929" s="36" t="n">
        <v>45972</v>
      </c>
      <c r="C929" s="49" t="n">
        <f aca="false">DATE(YEAR(B929),MONTH(B929),1)</f>
        <v>45962</v>
      </c>
      <c r="D929" s="31" t="s">
        <v>197</v>
      </c>
      <c r="E929" s="31" t="s">
        <v>41</v>
      </c>
      <c r="F929" s="31" t="s">
        <v>46</v>
      </c>
      <c r="G929" s="31" t="s">
        <v>58</v>
      </c>
      <c r="H929" s="31" t="s">
        <v>183</v>
      </c>
      <c r="I929" s="32" t="str">
        <f aca="false">INDEX(Productos!$B$2:$B$13,MATCH($H929,Productos!$A$2:$A$13,0))</f>
        <v>Tornillo estructural M16x90 clase 10.9</v>
      </c>
      <c r="J929" s="32" t="str">
        <f aca="false">INDEX(Productos!$C$2:$C$13,MATCH($H929,Productos!$A$2:$A$13,0))</f>
        <v>Especial</v>
      </c>
      <c r="K929" s="31" t="s">
        <v>246</v>
      </c>
      <c r="L929" s="46" t="n">
        <v>129</v>
      </c>
      <c r="M929" s="50" t="n">
        <f aca="false">INDEX(Productos!$F$2:$F$13,MATCH($H929,Productos!$A$2:$A$13,0))</f>
        <v>112</v>
      </c>
      <c r="N929" s="51" t="n">
        <v>0.13</v>
      </c>
      <c r="O929" s="52" t="n">
        <f aca="false">M929*(1-N929)</f>
        <v>97.44</v>
      </c>
      <c r="P929" s="21" t="n">
        <f aca="false">L929*O929</f>
        <v>12569.76</v>
      </c>
      <c r="Q929" s="50" t="n">
        <f aca="false">INDEX(Productos!$E$2:$E$13,MATCH($H929,Productos!$A$2:$A$13,0))*INDEX(Parametros!$B$26:$B$43,MATCH($C929,Parametros!$A$26:$A$43,0))</f>
        <v>61.2</v>
      </c>
      <c r="R929" s="21" t="n">
        <f aca="false">L929*Q929</f>
        <v>7894.8</v>
      </c>
      <c r="S929" s="18" t="n">
        <f aca="false">L929*INDEX(Parametros!$B$20:$B$22,MATCH($E929,Parametros!$A$20:$A$22,0))</f>
        <v>109.65</v>
      </c>
      <c r="T929" s="18" t="n">
        <f aca="false">P929*INDEX(Parametros!$B$13:$B$16,MATCH($F929,Parametros!$A$13:$A$16,0))</f>
        <v>502.7904</v>
      </c>
      <c r="U929" s="21" t="n">
        <f aca="false">P929-R929-S929-T929</f>
        <v>4062.5196</v>
      </c>
      <c r="V929" s="19" t="n">
        <f aca="false">IFERROR(U929/P929,0)</f>
        <v>0.323197865353038</v>
      </c>
      <c r="W929" s="48" t="n">
        <f aca="false">B929+INDEX(Parametros!$C$13:$C$16,MATCH($F929,Parametros!$A$13:$A$16,0))</f>
        <v>46047</v>
      </c>
      <c r="X929" s="31" t="s">
        <v>67</v>
      </c>
      <c r="Y929" s="53" t="n">
        <f aca="false">IF(COUNTIF($A$2:$A929,A929)=1,1,0)</f>
        <v>0</v>
      </c>
    </row>
    <row r="930" customFormat="false" ht="15" hidden="false" customHeight="false" outlineLevel="0" collapsed="false">
      <c r="A930" s="31" t="s">
        <v>742</v>
      </c>
      <c r="B930" s="36" t="n">
        <v>45972</v>
      </c>
      <c r="C930" s="49" t="n">
        <f aca="false">DATE(YEAR(B930),MONTH(B930),1)</f>
        <v>45962</v>
      </c>
      <c r="D930" s="31" t="s">
        <v>197</v>
      </c>
      <c r="E930" s="31" t="s">
        <v>41</v>
      </c>
      <c r="F930" s="31" t="s">
        <v>46</v>
      </c>
      <c r="G930" s="31" t="s">
        <v>58</v>
      </c>
      <c r="H930" s="31" t="s">
        <v>181</v>
      </c>
      <c r="I930" s="32" t="str">
        <f aca="false">INDEX(Productos!$B$2:$B$13,MATCH($H930,Productos!$A$2:$A$13,0))</f>
        <v>Autotaladrante 5,5x55 punta broca</v>
      </c>
      <c r="J930" s="32" t="str">
        <f aca="false">INDEX(Productos!$C$2:$C$13,MATCH($H930,Productos!$A$2:$A$13,0))</f>
        <v>Autotaladrante</v>
      </c>
      <c r="K930" s="31" t="s">
        <v>246</v>
      </c>
      <c r="L930" s="46" t="n">
        <v>91</v>
      </c>
      <c r="M930" s="50" t="n">
        <f aca="false">INDEX(Productos!$F$2:$F$13,MATCH($H930,Productos!$A$2:$A$13,0))</f>
        <v>39</v>
      </c>
      <c r="N930" s="51" t="n">
        <v>0.108</v>
      </c>
      <c r="O930" s="52" t="n">
        <f aca="false">M930*(1-N930)</f>
        <v>34.788</v>
      </c>
      <c r="P930" s="21" t="n">
        <f aca="false">L930*O930</f>
        <v>3165.708</v>
      </c>
      <c r="Q930" s="50" t="n">
        <f aca="false">INDEX(Productos!$E$2:$E$13,MATCH($H930,Productos!$A$2:$A$13,0))*INDEX(Parametros!$B$26:$B$43,MATCH($C930,Parametros!$A$26:$A$43,0))</f>
        <v>20.706</v>
      </c>
      <c r="R930" s="21" t="n">
        <f aca="false">L930*Q930</f>
        <v>1884.246</v>
      </c>
      <c r="S930" s="18" t="n">
        <f aca="false">L930*INDEX(Parametros!$B$20:$B$22,MATCH($E930,Parametros!$A$20:$A$22,0))</f>
        <v>77.35</v>
      </c>
      <c r="T930" s="18" t="n">
        <f aca="false">P930*INDEX(Parametros!$B$13:$B$16,MATCH($F930,Parametros!$A$13:$A$16,0))</f>
        <v>126.62832</v>
      </c>
      <c r="U930" s="21" t="n">
        <f aca="false">P930-R930-S930-T930</f>
        <v>1077.48368</v>
      </c>
      <c r="V930" s="19" t="n">
        <f aca="false">IFERROR(U930/P930,0)</f>
        <v>0.340361044038174</v>
      </c>
      <c r="W930" s="48" t="n">
        <f aca="false">B930+INDEX(Parametros!$C$13:$C$16,MATCH($F930,Parametros!$A$13:$A$16,0))</f>
        <v>46047</v>
      </c>
      <c r="X930" s="31" t="s">
        <v>67</v>
      </c>
      <c r="Y930" s="53" t="n">
        <f aca="false">IF(COUNTIF($A$2:$A930,A930)=1,1,0)</f>
        <v>0</v>
      </c>
    </row>
    <row r="931" customFormat="false" ht="15" hidden="false" customHeight="false" outlineLevel="0" collapsed="false">
      <c r="A931" s="31" t="s">
        <v>743</v>
      </c>
      <c r="B931" s="36" t="n">
        <v>45973</v>
      </c>
      <c r="C931" s="49" t="n">
        <f aca="false">DATE(YEAR(B931),MONTH(B931),1)</f>
        <v>45962</v>
      </c>
      <c r="D931" s="31" t="s">
        <v>215</v>
      </c>
      <c r="E931" s="31" t="s">
        <v>42</v>
      </c>
      <c r="F931" s="31" t="s">
        <v>46</v>
      </c>
      <c r="G931" s="31" t="s">
        <v>61</v>
      </c>
      <c r="H931" s="31" t="s">
        <v>167</v>
      </c>
      <c r="I931" s="32" t="str">
        <f aca="false">INDEX(Productos!$B$2:$B$13,MATCH($H931,Productos!$A$2:$A$13,0))</f>
        <v>Tornillo DIN 912 M6x25 Allen zincado</v>
      </c>
      <c r="J931" s="32" t="str">
        <f aca="false">INDEX(Productos!$C$2:$C$13,MATCH($H931,Productos!$A$2:$A$13,0))</f>
        <v>Métrica</v>
      </c>
      <c r="K931" s="31" t="s">
        <v>246</v>
      </c>
      <c r="L931" s="46" t="n">
        <v>89</v>
      </c>
      <c r="M931" s="50" t="n">
        <f aca="false">INDEX(Productos!$F$2:$F$13,MATCH($H931,Productos!$A$2:$A$13,0))</f>
        <v>42</v>
      </c>
      <c r="N931" s="51" t="n">
        <v>0.127</v>
      </c>
      <c r="O931" s="52" t="n">
        <f aca="false">M931*(1-N931)</f>
        <v>36.666</v>
      </c>
      <c r="P931" s="21" t="n">
        <f aca="false">L931*O931</f>
        <v>3263.274</v>
      </c>
      <c r="Q931" s="50" t="n">
        <f aca="false">INDEX(Productos!$E$2:$E$13,MATCH($H931,Productos!$A$2:$A$13,0))*INDEX(Parametros!$B$26:$B$43,MATCH($C931,Parametros!$A$26:$A$43,0))</f>
        <v>22.236</v>
      </c>
      <c r="R931" s="21" t="n">
        <f aca="false">L931*Q931</f>
        <v>1979.004</v>
      </c>
      <c r="S931" s="18" t="n">
        <f aca="false">L931*INDEX(Parametros!$B$20:$B$22,MATCH($E931,Parametros!$A$20:$A$22,0))</f>
        <v>213.6</v>
      </c>
      <c r="T931" s="18" t="n">
        <f aca="false">P931*INDEX(Parametros!$B$13:$B$16,MATCH($F931,Parametros!$A$13:$A$16,0))</f>
        <v>130.53096</v>
      </c>
      <c r="U931" s="21" t="n">
        <f aca="false">P931-R931-S931-T931</f>
        <v>940.13904</v>
      </c>
      <c r="V931" s="19" t="n">
        <f aca="false">IFERROR(U931/P931,0)</f>
        <v>0.288096874488627</v>
      </c>
      <c r="W931" s="48" t="n">
        <f aca="false">B931+INDEX(Parametros!$C$13:$C$16,MATCH($F931,Parametros!$A$13:$A$16,0))</f>
        <v>46048</v>
      </c>
      <c r="X931" s="31" t="s">
        <v>67</v>
      </c>
      <c r="Y931" s="53" t="n">
        <f aca="false">IF(COUNTIF($A$2:$A931,A931)=1,1,0)</f>
        <v>1</v>
      </c>
    </row>
    <row r="932" customFormat="false" ht="15" hidden="false" customHeight="false" outlineLevel="0" collapsed="false">
      <c r="A932" s="31" t="s">
        <v>744</v>
      </c>
      <c r="B932" s="36" t="n">
        <v>45973</v>
      </c>
      <c r="C932" s="49" t="n">
        <f aca="false">DATE(YEAR(B932),MONTH(B932),1)</f>
        <v>45962</v>
      </c>
      <c r="D932" s="31" t="s">
        <v>224</v>
      </c>
      <c r="E932" s="31" t="s">
        <v>43</v>
      </c>
      <c r="F932" s="31" t="s">
        <v>45</v>
      </c>
      <c r="G932" s="31" t="s">
        <v>59</v>
      </c>
      <c r="H932" s="31" t="s">
        <v>177</v>
      </c>
      <c r="I932" s="32" t="str">
        <f aca="false">INDEX(Productos!$B$2:$B$13,MATCH($H932,Productos!$A$2:$A$13,0))</f>
        <v>Tirafondo madera 6x100 cabeza plana Torx</v>
      </c>
      <c r="J932" s="32" t="str">
        <f aca="false">INDEX(Productos!$C$2:$C$13,MATCH($H932,Productos!$A$2:$A$13,0))</f>
        <v>Madera</v>
      </c>
      <c r="K932" s="31" t="s">
        <v>246</v>
      </c>
      <c r="L932" s="46" t="n">
        <v>41</v>
      </c>
      <c r="M932" s="50" t="n">
        <f aca="false">INDEX(Productos!$F$2:$F$13,MATCH($H932,Productos!$A$2:$A$13,0))</f>
        <v>34</v>
      </c>
      <c r="N932" s="51" t="n">
        <v>0.128</v>
      </c>
      <c r="O932" s="52" t="n">
        <f aca="false">M932*(1-N932)</f>
        <v>29.648</v>
      </c>
      <c r="P932" s="21" t="n">
        <f aca="false">L932*O932</f>
        <v>1215.568</v>
      </c>
      <c r="Q932" s="50" t="n">
        <f aca="false">INDEX(Productos!$E$2:$E$13,MATCH($H932,Productos!$A$2:$A$13,0))*INDEX(Parametros!$B$26:$B$43,MATCH($C932,Parametros!$A$26:$A$43,0))</f>
        <v>18.156</v>
      </c>
      <c r="R932" s="21" t="n">
        <f aca="false">L932*Q932</f>
        <v>744.396</v>
      </c>
      <c r="S932" s="18" t="n">
        <f aca="false">L932*INDEX(Parametros!$B$20:$B$22,MATCH($E932,Parametros!$A$20:$A$22,0))</f>
        <v>77.9</v>
      </c>
      <c r="T932" s="18" t="n">
        <f aca="false">P932*INDEX(Parametros!$B$13:$B$16,MATCH($F932,Parametros!$A$13:$A$16,0))</f>
        <v>36.46704</v>
      </c>
      <c r="U932" s="21" t="n">
        <f aca="false">P932-R932-S932-T932</f>
        <v>356.80496</v>
      </c>
      <c r="V932" s="19" t="n">
        <f aca="false">IFERROR(U932/P932,0)</f>
        <v>0.293529411764706</v>
      </c>
      <c r="W932" s="48" t="n">
        <f aca="false">B932+INDEX(Parametros!$C$13:$C$16,MATCH($F932,Parametros!$A$13:$A$16,0))</f>
        <v>46033</v>
      </c>
      <c r="X932" s="31" t="s">
        <v>67</v>
      </c>
      <c r="Y932" s="53" t="n">
        <f aca="false">IF(COUNTIF($A$2:$A932,A932)=1,1,0)</f>
        <v>1</v>
      </c>
    </row>
    <row r="933" customFormat="false" ht="15" hidden="false" customHeight="false" outlineLevel="0" collapsed="false">
      <c r="A933" s="31" t="s">
        <v>744</v>
      </c>
      <c r="B933" s="36" t="n">
        <v>45973</v>
      </c>
      <c r="C933" s="49" t="n">
        <f aca="false">DATE(YEAR(B933),MONTH(B933),1)</f>
        <v>45962</v>
      </c>
      <c r="D933" s="31" t="s">
        <v>224</v>
      </c>
      <c r="E933" s="31" t="s">
        <v>43</v>
      </c>
      <c r="F933" s="31" t="s">
        <v>45</v>
      </c>
      <c r="G933" s="31" t="s">
        <v>59</v>
      </c>
      <c r="H933" s="31" t="s">
        <v>183</v>
      </c>
      <c r="I933" s="32" t="str">
        <f aca="false">INDEX(Productos!$B$2:$B$13,MATCH($H933,Productos!$A$2:$A$13,0))</f>
        <v>Tornillo estructural M16x90 clase 10.9</v>
      </c>
      <c r="J933" s="32" t="str">
        <f aca="false">INDEX(Productos!$C$2:$C$13,MATCH($H933,Productos!$A$2:$A$13,0))</f>
        <v>Especial</v>
      </c>
      <c r="K933" s="31" t="s">
        <v>246</v>
      </c>
      <c r="L933" s="46" t="n">
        <v>117</v>
      </c>
      <c r="M933" s="50" t="n">
        <f aca="false">INDEX(Productos!$F$2:$F$13,MATCH($H933,Productos!$A$2:$A$13,0))</f>
        <v>112</v>
      </c>
      <c r="N933" s="51" t="n">
        <v>0.169</v>
      </c>
      <c r="O933" s="52" t="n">
        <f aca="false">M933*(1-N933)</f>
        <v>93.072</v>
      </c>
      <c r="P933" s="21" t="n">
        <f aca="false">L933*O933</f>
        <v>10889.424</v>
      </c>
      <c r="Q933" s="50" t="n">
        <f aca="false">INDEX(Productos!$E$2:$E$13,MATCH($H933,Productos!$A$2:$A$13,0))*INDEX(Parametros!$B$26:$B$43,MATCH($C933,Parametros!$A$26:$A$43,0))</f>
        <v>61.2</v>
      </c>
      <c r="R933" s="21" t="n">
        <f aca="false">L933*Q933</f>
        <v>7160.4</v>
      </c>
      <c r="S933" s="18" t="n">
        <f aca="false">L933*INDEX(Parametros!$B$20:$B$22,MATCH($E933,Parametros!$A$20:$A$22,0))</f>
        <v>222.3</v>
      </c>
      <c r="T933" s="18" t="n">
        <f aca="false">P933*INDEX(Parametros!$B$13:$B$16,MATCH($F933,Parametros!$A$13:$A$16,0))</f>
        <v>326.68272</v>
      </c>
      <c r="U933" s="21" t="n">
        <f aca="false">P933-R933-S933-T933</f>
        <v>3180.04128</v>
      </c>
      <c r="V933" s="19" t="n">
        <f aca="false">IFERROR(U933/P933,0)</f>
        <v>0.29203025614578</v>
      </c>
      <c r="W933" s="48" t="n">
        <f aca="false">B933+INDEX(Parametros!$C$13:$C$16,MATCH($F933,Parametros!$A$13:$A$16,0))</f>
        <v>46033</v>
      </c>
      <c r="X933" s="31" t="s">
        <v>67</v>
      </c>
      <c r="Y933" s="53" t="n">
        <f aca="false">IF(COUNTIF($A$2:$A933,A933)=1,1,0)</f>
        <v>0</v>
      </c>
    </row>
    <row r="934" customFormat="false" ht="15" hidden="false" customHeight="false" outlineLevel="0" collapsed="false">
      <c r="A934" s="31" t="s">
        <v>745</v>
      </c>
      <c r="B934" s="36" t="n">
        <v>45974</v>
      </c>
      <c r="C934" s="49" t="n">
        <f aca="false">DATE(YEAR(B934),MONTH(B934),1)</f>
        <v>45962</v>
      </c>
      <c r="D934" s="31" t="s">
        <v>195</v>
      </c>
      <c r="E934" s="31" t="s">
        <v>41</v>
      </c>
      <c r="F934" s="31" t="s">
        <v>45</v>
      </c>
      <c r="G934" s="31" t="s">
        <v>58</v>
      </c>
      <c r="H934" s="31" t="s">
        <v>177</v>
      </c>
      <c r="I934" s="32" t="str">
        <f aca="false">INDEX(Productos!$B$2:$B$13,MATCH($H934,Productos!$A$2:$A$13,0))</f>
        <v>Tirafondo madera 6x100 cabeza plana Torx</v>
      </c>
      <c r="J934" s="32" t="str">
        <f aca="false">INDEX(Productos!$C$2:$C$13,MATCH($H934,Productos!$A$2:$A$13,0))</f>
        <v>Madera</v>
      </c>
      <c r="K934" s="31" t="s">
        <v>246</v>
      </c>
      <c r="L934" s="46" t="n">
        <v>36</v>
      </c>
      <c r="M934" s="50" t="n">
        <f aca="false">INDEX(Productos!$F$2:$F$13,MATCH($H934,Productos!$A$2:$A$13,0))</f>
        <v>34</v>
      </c>
      <c r="N934" s="51" t="n">
        <v>0.175</v>
      </c>
      <c r="O934" s="52" t="n">
        <f aca="false">M934*(1-N934)</f>
        <v>28.05</v>
      </c>
      <c r="P934" s="21" t="n">
        <f aca="false">L934*O934</f>
        <v>1009.8</v>
      </c>
      <c r="Q934" s="50" t="n">
        <f aca="false">INDEX(Productos!$E$2:$E$13,MATCH($H934,Productos!$A$2:$A$13,0))*INDEX(Parametros!$B$26:$B$43,MATCH($C934,Parametros!$A$26:$A$43,0))</f>
        <v>18.156</v>
      </c>
      <c r="R934" s="21" t="n">
        <f aca="false">L934*Q934</f>
        <v>653.616</v>
      </c>
      <c r="S934" s="18" t="n">
        <f aca="false">L934*INDEX(Parametros!$B$20:$B$22,MATCH($E934,Parametros!$A$20:$A$22,0))</f>
        <v>30.6</v>
      </c>
      <c r="T934" s="18" t="n">
        <f aca="false">P934*INDEX(Parametros!$B$13:$B$16,MATCH($F934,Parametros!$A$13:$A$16,0))</f>
        <v>30.294</v>
      </c>
      <c r="U934" s="21" t="n">
        <f aca="false">P934-R934-S934-T934</f>
        <v>295.29</v>
      </c>
      <c r="V934" s="19" t="n">
        <f aca="false">IFERROR(U934/P934,0)</f>
        <v>0.292424242424242</v>
      </c>
      <c r="W934" s="48" t="n">
        <f aca="false">B934+INDEX(Parametros!$C$13:$C$16,MATCH($F934,Parametros!$A$13:$A$16,0))</f>
        <v>46034</v>
      </c>
      <c r="X934" s="31" t="s">
        <v>67</v>
      </c>
      <c r="Y934" s="53" t="n">
        <f aca="false">IF(COUNTIF($A$2:$A934,A934)=1,1,0)</f>
        <v>1</v>
      </c>
    </row>
    <row r="935" customFormat="false" ht="15" hidden="false" customHeight="false" outlineLevel="0" collapsed="false">
      <c r="A935" s="31" t="s">
        <v>745</v>
      </c>
      <c r="B935" s="36" t="n">
        <v>45974</v>
      </c>
      <c r="C935" s="49" t="n">
        <f aca="false">DATE(YEAR(B935),MONTH(B935),1)</f>
        <v>45962</v>
      </c>
      <c r="D935" s="31" t="s">
        <v>195</v>
      </c>
      <c r="E935" s="31" t="s">
        <v>41</v>
      </c>
      <c r="F935" s="31" t="s">
        <v>45</v>
      </c>
      <c r="G935" s="31" t="s">
        <v>58</v>
      </c>
      <c r="H935" s="31" t="s">
        <v>183</v>
      </c>
      <c r="I935" s="32" t="str">
        <f aca="false">INDEX(Productos!$B$2:$B$13,MATCH($H935,Productos!$A$2:$A$13,0))</f>
        <v>Tornillo estructural M16x90 clase 10.9</v>
      </c>
      <c r="J935" s="32" t="str">
        <f aca="false">INDEX(Productos!$C$2:$C$13,MATCH($H935,Productos!$A$2:$A$13,0))</f>
        <v>Especial</v>
      </c>
      <c r="K935" s="31" t="s">
        <v>246</v>
      </c>
      <c r="L935" s="46" t="n">
        <v>106</v>
      </c>
      <c r="M935" s="50" t="n">
        <f aca="false">INDEX(Productos!$F$2:$F$13,MATCH($H935,Productos!$A$2:$A$13,0))</f>
        <v>112</v>
      </c>
      <c r="N935" s="51" t="n">
        <v>0.161</v>
      </c>
      <c r="O935" s="52" t="n">
        <f aca="false">M935*(1-N935)</f>
        <v>93.968</v>
      </c>
      <c r="P935" s="21" t="n">
        <f aca="false">L935*O935</f>
        <v>9960.608</v>
      </c>
      <c r="Q935" s="50" t="n">
        <f aca="false">INDEX(Productos!$E$2:$E$13,MATCH($H935,Productos!$A$2:$A$13,0))*INDEX(Parametros!$B$26:$B$43,MATCH($C935,Parametros!$A$26:$A$43,0))</f>
        <v>61.2</v>
      </c>
      <c r="R935" s="21" t="n">
        <f aca="false">L935*Q935</f>
        <v>6487.2</v>
      </c>
      <c r="S935" s="18" t="n">
        <f aca="false">L935*INDEX(Parametros!$B$20:$B$22,MATCH($E935,Parametros!$A$20:$A$22,0))</f>
        <v>90.1</v>
      </c>
      <c r="T935" s="18" t="n">
        <f aca="false">P935*INDEX(Parametros!$B$13:$B$16,MATCH($F935,Parametros!$A$13:$A$16,0))</f>
        <v>298.81824</v>
      </c>
      <c r="U935" s="21" t="n">
        <f aca="false">P935-R935-S935-T935</f>
        <v>3084.48976</v>
      </c>
      <c r="V935" s="19" t="n">
        <f aca="false">IFERROR(U935/P935,0)</f>
        <v>0.309668823429252</v>
      </c>
      <c r="W935" s="48" t="n">
        <f aca="false">B935+INDEX(Parametros!$C$13:$C$16,MATCH($F935,Parametros!$A$13:$A$16,0))</f>
        <v>46034</v>
      </c>
      <c r="X935" s="31" t="s">
        <v>67</v>
      </c>
      <c r="Y935" s="53" t="n">
        <f aca="false">IF(COUNTIF($A$2:$A935,A935)=1,1,0)</f>
        <v>0</v>
      </c>
    </row>
    <row r="936" customFormat="false" ht="15" hidden="false" customHeight="false" outlineLevel="0" collapsed="false">
      <c r="A936" s="31" t="s">
        <v>746</v>
      </c>
      <c r="B936" s="36" t="n">
        <v>45975</v>
      </c>
      <c r="C936" s="49" t="n">
        <f aca="false">DATE(YEAR(B936),MONTH(B936),1)</f>
        <v>45962</v>
      </c>
      <c r="D936" s="31" t="s">
        <v>212</v>
      </c>
      <c r="E936" s="31" t="s">
        <v>42</v>
      </c>
      <c r="F936" s="31" t="s">
        <v>45</v>
      </c>
      <c r="G936" s="31" t="s">
        <v>61</v>
      </c>
      <c r="H936" s="31" t="s">
        <v>165</v>
      </c>
      <c r="I936" s="32" t="str">
        <f aca="false">INDEX(Productos!$B$2:$B$13,MATCH($H936,Productos!$A$2:$A$13,0))</f>
        <v>Tornillo DIN 933 M8x40 rosca completa zincado</v>
      </c>
      <c r="J936" s="32" t="str">
        <f aca="false">INDEX(Productos!$C$2:$C$13,MATCH($H936,Productos!$A$2:$A$13,0))</f>
        <v>Métrica</v>
      </c>
      <c r="K936" s="31" t="s">
        <v>246</v>
      </c>
      <c r="L936" s="46" t="n">
        <v>173</v>
      </c>
      <c r="M936" s="50" t="n">
        <f aca="false">INDEX(Productos!$F$2:$F$13,MATCH($H936,Productos!$A$2:$A$13,0))</f>
        <v>37.5</v>
      </c>
      <c r="N936" s="51" t="n">
        <v>0.127</v>
      </c>
      <c r="O936" s="52" t="n">
        <f aca="false">M936*(1-N936)</f>
        <v>32.7375</v>
      </c>
      <c r="P936" s="21" t="n">
        <f aca="false">L936*O936</f>
        <v>5663.5875</v>
      </c>
      <c r="Q936" s="50" t="n">
        <f aca="false">INDEX(Productos!$E$2:$E$13,MATCH($H936,Productos!$A$2:$A$13,0))*INDEX(Parametros!$B$26:$B$43,MATCH($C936,Parametros!$A$26:$A$43,0))</f>
        <v>19.788</v>
      </c>
      <c r="R936" s="21" t="n">
        <f aca="false">L936*Q936</f>
        <v>3423.324</v>
      </c>
      <c r="S936" s="18" t="n">
        <f aca="false">L936*INDEX(Parametros!$B$20:$B$22,MATCH($E936,Parametros!$A$20:$A$22,0))</f>
        <v>415.2</v>
      </c>
      <c r="T936" s="18" t="n">
        <f aca="false">P936*INDEX(Parametros!$B$13:$B$16,MATCH($F936,Parametros!$A$13:$A$16,0))</f>
        <v>169.907625</v>
      </c>
      <c r="U936" s="21" t="n">
        <f aca="false">P936-R936-S936-T936</f>
        <v>1655.155875</v>
      </c>
      <c r="V936" s="19" t="n">
        <f aca="false">IFERROR(U936/P936,0)</f>
        <v>0.292245131729668</v>
      </c>
      <c r="W936" s="48" t="n">
        <f aca="false">B936+INDEX(Parametros!$C$13:$C$16,MATCH($F936,Parametros!$A$13:$A$16,0))</f>
        <v>46035</v>
      </c>
      <c r="X936" s="31" t="s">
        <v>67</v>
      </c>
      <c r="Y936" s="53" t="n">
        <f aca="false">IF(COUNTIF($A$2:$A936,A936)=1,1,0)</f>
        <v>1</v>
      </c>
    </row>
    <row r="937" customFormat="false" ht="15" hidden="false" customHeight="false" outlineLevel="0" collapsed="false">
      <c r="A937" s="31" t="s">
        <v>746</v>
      </c>
      <c r="B937" s="36" t="n">
        <v>45975</v>
      </c>
      <c r="C937" s="49" t="n">
        <f aca="false">DATE(YEAR(B937),MONTH(B937),1)</f>
        <v>45962</v>
      </c>
      <c r="D937" s="31" t="s">
        <v>212</v>
      </c>
      <c r="E937" s="31" t="s">
        <v>42</v>
      </c>
      <c r="F937" s="31" t="s">
        <v>45</v>
      </c>
      <c r="G937" s="31" t="s">
        <v>61</v>
      </c>
      <c r="H937" s="31" t="s">
        <v>183</v>
      </c>
      <c r="I937" s="32" t="str">
        <f aca="false">INDEX(Productos!$B$2:$B$13,MATCH($H937,Productos!$A$2:$A$13,0))</f>
        <v>Tornillo estructural M16x90 clase 10.9</v>
      </c>
      <c r="J937" s="32" t="str">
        <f aca="false">INDEX(Productos!$C$2:$C$13,MATCH($H937,Productos!$A$2:$A$13,0))</f>
        <v>Especial</v>
      </c>
      <c r="K937" s="31" t="s">
        <v>246</v>
      </c>
      <c r="L937" s="46" t="n">
        <v>106</v>
      </c>
      <c r="M937" s="50" t="n">
        <f aca="false">INDEX(Productos!$F$2:$F$13,MATCH($H937,Productos!$A$2:$A$13,0))</f>
        <v>112</v>
      </c>
      <c r="N937" s="51" t="n">
        <v>0.166</v>
      </c>
      <c r="O937" s="52" t="n">
        <f aca="false">M937*(1-N937)</f>
        <v>93.408</v>
      </c>
      <c r="P937" s="21" t="n">
        <f aca="false">L937*O937</f>
        <v>9901.248</v>
      </c>
      <c r="Q937" s="50" t="n">
        <f aca="false">INDEX(Productos!$E$2:$E$13,MATCH($H937,Productos!$A$2:$A$13,0))*INDEX(Parametros!$B$26:$B$43,MATCH($C937,Parametros!$A$26:$A$43,0))</f>
        <v>61.2</v>
      </c>
      <c r="R937" s="21" t="n">
        <f aca="false">L937*Q937</f>
        <v>6487.2</v>
      </c>
      <c r="S937" s="18" t="n">
        <f aca="false">L937*INDEX(Parametros!$B$20:$B$22,MATCH($E937,Parametros!$A$20:$A$22,0))</f>
        <v>254.4</v>
      </c>
      <c r="T937" s="18" t="n">
        <f aca="false">P937*INDEX(Parametros!$B$13:$B$16,MATCH($F937,Parametros!$A$13:$A$16,0))</f>
        <v>297.03744</v>
      </c>
      <c r="U937" s="21" t="n">
        <f aca="false">P937-R937-S937-T937</f>
        <v>2862.61056</v>
      </c>
      <c r="V937" s="19" t="n">
        <f aca="false">IFERROR(U937/P937,0)</f>
        <v>0.289116135662898</v>
      </c>
      <c r="W937" s="48" t="n">
        <f aca="false">B937+INDEX(Parametros!$C$13:$C$16,MATCH($F937,Parametros!$A$13:$A$16,0))</f>
        <v>46035</v>
      </c>
      <c r="X937" s="31" t="s">
        <v>67</v>
      </c>
      <c r="Y937" s="53" t="n">
        <f aca="false">IF(COUNTIF($A$2:$A937,A937)=1,1,0)</f>
        <v>0</v>
      </c>
    </row>
    <row r="938" customFormat="false" ht="15" hidden="false" customHeight="false" outlineLevel="0" collapsed="false">
      <c r="A938" s="31" t="s">
        <v>746</v>
      </c>
      <c r="B938" s="36" t="n">
        <v>45975</v>
      </c>
      <c r="C938" s="49" t="n">
        <f aca="false">DATE(YEAR(B938),MONTH(B938),1)</f>
        <v>45962</v>
      </c>
      <c r="D938" s="31" t="s">
        <v>212</v>
      </c>
      <c r="E938" s="31" t="s">
        <v>42</v>
      </c>
      <c r="F938" s="31" t="s">
        <v>45</v>
      </c>
      <c r="G938" s="31" t="s">
        <v>61</v>
      </c>
      <c r="H938" s="31" t="s">
        <v>171</v>
      </c>
      <c r="I938" s="32" t="str">
        <f aca="false">INDEX(Productos!$B$2:$B$13,MATCH($H938,Productos!$A$2:$A$13,0))</f>
        <v>Tornillo DIN 7991 M8x30 avellanado inox A2</v>
      </c>
      <c r="J938" s="32" t="str">
        <f aca="false">INDEX(Productos!$C$2:$C$13,MATCH($H938,Productos!$A$2:$A$13,0))</f>
        <v>Inoxidable</v>
      </c>
      <c r="K938" s="31" t="s">
        <v>246</v>
      </c>
      <c r="L938" s="46" t="n">
        <v>97</v>
      </c>
      <c r="M938" s="50" t="n">
        <f aca="false">INDEX(Productos!$F$2:$F$13,MATCH($H938,Productos!$A$2:$A$13,0))</f>
        <v>88</v>
      </c>
      <c r="N938" s="51" t="n">
        <v>0.191</v>
      </c>
      <c r="O938" s="52" t="n">
        <f aca="false">M938*(1-N938)</f>
        <v>71.192</v>
      </c>
      <c r="P938" s="21" t="n">
        <f aca="false">L938*O938</f>
        <v>6905.624</v>
      </c>
      <c r="Q938" s="50" t="n">
        <f aca="false">INDEX(Productos!$E$2:$E$13,MATCH($H938,Productos!$A$2:$A$13,0))*INDEX(Parametros!$B$26:$B$43,MATCH($C938,Parametros!$A$26:$A$43,0))</f>
        <v>47.43</v>
      </c>
      <c r="R938" s="21" t="n">
        <f aca="false">L938*Q938</f>
        <v>4600.71</v>
      </c>
      <c r="S938" s="18" t="n">
        <f aca="false">L938*INDEX(Parametros!$B$20:$B$22,MATCH($E938,Parametros!$A$20:$A$22,0))</f>
        <v>232.8</v>
      </c>
      <c r="T938" s="18" t="n">
        <f aca="false">P938*INDEX(Parametros!$B$13:$B$16,MATCH($F938,Parametros!$A$13:$A$16,0))</f>
        <v>207.16872</v>
      </c>
      <c r="U938" s="21" t="n">
        <f aca="false">P938-R938-S938-T938</f>
        <v>1864.94528</v>
      </c>
      <c r="V938" s="19" t="n">
        <f aca="false">IFERROR(U938/P938,0)</f>
        <v>0.270061804697157</v>
      </c>
      <c r="W938" s="48" t="n">
        <f aca="false">B938+INDEX(Parametros!$C$13:$C$16,MATCH($F938,Parametros!$A$13:$A$16,0))</f>
        <v>46035</v>
      </c>
      <c r="X938" s="31" t="s">
        <v>67</v>
      </c>
      <c r="Y938" s="53" t="n">
        <f aca="false">IF(COUNTIF($A$2:$A938,A938)=1,1,0)</f>
        <v>0</v>
      </c>
    </row>
    <row r="939" customFormat="false" ht="15" hidden="false" customHeight="false" outlineLevel="0" collapsed="false">
      <c r="A939" s="31" t="s">
        <v>747</v>
      </c>
      <c r="B939" s="36" t="n">
        <v>45978</v>
      </c>
      <c r="C939" s="49" t="n">
        <f aca="false">DATE(YEAR(B939),MONTH(B939),1)</f>
        <v>45962</v>
      </c>
      <c r="D939" s="31" t="s">
        <v>222</v>
      </c>
      <c r="E939" s="31" t="s">
        <v>43</v>
      </c>
      <c r="F939" s="31" t="s">
        <v>45</v>
      </c>
      <c r="G939" s="31" t="s">
        <v>59</v>
      </c>
      <c r="H939" s="31" t="s">
        <v>183</v>
      </c>
      <c r="I939" s="32" t="str">
        <f aca="false">INDEX(Productos!$B$2:$B$13,MATCH($H939,Productos!$A$2:$A$13,0))</f>
        <v>Tornillo estructural M16x90 clase 10.9</v>
      </c>
      <c r="J939" s="32" t="str">
        <f aca="false">INDEX(Productos!$C$2:$C$13,MATCH($H939,Productos!$A$2:$A$13,0))</f>
        <v>Especial</v>
      </c>
      <c r="K939" s="31" t="s">
        <v>246</v>
      </c>
      <c r="L939" s="46" t="n">
        <v>299</v>
      </c>
      <c r="M939" s="50" t="n">
        <f aca="false">INDEX(Productos!$F$2:$F$13,MATCH($H939,Productos!$A$2:$A$13,0))</f>
        <v>112</v>
      </c>
      <c r="N939" s="51" t="n">
        <v>0.185</v>
      </c>
      <c r="O939" s="52" t="n">
        <f aca="false">M939*(1-N939)</f>
        <v>91.28</v>
      </c>
      <c r="P939" s="21" t="n">
        <f aca="false">L939*O939</f>
        <v>27292.72</v>
      </c>
      <c r="Q939" s="50" t="n">
        <f aca="false">INDEX(Productos!$E$2:$E$13,MATCH($H939,Productos!$A$2:$A$13,0))*INDEX(Parametros!$B$26:$B$43,MATCH($C939,Parametros!$A$26:$A$43,0))</f>
        <v>61.2</v>
      </c>
      <c r="R939" s="21" t="n">
        <f aca="false">L939*Q939</f>
        <v>18298.8</v>
      </c>
      <c r="S939" s="18" t="n">
        <f aca="false">L939*INDEX(Parametros!$B$20:$B$22,MATCH($E939,Parametros!$A$20:$A$22,0))</f>
        <v>568.1</v>
      </c>
      <c r="T939" s="18" t="n">
        <f aca="false">P939*INDEX(Parametros!$B$13:$B$16,MATCH($F939,Parametros!$A$13:$A$16,0))</f>
        <v>818.7816</v>
      </c>
      <c r="U939" s="21" t="n">
        <f aca="false">P939-R939-S939-T939</f>
        <v>7607.0384</v>
      </c>
      <c r="V939" s="19" t="n">
        <f aca="false">IFERROR(U939/P939,0)</f>
        <v>0.278720420683611</v>
      </c>
      <c r="W939" s="48" t="n">
        <f aca="false">B939+INDEX(Parametros!$C$13:$C$16,MATCH($F939,Parametros!$A$13:$A$16,0))</f>
        <v>46038</v>
      </c>
      <c r="X939" s="31" t="s">
        <v>67</v>
      </c>
      <c r="Y939" s="53" t="n">
        <f aca="false">IF(COUNTIF($A$2:$A939,A939)=1,1,0)</f>
        <v>1</v>
      </c>
    </row>
    <row r="940" customFormat="false" ht="15" hidden="false" customHeight="false" outlineLevel="0" collapsed="false">
      <c r="A940" s="31" t="s">
        <v>747</v>
      </c>
      <c r="B940" s="36" t="n">
        <v>45978</v>
      </c>
      <c r="C940" s="49" t="n">
        <f aca="false">DATE(YEAR(B940),MONTH(B940),1)</f>
        <v>45962</v>
      </c>
      <c r="D940" s="31" t="s">
        <v>222</v>
      </c>
      <c r="E940" s="31" t="s">
        <v>43</v>
      </c>
      <c r="F940" s="31" t="s">
        <v>45</v>
      </c>
      <c r="G940" s="31" t="s">
        <v>59</v>
      </c>
      <c r="H940" s="31" t="s">
        <v>177</v>
      </c>
      <c r="I940" s="32" t="str">
        <f aca="false">INDEX(Productos!$B$2:$B$13,MATCH($H940,Productos!$A$2:$A$13,0))</f>
        <v>Tirafondo madera 6x100 cabeza plana Torx</v>
      </c>
      <c r="J940" s="32" t="str">
        <f aca="false">INDEX(Productos!$C$2:$C$13,MATCH($H940,Productos!$A$2:$A$13,0))</f>
        <v>Madera</v>
      </c>
      <c r="K940" s="31" t="s">
        <v>246</v>
      </c>
      <c r="L940" s="46" t="n">
        <v>254</v>
      </c>
      <c r="M940" s="50" t="n">
        <f aca="false">INDEX(Productos!$F$2:$F$13,MATCH($H940,Productos!$A$2:$A$13,0))</f>
        <v>34</v>
      </c>
      <c r="N940" s="51" t="n">
        <v>0.212</v>
      </c>
      <c r="O940" s="52" t="n">
        <f aca="false">M940*(1-N940)</f>
        <v>26.792</v>
      </c>
      <c r="P940" s="21" t="n">
        <f aca="false">L940*O940</f>
        <v>6805.168</v>
      </c>
      <c r="Q940" s="50" t="n">
        <f aca="false">INDEX(Productos!$E$2:$E$13,MATCH($H940,Productos!$A$2:$A$13,0))*INDEX(Parametros!$B$26:$B$43,MATCH($C940,Parametros!$A$26:$A$43,0))</f>
        <v>18.156</v>
      </c>
      <c r="R940" s="21" t="n">
        <f aca="false">L940*Q940</f>
        <v>4611.624</v>
      </c>
      <c r="S940" s="18" t="n">
        <f aca="false">L940*INDEX(Parametros!$B$20:$B$22,MATCH($E940,Parametros!$A$20:$A$22,0))</f>
        <v>482.6</v>
      </c>
      <c r="T940" s="18" t="n">
        <f aca="false">P940*INDEX(Parametros!$B$13:$B$16,MATCH($F940,Parametros!$A$13:$A$16,0))</f>
        <v>204.15504</v>
      </c>
      <c r="U940" s="21" t="n">
        <f aca="false">P940-R940-S940-T940</f>
        <v>1506.78896</v>
      </c>
      <c r="V940" s="19" t="n">
        <f aca="false">IFERROR(U940/P940,0)</f>
        <v>0.221418333830994</v>
      </c>
      <c r="W940" s="48" t="n">
        <f aca="false">B940+INDEX(Parametros!$C$13:$C$16,MATCH($F940,Parametros!$A$13:$A$16,0))</f>
        <v>46038</v>
      </c>
      <c r="X940" s="31" t="s">
        <v>67</v>
      </c>
      <c r="Y940" s="53" t="n">
        <f aca="false">IF(COUNTIF($A$2:$A940,A940)=1,1,0)</f>
        <v>0</v>
      </c>
    </row>
    <row r="941" customFormat="false" ht="15" hidden="false" customHeight="false" outlineLevel="0" collapsed="false">
      <c r="A941" s="31" t="s">
        <v>747</v>
      </c>
      <c r="B941" s="36" t="n">
        <v>45978</v>
      </c>
      <c r="C941" s="49" t="n">
        <f aca="false">DATE(YEAR(B941),MONTH(B941),1)</f>
        <v>45962</v>
      </c>
      <c r="D941" s="31" t="s">
        <v>222</v>
      </c>
      <c r="E941" s="31" t="s">
        <v>43</v>
      </c>
      <c r="F941" s="31" t="s">
        <v>45</v>
      </c>
      <c r="G941" s="31" t="s">
        <v>59</v>
      </c>
      <c r="H941" s="31" t="s">
        <v>179</v>
      </c>
      <c r="I941" s="32" t="str">
        <f aca="false">INDEX(Productos!$B$2:$B$13,MATCH($H941,Productos!$A$2:$A$13,0))</f>
        <v>Autotaladrante DIN 7504 4,8x38 zincado</v>
      </c>
      <c r="J941" s="32" t="str">
        <f aca="false">INDEX(Productos!$C$2:$C$13,MATCH($H941,Productos!$A$2:$A$13,0))</f>
        <v>Autotaladrante</v>
      </c>
      <c r="K941" s="31" t="s">
        <v>246</v>
      </c>
      <c r="L941" s="46" t="n">
        <v>64</v>
      </c>
      <c r="M941" s="50" t="n">
        <f aca="false">INDEX(Productos!$F$2:$F$13,MATCH($H941,Productos!$A$2:$A$13,0))</f>
        <v>29.5</v>
      </c>
      <c r="N941" s="51" t="n">
        <v>0.121</v>
      </c>
      <c r="O941" s="52" t="n">
        <f aca="false">M941*(1-N941)</f>
        <v>25.9305</v>
      </c>
      <c r="P941" s="21" t="n">
        <f aca="false">L941*O941</f>
        <v>1659.552</v>
      </c>
      <c r="Q941" s="50" t="n">
        <f aca="false">INDEX(Productos!$E$2:$E$13,MATCH($H941,Productos!$A$2:$A$13,0))*INDEX(Parametros!$B$26:$B$43,MATCH($C941,Parametros!$A$26:$A$43,0))</f>
        <v>15.504</v>
      </c>
      <c r="R941" s="21" t="n">
        <f aca="false">L941*Q941</f>
        <v>992.256</v>
      </c>
      <c r="S941" s="18" t="n">
        <f aca="false">L941*INDEX(Parametros!$B$20:$B$22,MATCH($E941,Parametros!$A$20:$A$22,0))</f>
        <v>121.6</v>
      </c>
      <c r="T941" s="18" t="n">
        <f aca="false">P941*INDEX(Parametros!$B$13:$B$16,MATCH($F941,Parametros!$A$13:$A$16,0))</f>
        <v>49.78656</v>
      </c>
      <c r="U941" s="21" t="n">
        <f aca="false">P941-R941-S941-T941</f>
        <v>495.90944</v>
      </c>
      <c r="V941" s="19" t="n">
        <f aca="false">IFERROR(U941/P941,0)</f>
        <v>0.298821272246968</v>
      </c>
      <c r="W941" s="48" t="n">
        <f aca="false">B941+INDEX(Parametros!$C$13:$C$16,MATCH($F941,Parametros!$A$13:$A$16,0))</f>
        <v>46038</v>
      </c>
      <c r="X941" s="31" t="s">
        <v>67</v>
      </c>
      <c r="Y941" s="53" t="n">
        <f aca="false">IF(COUNTIF($A$2:$A941,A941)=1,1,0)</f>
        <v>0</v>
      </c>
    </row>
    <row r="942" customFormat="false" ht="15" hidden="false" customHeight="false" outlineLevel="0" collapsed="false">
      <c r="A942" s="31" t="s">
        <v>748</v>
      </c>
      <c r="B942" s="36" t="n">
        <v>45978</v>
      </c>
      <c r="C942" s="49" t="n">
        <f aca="false">DATE(YEAR(B942),MONTH(B942),1)</f>
        <v>45962</v>
      </c>
      <c r="D942" s="31" t="s">
        <v>225</v>
      </c>
      <c r="E942" s="31" t="s">
        <v>43</v>
      </c>
      <c r="F942" s="31" t="s">
        <v>47</v>
      </c>
      <c r="G942" s="31" t="s">
        <v>59</v>
      </c>
      <c r="H942" s="31" t="s">
        <v>167</v>
      </c>
      <c r="I942" s="32" t="str">
        <f aca="false">INDEX(Productos!$B$2:$B$13,MATCH($H942,Productos!$A$2:$A$13,0))</f>
        <v>Tornillo DIN 912 M6x25 Allen zincado</v>
      </c>
      <c r="J942" s="32" t="str">
        <f aca="false">INDEX(Productos!$C$2:$C$13,MATCH($H942,Productos!$A$2:$A$13,0))</f>
        <v>Métrica</v>
      </c>
      <c r="K942" s="31" t="s">
        <v>246</v>
      </c>
      <c r="L942" s="46" t="n">
        <v>166</v>
      </c>
      <c r="M942" s="50" t="n">
        <f aca="false">INDEX(Productos!$F$2:$F$13,MATCH($H942,Productos!$A$2:$A$13,0))</f>
        <v>42</v>
      </c>
      <c r="N942" s="51" t="n">
        <v>0.069</v>
      </c>
      <c r="O942" s="52" t="n">
        <f aca="false">M942*(1-N942)</f>
        <v>39.102</v>
      </c>
      <c r="P942" s="21" t="n">
        <f aca="false">L942*O942</f>
        <v>6490.932</v>
      </c>
      <c r="Q942" s="50" t="n">
        <f aca="false">INDEX(Productos!$E$2:$E$13,MATCH($H942,Productos!$A$2:$A$13,0))*INDEX(Parametros!$B$26:$B$43,MATCH($C942,Parametros!$A$26:$A$43,0))</f>
        <v>22.236</v>
      </c>
      <c r="R942" s="21" t="n">
        <f aca="false">L942*Q942</f>
        <v>3691.176</v>
      </c>
      <c r="S942" s="18" t="n">
        <f aca="false">L942*INDEX(Parametros!$B$20:$B$22,MATCH($E942,Parametros!$A$20:$A$22,0))</f>
        <v>315.4</v>
      </c>
      <c r="T942" s="18" t="n">
        <f aca="false">P942*INDEX(Parametros!$B$13:$B$16,MATCH($F942,Parametros!$A$13:$A$16,0))</f>
        <v>227.18262</v>
      </c>
      <c r="U942" s="21" t="n">
        <f aca="false">P942-R942-S942-T942</f>
        <v>2257.17338</v>
      </c>
      <c r="V942" s="19" t="n">
        <f aca="false">IFERROR(U942/P942,0)</f>
        <v>0.347742570712496</v>
      </c>
      <c r="W942" s="48" t="n">
        <f aca="false">B942+INDEX(Parametros!$C$13:$C$16,MATCH($F942,Parametros!$A$13:$A$16,0))</f>
        <v>46023</v>
      </c>
      <c r="X942" s="31" t="s">
        <v>67</v>
      </c>
      <c r="Y942" s="53" t="n">
        <f aca="false">IF(COUNTIF($A$2:$A942,A942)=1,1,0)</f>
        <v>1</v>
      </c>
    </row>
    <row r="943" customFormat="false" ht="15" hidden="false" customHeight="false" outlineLevel="0" collapsed="false">
      <c r="A943" s="31" t="s">
        <v>748</v>
      </c>
      <c r="B943" s="36" t="n">
        <v>45978</v>
      </c>
      <c r="C943" s="49" t="n">
        <f aca="false">DATE(YEAR(B943),MONTH(B943),1)</f>
        <v>45962</v>
      </c>
      <c r="D943" s="31" t="s">
        <v>225</v>
      </c>
      <c r="E943" s="31" t="s">
        <v>43</v>
      </c>
      <c r="F943" s="31" t="s">
        <v>47</v>
      </c>
      <c r="G943" s="31" t="s">
        <v>59</v>
      </c>
      <c r="H943" s="31" t="s">
        <v>175</v>
      </c>
      <c r="I943" s="32" t="str">
        <f aca="false">INDEX(Productos!$B$2:$B$13,MATCH($H943,Productos!$A$2:$A$13,0))</f>
        <v>Tirafondo madera 5x60 cabeza plana Torx</v>
      </c>
      <c r="J943" s="32" t="str">
        <f aca="false">INDEX(Productos!$C$2:$C$13,MATCH($H943,Productos!$A$2:$A$13,0))</f>
        <v>Madera</v>
      </c>
      <c r="K943" s="31" t="s">
        <v>246</v>
      </c>
      <c r="L943" s="46" t="n">
        <v>36</v>
      </c>
      <c r="M943" s="50" t="n">
        <f aca="false">INDEX(Productos!$F$2:$F$13,MATCH($H943,Productos!$A$2:$A$13,0))</f>
        <v>26</v>
      </c>
      <c r="N943" s="51" t="n">
        <v>0.04</v>
      </c>
      <c r="O943" s="52" t="n">
        <f aca="false">M943*(1-N943)</f>
        <v>24.96</v>
      </c>
      <c r="P943" s="21" t="n">
        <f aca="false">L943*O943</f>
        <v>898.56</v>
      </c>
      <c r="Q943" s="50" t="n">
        <f aca="false">INDEX(Productos!$E$2:$E$13,MATCH($H943,Productos!$A$2:$A$13,0))*INDEX(Parametros!$B$26:$B$43,MATCH($C943,Parametros!$A$26:$A$43,0))</f>
        <v>13.668</v>
      </c>
      <c r="R943" s="21" t="n">
        <f aca="false">L943*Q943</f>
        <v>492.048</v>
      </c>
      <c r="S943" s="18" t="n">
        <f aca="false">L943*INDEX(Parametros!$B$20:$B$22,MATCH($E943,Parametros!$A$20:$A$22,0))</f>
        <v>68.4</v>
      </c>
      <c r="T943" s="18" t="n">
        <f aca="false">P943*INDEX(Parametros!$B$13:$B$16,MATCH($F943,Parametros!$A$13:$A$16,0))</f>
        <v>31.4496</v>
      </c>
      <c r="U943" s="21" t="n">
        <f aca="false">P943-R943-S943-T943</f>
        <v>306.6624</v>
      </c>
      <c r="V943" s="19" t="n">
        <f aca="false">IFERROR(U943/P943,0)</f>
        <v>0.341282051282051</v>
      </c>
      <c r="W943" s="48" t="n">
        <f aca="false">B943+INDEX(Parametros!$C$13:$C$16,MATCH($F943,Parametros!$A$13:$A$16,0))</f>
        <v>46023</v>
      </c>
      <c r="X943" s="31" t="s">
        <v>67</v>
      </c>
      <c r="Y943" s="53" t="n">
        <f aca="false">IF(COUNTIF($A$2:$A943,A943)=1,1,0)</f>
        <v>0</v>
      </c>
    </row>
    <row r="944" customFormat="false" ht="15" hidden="false" customHeight="false" outlineLevel="0" collapsed="false">
      <c r="A944" s="31" t="s">
        <v>749</v>
      </c>
      <c r="B944" s="36" t="n">
        <v>45978</v>
      </c>
      <c r="C944" s="49" t="n">
        <f aca="false">DATE(YEAR(B944),MONTH(B944),1)</f>
        <v>45962</v>
      </c>
      <c r="D944" s="31" t="s">
        <v>227</v>
      </c>
      <c r="E944" s="31" t="s">
        <v>43</v>
      </c>
      <c r="F944" s="31" t="s">
        <v>46</v>
      </c>
      <c r="G944" s="31" t="s">
        <v>59</v>
      </c>
      <c r="H944" s="31" t="s">
        <v>175</v>
      </c>
      <c r="I944" s="32" t="str">
        <f aca="false">INDEX(Productos!$B$2:$B$13,MATCH($H944,Productos!$A$2:$A$13,0))</f>
        <v>Tirafondo madera 5x60 cabeza plana Torx</v>
      </c>
      <c r="J944" s="32" t="str">
        <f aca="false">INDEX(Productos!$C$2:$C$13,MATCH($H944,Productos!$A$2:$A$13,0))</f>
        <v>Madera</v>
      </c>
      <c r="K944" s="31" t="s">
        <v>246</v>
      </c>
      <c r="L944" s="46" t="n">
        <v>220</v>
      </c>
      <c r="M944" s="50" t="n">
        <f aca="false">INDEX(Productos!$F$2:$F$13,MATCH($H944,Productos!$A$2:$A$13,0))</f>
        <v>26</v>
      </c>
      <c r="N944" s="51" t="n">
        <v>0.171</v>
      </c>
      <c r="O944" s="52" t="n">
        <f aca="false">M944*(1-N944)</f>
        <v>21.554</v>
      </c>
      <c r="P944" s="21" t="n">
        <f aca="false">L944*O944</f>
        <v>4741.88</v>
      </c>
      <c r="Q944" s="50" t="n">
        <f aca="false">INDEX(Productos!$E$2:$E$13,MATCH($H944,Productos!$A$2:$A$13,0))*INDEX(Parametros!$B$26:$B$43,MATCH($C944,Parametros!$A$26:$A$43,0))</f>
        <v>13.668</v>
      </c>
      <c r="R944" s="21" t="n">
        <f aca="false">L944*Q944</f>
        <v>3006.96</v>
      </c>
      <c r="S944" s="18" t="n">
        <f aca="false">L944*INDEX(Parametros!$B$20:$B$22,MATCH($E944,Parametros!$A$20:$A$22,0))</f>
        <v>418</v>
      </c>
      <c r="T944" s="18" t="n">
        <f aca="false">P944*INDEX(Parametros!$B$13:$B$16,MATCH($F944,Parametros!$A$13:$A$16,0))</f>
        <v>189.6752</v>
      </c>
      <c r="U944" s="21" t="n">
        <f aca="false">P944-R944-S944-T944</f>
        <v>1127.2448</v>
      </c>
      <c r="V944" s="19" t="n">
        <f aca="false">IFERROR(U944/P944,0)</f>
        <v>0.237721072654728</v>
      </c>
      <c r="W944" s="48" t="n">
        <f aca="false">B944+INDEX(Parametros!$C$13:$C$16,MATCH($F944,Parametros!$A$13:$A$16,0))</f>
        <v>46053</v>
      </c>
      <c r="X944" s="31" t="s">
        <v>67</v>
      </c>
      <c r="Y944" s="53" t="n">
        <f aca="false">IF(COUNTIF($A$2:$A944,A944)=1,1,0)</f>
        <v>1</v>
      </c>
    </row>
    <row r="945" customFormat="false" ht="15" hidden="false" customHeight="false" outlineLevel="0" collapsed="false">
      <c r="A945" s="31" t="s">
        <v>750</v>
      </c>
      <c r="B945" s="36" t="n">
        <v>45978</v>
      </c>
      <c r="C945" s="49" t="n">
        <f aca="false">DATE(YEAR(B945),MONTH(B945),1)</f>
        <v>45962</v>
      </c>
      <c r="D945" s="31" t="s">
        <v>221</v>
      </c>
      <c r="E945" s="31" t="s">
        <v>43</v>
      </c>
      <c r="F945" s="31" t="s">
        <v>45</v>
      </c>
      <c r="G945" s="31" t="s">
        <v>59</v>
      </c>
      <c r="H945" s="31" t="s">
        <v>181</v>
      </c>
      <c r="I945" s="32" t="str">
        <f aca="false">INDEX(Productos!$B$2:$B$13,MATCH($H945,Productos!$A$2:$A$13,0))</f>
        <v>Autotaladrante 5,5x55 punta broca</v>
      </c>
      <c r="J945" s="32" t="str">
        <f aca="false">INDEX(Productos!$C$2:$C$13,MATCH($H945,Productos!$A$2:$A$13,0))</f>
        <v>Autotaladrante</v>
      </c>
      <c r="K945" s="31" t="s">
        <v>246</v>
      </c>
      <c r="L945" s="46" t="n">
        <v>38</v>
      </c>
      <c r="M945" s="50" t="n">
        <f aca="false">INDEX(Productos!$F$2:$F$13,MATCH($H945,Productos!$A$2:$A$13,0))</f>
        <v>39</v>
      </c>
      <c r="N945" s="51" t="n">
        <v>0.147</v>
      </c>
      <c r="O945" s="52" t="n">
        <f aca="false">M945*(1-N945)</f>
        <v>33.267</v>
      </c>
      <c r="P945" s="21" t="n">
        <f aca="false">L945*O945</f>
        <v>1264.146</v>
      </c>
      <c r="Q945" s="50" t="n">
        <f aca="false">INDEX(Productos!$E$2:$E$13,MATCH($H945,Productos!$A$2:$A$13,0))*INDEX(Parametros!$B$26:$B$43,MATCH($C945,Parametros!$A$26:$A$43,0))</f>
        <v>20.706</v>
      </c>
      <c r="R945" s="21" t="n">
        <f aca="false">L945*Q945</f>
        <v>786.828</v>
      </c>
      <c r="S945" s="18" t="n">
        <f aca="false">L945*INDEX(Parametros!$B$20:$B$22,MATCH($E945,Parametros!$A$20:$A$22,0))</f>
        <v>72.2</v>
      </c>
      <c r="T945" s="18" t="n">
        <f aca="false">P945*INDEX(Parametros!$B$13:$B$16,MATCH($F945,Parametros!$A$13:$A$16,0))</f>
        <v>37.92438</v>
      </c>
      <c r="U945" s="21" t="n">
        <f aca="false">P945-R945-S945-T945</f>
        <v>367.19362</v>
      </c>
      <c r="V945" s="19" t="n">
        <f aca="false">IFERROR(U945/P945,0)</f>
        <v>0.290467730784261</v>
      </c>
      <c r="W945" s="48" t="n">
        <f aca="false">B945+INDEX(Parametros!$C$13:$C$16,MATCH($F945,Parametros!$A$13:$A$16,0))</f>
        <v>46038</v>
      </c>
      <c r="X945" s="31" t="s">
        <v>67</v>
      </c>
      <c r="Y945" s="53" t="n">
        <f aca="false">IF(COUNTIF($A$2:$A945,A945)=1,1,0)</f>
        <v>1</v>
      </c>
    </row>
    <row r="946" customFormat="false" ht="15" hidden="false" customHeight="false" outlineLevel="0" collapsed="false">
      <c r="A946" s="31" t="s">
        <v>751</v>
      </c>
      <c r="B946" s="36" t="n">
        <v>45978</v>
      </c>
      <c r="C946" s="49" t="n">
        <f aca="false">DATE(YEAR(B946),MONTH(B946),1)</f>
        <v>45962</v>
      </c>
      <c r="D946" s="31" t="s">
        <v>226</v>
      </c>
      <c r="E946" s="31" t="s">
        <v>43</v>
      </c>
      <c r="F946" s="31" t="s">
        <v>46</v>
      </c>
      <c r="G946" s="31" t="s">
        <v>59</v>
      </c>
      <c r="H946" s="31" t="s">
        <v>177</v>
      </c>
      <c r="I946" s="32" t="str">
        <f aca="false">INDEX(Productos!$B$2:$B$13,MATCH($H946,Productos!$A$2:$A$13,0))</f>
        <v>Tirafondo madera 6x100 cabeza plana Torx</v>
      </c>
      <c r="J946" s="32" t="str">
        <f aca="false">INDEX(Productos!$C$2:$C$13,MATCH($H946,Productos!$A$2:$A$13,0))</f>
        <v>Madera</v>
      </c>
      <c r="K946" s="31" t="s">
        <v>246</v>
      </c>
      <c r="L946" s="46" t="n">
        <v>130</v>
      </c>
      <c r="M946" s="50" t="n">
        <f aca="false">INDEX(Productos!$F$2:$F$13,MATCH($H946,Productos!$A$2:$A$13,0))</f>
        <v>34</v>
      </c>
      <c r="N946" s="51" t="n">
        <v>0.166</v>
      </c>
      <c r="O946" s="52" t="n">
        <f aca="false">M946*(1-N946)</f>
        <v>28.356</v>
      </c>
      <c r="P946" s="21" t="n">
        <f aca="false">L946*O946</f>
        <v>3686.28</v>
      </c>
      <c r="Q946" s="50" t="n">
        <f aca="false">INDEX(Productos!$E$2:$E$13,MATCH($H946,Productos!$A$2:$A$13,0))*INDEX(Parametros!$B$26:$B$43,MATCH($C946,Parametros!$A$26:$A$43,0))</f>
        <v>18.156</v>
      </c>
      <c r="R946" s="21" t="n">
        <f aca="false">L946*Q946</f>
        <v>2360.28</v>
      </c>
      <c r="S946" s="18" t="n">
        <f aca="false">L946*INDEX(Parametros!$B$20:$B$22,MATCH($E946,Parametros!$A$20:$A$22,0))</f>
        <v>247</v>
      </c>
      <c r="T946" s="18" t="n">
        <f aca="false">P946*INDEX(Parametros!$B$13:$B$16,MATCH($F946,Parametros!$A$13:$A$16,0))</f>
        <v>147.4512</v>
      </c>
      <c r="U946" s="21" t="n">
        <f aca="false">P946-R946-S946-T946</f>
        <v>931.5488</v>
      </c>
      <c r="V946" s="19" t="n">
        <f aca="false">IFERROR(U946/P946,0)</f>
        <v>0.252707010861899</v>
      </c>
      <c r="W946" s="48" t="n">
        <f aca="false">B946+INDEX(Parametros!$C$13:$C$16,MATCH($F946,Parametros!$A$13:$A$16,0))</f>
        <v>46053</v>
      </c>
      <c r="X946" s="31" t="s">
        <v>67</v>
      </c>
      <c r="Y946" s="53" t="n">
        <f aca="false">IF(COUNTIF($A$2:$A946,A946)=1,1,0)</f>
        <v>1</v>
      </c>
    </row>
    <row r="947" customFormat="false" ht="15" hidden="false" customHeight="false" outlineLevel="0" collapsed="false">
      <c r="A947" s="31" t="s">
        <v>751</v>
      </c>
      <c r="B947" s="36" t="n">
        <v>45978</v>
      </c>
      <c r="C947" s="49" t="n">
        <f aca="false">DATE(YEAR(B947),MONTH(B947),1)</f>
        <v>45962</v>
      </c>
      <c r="D947" s="31" t="s">
        <v>226</v>
      </c>
      <c r="E947" s="31" t="s">
        <v>43</v>
      </c>
      <c r="F947" s="31" t="s">
        <v>46</v>
      </c>
      <c r="G947" s="31" t="s">
        <v>59</v>
      </c>
      <c r="H947" s="31" t="s">
        <v>179</v>
      </c>
      <c r="I947" s="32" t="str">
        <f aca="false">INDEX(Productos!$B$2:$B$13,MATCH($H947,Productos!$A$2:$A$13,0))</f>
        <v>Autotaladrante DIN 7504 4,8x38 zincado</v>
      </c>
      <c r="J947" s="32" t="str">
        <f aca="false">INDEX(Productos!$C$2:$C$13,MATCH($H947,Productos!$A$2:$A$13,0))</f>
        <v>Autotaladrante</v>
      </c>
      <c r="K947" s="31" t="s">
        <v>246</v>
      </c>
      <c r="L947" s="46" t="n">
        <v>57</v>
      </c>
      <c r="M947" s="50" t="n">
        <f aca="false">INDEX(Productos!$F$2:$F$13,MATCH($H947,Productos!$A$2:$A$13,0))</f>
        <v>29.5</v>
      </c>
      <c r="N947" s="51" t="n">
        <v>0.138</v>
      </c>
      <c r="O947" s="52" t="n">
        <f aca="false">M947*(1-N947)</f>
        <v>25.429</v>
      </c>
      <c r="P947" s="21" t="n">
        <f aca="false">L947*O947</f>
        <v>1449.453</v>
      </c>
      <c r="Q947" s="50" t="n">
        <f aca="false">INDEX(Productos!$E$2:$E$13,MATCH($H947,Productos!$A$2:$A$13,0))*INDEX(Parametros!$B$26:$B$43,MATCH($C947,Parametros!$A$26:$A$43,0))</f>
        <v>15.504</v>
      </c>
      <c r="R947" s="21" t="n">
        <f aca="false">L947*Q947</f>
        <v>883.728</v>
      </c>
      <c r="S947" s="18" t="n">
        <f aca="false">L947*INDEX(Parametros!$B$20:$B$22,MATCH($E947,Parametros!$A$20:$A$22,0))</f>
        <v>108.3</v>
      </c>
      <c r="T947" s="18" t="n">
        <f aca="false">P947*INDEX(Parametros!$B$13:$B$16,MATCH($F947,Parametros!$A$13:$A$16,0))</f>
        <v>57.97812</v>
      </c>
      <c r="U947" s="21" t="n">
        <f aca="false">P947-R947-S947-T947</f>
        <v>399.44688</v>
      </c>
      <c r="V947" s="19" t="n">
        <f aca="false">IFERROR(U947/P947,0)</f>
        <v>0.275584568799402</v>
      </c>
      <c r="W947" s="48" t="n">
        <f aca="false">B947+INDEX(Parametros!$C$13:$C$16,MATCH($F947,Parametros!$A$13:$A$16,0))</f>
        <v>46053</v>
      </c>
      <c r="X947" s="31" t="s">
        <v>67</v>
      </c>
      <c r="Y947" s="53" t="n">
        <f aca="false">IF(COUNTIF($A$2:$A947,A947)=1,1,0)</f>
        <v>0</v>
      </c>
    </row>
    <row r="948" customFormat="false" ht="15" hidden="false" customHeight="false" outlineLevel="0" collapsed="false">
      <c r="A948" s="31" t="s">
        <v>752</v>
      </c>
      <c r="B948" s="36" t="n">
        <v>45978</v>
      </c>
      <c r="C948" s="49" t="n">
        <f aca="false">DATE(YEAR(B948),MONTH(B948),1)</f>
        <v>45962</v>
      </c>
      <c r="D948" s="31" t="s">
        <v>221</v>
      </c>
      <c r="E948" s="31" t="s">
        <v>43</v>
      </c>
      <c r="F948" s="31" t="s">
        <v>45</v>
      </c>
      <c r="G948" s="31" t="s">
        <v>59</v>
      </c>
      <c r="H948" s="31" t="s">
        <v>179</v>
      </c>
      <c r="I948" s="32" t="str">
        <f aca="false">INDEX(Productos!$B$2:$B$13,MATCH($H948,Productos!$A$2:$A$13,0))</f>
        <v>Autotaladrante DIN 7504 4,8x38 zincado</v>
      </c>
      <c r="J948" s="32" t="str">
        <f aca="false">INDEX(Productos!$C$2:$C$13,MATCH($H948,Productos!$A$2:$A$13,0))</f>
        <v>Autotaladrante</v>
      </c>
      <c r="K948" s="31" t="s">
        <v>275</v>
      </c>
      <c r="L948" s="46" t="n">
        <v>-72</v>
      </c>
      <c r="M948" s="50" t="n">
        <f aca="false">INDEX(Productos!$F$2:$F$13,MATCH($H948,Productos!$A$2:$A$13,0))</f>
        <v>29.5</v>
      </c>
      <c r="N948" s="51" t="n">
        <v>0.204</v>
      </c>
      <c r="O948" s="52" t="n">
        <f aca="false">M948*(1-N948)</f>
        <v>23.482</v>
      </c>
      <c r="P948" s="21" t="n">
        <f aca="false">L948*O948</f>
        <v>-1690.704</v>
      </c>
      <c r="Q948" s="50" t="n">
        <f aca="false">INDEX(Productos!$E$2:$E$13,MATCH($H948,Productos!$A$2:$A$13,0))*INDEX(Parametros!$B$26:$B$43,MATCH($C948,Parametros!$A$26:$A$43,0))</f>
        <v>15.504</v>
      </c>
      <c r="R948" s="21" t="n">
        <f aca="false">L948*Q948</f>
        <v>-1116.288</v>
      </c>
      <c r="S948" s="18" t="n">
        <f aca="false">L948*INDEX(Parametros!$B$20:$B$22,MATCH($E948,Parametros!$A$20:$A$22,0))</f>
        <v>-136.8</v>
      </c>
      <c r="T948" s="18" t="n">
        <f aca="false">P948*INDEX(Parametros!$B$13:$B$16,MATCH($F948,Parametros!$A$13:$A$16,0))</f>
        <v>-50.72112</v>
      </c>
      <c r="U948" s="21" t="n">
        <f aca="false">P948-R948-S948-T948</f>
        <v>-386.89488</v>
      </c>
      <c r="V948" s="19" t="n">
        <f aca="false">IFERROR(U948/P948,0)</f>
        <v>0.228836555659654</v>
      </c>
      <c r="W948" s="48" t="n">
        <f aca="false">B948+INDEX(Parametros!$C$13:$C$16,MATCH($F948,Parametros!$A$13:$A$16,0))</f>
        <v>46038</v>
      </c>
      <c r="X948" s="31" t="s">
        <v>67</v>
      </c>
      <c r="Y948" s="53" t="n">
        <f aca="false">IF(COUNTIF($A$2:$A948,A948)=1,1,0)</f>
        <v>1</v>
      </c>
    </row>
    <row r="949" customFormat="false" ht="15" hidden="false" customHeight="false" outlineLevel="0" collapsed="false">
      <c r="A949" s="31" t="s">
        <v>752</v>
      </c>
      <c r="B949" s="36" t="n">
        <v>45978</v>
      </c>
      <c r="C949" s="49" t="n">
        <f aca="false">DATE(YEAR(B949),MONTH(B949),1)</f>
        <v>45962</v>
      </c>
      <c r="D949" s="31" t="s">
        <v>221</v>
      </c>
      <c r="E949" s="31" t="s">
        <v>43</v>
      </c>
      <c r="F949" s="31" t="s">
        <v>45</v>
      </c>
      <c r="G949" s="31" t="s">
        <v>59</v>
      </c>
      <c r="H949" s="31" t="s">
        <v>169</v>
      </c>
      <c r="I949" s="32" t="str">
        <f aca="false">INDEX(Productos!$B$2:$B$13,MATCH($H949,Productos!$A$2:$A$13,0))</f>
        <v>Tornillo DIN 912 M10x60 Allen inox A2</v>
      </c>
      <c r="J949" s="32" t="str">
        <f aca="false">INDEX(Productos!$C$2:$C$13,MATCH($H949,Productos!$A$2:$A$13,0))</f>
        <v>Inoxidable</v>
      </c>
      <c r="K949" s="31" t="s">
        <v>275</v>
      </c>
      <c r="L949" s="46" t="n">
        <v>-56</v>
      </c>
      <c r="M949" s="50" t="n">
        <f aca="false">INDEX(Productos!$F$2:$F$13,MATCH($H949,Productos!$A$2:$A$13,0))</f>
        <v>79</v>
      </c>
      <c r="N949" s="51" t="n">
        <v>0.131</v>
      </c>
      <c r="O949" s="52" t="n">
        <f aca="false">M949*(1-N949)</f>
        <v>68.651</v>
      </c>
      <c r="P949" s="21" t="n">
        <f aca="false">L949*O949</f>
        <v>-3844.456</v>
      </c>
      <c r="Q949" s="50" t="n">
        <f aca="false">INDEX(Productos!$E$2:$E$13,MATCH($H949,Productos!$A$2:$A$13,0))*INDEX(Parametros!$B$26:$B$43,MATCH($C949,Parametros!$A$26:$A$43,0))</f>
        <v>42.84</v>
      </c>
      <c r="R949" s="21" t="n">
        <f aca="false">L949*Q949</f>
        <v>-2399.04</v>
      </c>
      <c r="S949" s="18" t="n">
        <f aca="false">L949*INDEX(Parametros!$B$20:$B$22,MATCH($E949,Parametros!$A$20:$A$22,0))</f>
        <v>-106.4</v>
      </c>
      <c r="T949" s="18" t="n">
        <f aca="false">P949*INDEX(Parametros!$B$13:$B$16,MATCH($F949,Parametros!$A$13:$A$16,0))</f>
        <v>-115.33368</v>
      </c>
      <c r="U949" s="21" t="n">
        <f aca="false">P949-R949-S949-T949</f>
        <v>-1223.68232</v>
      </c>
      <c r="V949" s="19" t="n">
        <f aca="false">IFERROR(U949/P949,0)</f>
        <v>0.318297912630552</v>
      </c>
      <c r="W949" s="48" t="n">
        <f aca="false">B949+INDEX(Parametros!$C$13:$C$16,MATCH($F949,Parametros!$A$13:$A$16,0))</f>
        <v>46038</v>
      </c>
      <c r="X949" s="31" t="s">
        <v>67</v>
      </c>
      <c r="Y949" s="53" t="n">
        <f aca="false">IF(COUNTIF($A$2:$A949,A949)=1,1,0)</f>
        <v>0</v>
      </c>
    </row>
    <row r="950" customFormat="false" ht="15" hidden="false" customHeight="false" outlineLevel="0" collapsed="false">
      <c r="A950" s="31" t="s">
        <v>753</v>
      </c>
      <c r="B950" s="36" t="n">
        <v>45978</v>
      </c>
      <c r="C950" s="49" t="n">
        <f aca="false">DATE(YEAR(B950),MONTH(B950),1)</f>
        <v>45962</v>
      </c>
      <c r="D950" s="31" t="s">
        <v>219</v>
      </c>
      <c r="E950" s="31" t="s">
        <v>42</v>
      </c>
      <c r="F950" s="31" t="s">
        <v>45</v>
      </c>
      <c r="G950" s="31" t="s">
        <v>61</v>
      </c>
      <c r="H950" s="31" t="s">
        <v>185</v>
      </c>
      <c r="I950" s="32" t="str">
        <f aca="false">INDEX(Productos!$B$2:$B$13,MATCH($H950,Productos!$A$2:$A$13,0))</f>
        <v>Varilla roscada M10 x 1 m zincada</v>
      </c>
      <c r="J950" s="32" t="str">
        <f aca="false">INDEX(Productos!$C$2:$C$13,MATCH($H950,Productos!$A$2:$A$13,0))</f>
        <v>Especial</v>
      </c>
      <c r="K950" s="31" t="s">
        <v>246</v>
      </c>
      <c r="L950" s="46" t="n">
        <v>26</v>
      </c>
      <c r="M950" s="50" t="n">
        <f aca="false">INDEX(Productos!$F$2:$F$13,MATCH($H950,Productos!$A$2:$A$13,0))</f>
        <v>54</v>
      </c>
      <c r="N950" s="51" t="n">
        <v>0.161</v>
      </c>
      <c r="O950" s="52" t="n">
        <f aca="false">M950*(1-N950)</f>
        <v>45.306</v>
      </c>
      <c r="P950" s="21" t="n">
        <f aca="false">L950*O950</f>
        <v>1177.956</v>
      </c>
      <c r="Q950" s="50" t="n">
        <f aca="false">INDEX(Productos!$E$2:$E$13,MATCH($H950,Productos!$A$2:$A$13,0))*INDEX(Parametros!$B$26:$B$43,MATCH($C950,Parametros!$A$26:$A$43,0))</f>
        <v>29.07</v>
      </c>
      <c r="R950" s="21" t="n">
        <f aca="false">L950*Q950</f>
        <v>755.82</v>
      </c>
      <c r="S950" s="18" t="n">
        <f aca="false">L950*INDEX(Parametros!$B$20:$B$22,MATCH($E950,Parametros!$A$20:$A$22,0))</f>
        <v>62.4</v>
      </c>
      <c r="T950" s="18" t="n">
        <f aca="false">P950*INDEX(Parametros!$B$13:$B$16,MATCH($F950,Parametros!$A$13:$A$16,0))</f>
        <v>35.33868</v>
      </c>
      <c r="U950" s="21" t="n">
        <f aca="false">P950-R950-S950-T950</f>
        <v>324.39732</v>
      </c>
      <c r="V950" s="19" t="n">
        <f aca="false">IFERROR(U950/P950,0)</f>
        <v>0.275390014567607</v>
      </c>
      <c r="W950" s="48" t="n">
        <f aca="false">B950+INDEX(Parametros!$C$13:$C$16,MATCH($F950,Parametros!$A$13:$A$16,0))</f>
        <v>46038</v>
      </c>
      <c r="X950" s="31" t="s">
        <v>67</v>
      </c>
      <c r="Y950" s="53" t="n">
        <f aca="false">IF(COUNTIF($A$2:$A950,A950)=1,1,0)</f>
        <v>1</v>
      </c>
    </row>
    <row r="951" customFormat="false" ht="15" hidden="false" customHeight="false" outlineLevel="0" collapsed="false">
      <c r="A951" s="31" t="s">
        <v>753</v>
      </c>
      <c r="B951" s="36" t="n">
        <v>45978</v>
      </c>
      <c r="C951" s="49" t="n">
        <f aca="false">DATE(YEAR(B951),MONTH(B951),1)</f>
        <v>45962</v>
      </c>
      <c r="D951" s="31" t="s">
        <v>219</v>
      </c>
      <c r="E951" s="31" t="s">
        <v>42</v>
      </c>
      <c r="F951" s="31" t="s">
        <v>45</v>
      </c>
      <c r="G951" s="31" t="s">
        <v>61</v>
      </c>
      <c r="H951" s="31" t="s">
        <v>177</v>
      </c>
      <c r="I951" s="32" t="str">
        <f aca="false">INDEX(Productos!$B$2:$B$13,MATCH($H951,Productos!$A$2:$A$13,0))</f>
        <v>Tirafondo madera 6x100 cabeza plana Torx</v>
      </c>
      <c r="J951" s="32" t="str">
        <f aca="false">INDEX(Productos!$C$2:$C$13,MATCH($H951,Productos!$A$2:$A$13,0))</f>
        <v>Madera</v>
      </c>
      <c r="K951" s="31" t="s">
        <v>246</v>
      </c>
      <c r="L951" s="46" t="n">
        <v>83</v>
      </c>
      <c r="M951" s="50" t="n">
        <f aca="false">INDEX(Productos!$F$2:$F$13,MATCH($H951,Productos!$A$2:$A$13,0))</f>
        <v>34</v>
      </c>
      <c r="N951" s="51" t="n">
        <v>0.2</v>
      </c>
      <c r="O951" s="52" t="n">
        <f aca="false">M951*(1-N951)</f>
        <v>27.2</v>
      </c>
      <c r="P951" s="21" t="n">
        <f aca="false">L951*O951</f>
        <v>2257.6</v>
      </c>
      <c r="Q951" s="50" t="n">
        <f aca="false">INDEX(Productos!$E$2:$E$13,MATCH($H951,Productos!$A$2:$A$13,0))*INDEX(Parametros!$B$26:$B$43,MATCH($C951,Parametros!$A$26:$A$43,0))</f>
        <v>18.156</v>
      </c>
      <c r="R951" s="21" t="n">
        <f aca="false">L951*Q951</f>
        <v>1506.948</v>
      </c>
      <c r="S951" s="18" t="n">
        <f aca="false">L951*INDEX(Parametros!$B$20:$B$22,MATCH($E951,Parametros!$A$20:$A$22,0))</f>
        <v>199.2</v>
      </c>
      <c r="T951" s="18" t="n">
        <f aca="false">P951*INDEX(Parametros!$B$13:$B$16,MATCH($F951,Parametros!$A$13:$A$16,0))</f>
        <v>67.728</v>
      </c>
      <c r="U951" s="21" t="n">
        <f aca="false">P951-R951-S951-T951</f>
        <v>483.724</v>
      </c>
      <c r="V951" s="19" t="n">
        <f aca="false">IFERROR(U951/P951,0)</f>
        <v>0.214264705882353</v>
      </c>
      <c r="W951" s="48" t="n">
        <f aca="false">B951+INDEX(Parametros!$C$13:$C$16,MATCH($F951,Parametros!$A$13:$A$16,0))</f>
        <v>46038</v>
      </c>
      <c r="X951" s="31" t="s">
        <v>67</v>
      </c>
      <c r="Y951" s="53" t="n">
        <f aca="false">IF(COUNTIF($A$2:$A951,A951)=1,1,0)</f>
        <v>0</v>
      </c>
    </row>
    <row r="952" customFormat="false" ht="15" hidden="false" customHeight="false" outlineLevel="0" collapsed="false">
      <c r="A952" s="31" t="s">
        <v>754</v>
      </c>
      <c r="B952" s="36" t="n">
        <v>45980</v>
      </c>
      <c r="C952" s="49" t="n">
        <f aca="false">DATE(YEAR(B952),MONTH(B952),1)</f>
        <v>45962</v>
      </c>
      <c r="D952" s="31" t="s">
        <v>203</v>
      </c>
      <c r="E952" s="31" t="s">
        <v>41</v>
      </c>
      <c r="F952" s="31" t="s">
        <v>46</v>
      </c>
      <c r="G952" s="31" t="s">
        <v>58</v>
      </c>
      <c r="H952" s="31" t="s">
        <v>175</v>
      </c>
      <c r="I952" s="32" t="str">
        <f aca="false">INDEX(Productos!$B$2:$B$13,MATCH($H952,Productos!$A$2:$A$13,0))</f>
        <v>Tirafondo madera 5x60 cabeza plana Torx</v>
      </c>
      <c r="J952" s="32" t="str">
        <f aca="false">INDEX(Productos!$C$2:$C$13,MATCH($H952,Productos!$A$2:$A$13,0))</f>
        <v>Madera</v>
      </c>
      <c r="K952" s="31" t="s">
        <v>246</v>
      </c>
      <c r="L952" s="46" t="n">
        <v>155</v>
      </c>
      <c r="M952" s="50" t="n">
        <f aca="false">INDEX(Productos!$F$2:$F$13,MATCH($H952,Productos!$A$2:$A$13,0))</f>
        <v>26</v>
      </c>
      <c r="N952" s="51" t="n">
        <v>0.121</v>
      </c>
      <c r="O952" s="52" t="n">
        <f aca="false">M952*(1-N952)</f>
        <v>22.854</v>
      </c>
      <c r="P952" s="21" t="n">
        <f aca="false">L952*O952</f>
        <v>3542.37</v>
      </c>
      <c r="Q952" s="50" t="n">
        <f aca="false">INDEX(Productos!$E$2:$E$13,MATCH($H952,Productos!$A$2:$A$13,0))*INDEX(Parametros!$B$26:$B$43,MATCH($C952,Parametros!$A$26:$A$43,0))</f>
        <v>13.668</v>
      </c>
      <c r="R952" s="21" t="n">
        <f aca="false">L952*Q952</f>
        <v>2118.54</v>
      </c>
      <c r="S952" s="18" t="n">
        <f aca="false">L952*INDEX(Parametros!$B$20:$B$22,MATCH($E952,Parametros!$A$20:$A$22,0))</f>
        <v>131.75</v>
      </c>
      <c r="T952" s="18" t="n">
        <f aca="false">P952*INDEX(Parametros!$B$13:$B$16,MATCH($F952,Parametros!$A$13:$A$16,0))</f>
        <v>141.6948</v>
      </c>
      <c r="U952" s="21" t="n">
        <f aca="false">P952-R952-S952-T952</f>
        <v>1150.3852</v>
      </c>
      <c r="V952" s="19" t="n">
        <f aca="false">IFERROR(U952/P952,0)</f>
        <v>0.324750153146058</v>
      </c>
      <c r="W952" s="48" t="n">
        <f aca="false">B952+INDEX(Parametros!$C$13:$C$16,MATCH($F952,Parametros!$A$13:$A$16,0))</f>
        <v>46055</v>
      </c>
      <c r="X952" s="31" t="s">
        <v>67</v>
      </c>
      <c r="Y952" s="53" t="n">
        <f aca="false">IF(COUNTIF($A$2:$A952,A952)=1,1,0)</f>
        <v>1</v>
      </c>
    </row>
    <row r="953" customFormat="false" ht="15" hidden="false" customHeight="false" outlineLevel="0" collapsed="false">
      <c r="A953" s="31" t="s">
        <v>755</v>
      </c>
      <c r="B953" s="36" t="n">
        <v>45981</v>
      </c>
      <c r="C953" s="49" t="n">
        <f aca="false">DATE(YEAR(B953),MONTH(B953),1)</f>
        <v>45962</v>
      </c>
      <c r="D953" s="31" t="s">
        <v>213</v>
      </c>
      <c r="E953" s="31" t="s">
        <v>42</v>
      </c>
      <c r="F953" s="31" t="s">
        <v>46</v>
      </c>
      <c r="G953" s="31" t="s">
        <v>61</v>
      </c>
      <c r="H953" s="31" t="s">
        <v>177</v>
      </c>
      <c r="I953" s="32" t="str">
        <f aca="false">INDEX(Productos!$B$2:$B$13,MATCH($H953,Productos!$A$2:$A$13,0))</f>
        <v>Tirafondo madera 6x100 cabeza plana Torx</v>
      </c>
      <c r="J953" s="32" t="str">
        <f aca="false">INDEX(Productos!$C$2:$C$13,MATCH($H953,Productos!$A$2:$A$13,0))</f>
        <v>Madera</v>
      </c>
      <c r="K953" s="31" t="s">
        <v>246</v>
      </c>
      <c r="L953" s="46" t="n">
        <v>26</v>
      </c>
      <c r="M953" s="50" t="n">
        <f aca="false">INDEX(Productos!$F$2:$F$13,MATCH($H953,Productos!$A$2:$A$13,0))</f>
        <v>34</v>
      </c>
      <c r="N953" s="51" t="n">
        <v>0.175</v>
      </c>
      <c r="O953" s="52" t="n">
        <f aca="false">M953*(1-N953)</f>
        <v>28.05</v>
      </c>
      <c r="P953" s="21" t="n">
        <f aca="false">L953*O953</f>
        <v>729.3</v>
      </c>
      <c r="Q953" s="50" t="n">
        <f aca="false">INDEX(Productos!$E$2:$E$13,MATCH($H953,Productos!$A$2:$A$13,0))*INDEX(Parametros!$B$26:$B$43,MATCH($C953,Parametros!$A$26:$A$43,0))</f>
        <v>18.156</v>
      </c>
      <c r="R953" s="21" t="n">
        <f aca="false">L953*Q953</f>
        <v>472.056</v>
      </c>
      <c r="S953" s="18" t="n">
        <f aca="false">L953*INDEX(Parametros!$B$20:$B$22,MATCH($E953,Parametros!$A$20:$A$22,0))</f>
        <v>62.4</v>
      </c>
      <c r="T953" s="18" t="n">
        <f aca="false">P953*INDEX(Parametros!$B$13:$B$16,MATCH($F953,Parametros!$A$13:$A$16,0))</f>
        <v>29.172</v>
      </c>
      <c r="U953" s="21" t="n">
        <f aca="false">P953-R953-S953-T953</f>
        <v>165.672</v>
      </c>
      <c r="V953" s="19" t="n">
        <f aca="false">IFERROR(U953/P953,0)</f>
        <v>0.227165775401069</v>
      </c>
      <c r="W953" s="48" t="n">
        <f aca="false">B953+INDEX(Parametros!$C$13:$C$16,MATCH($F953,Parametros!$A$13:$A$16,0))</f>
        <v>46056</v>
      </c>
      <c r="X953" s="31" t="s">
        <v>69</v>
      </c>
      <c r="Y953" s="53" t="n">
        <f aca="false">IF(COUNTIF($A$2:$A953,A953)=1,1,0)</f>
        <v>1</v>
      </c>
    </row>
    <row r="954" customFormat="false" ht="15" hidden="false" customHeight="false" outlineLevel="0" collapsed="false">
      <c r="A954" s="31" t="s">
        <v>755</v>
      </c>
      <c r="B954" s="36" t="n">
        <v>45981</v>
      </c>
      <c r="C954" s="49" t="n">
        <f aca="false">DATE(YEAR(B954),MONTH(B954),1)</f>
        <v>45962</v>
      </c>
      <c r="D954" s="31" t="s">
        <v>213</v>
      </c>
      <c r="E954" s="31" t="s">
        <v>42</v>
      </c>
      <c r="F954" s="31" t="s">
        <v>46</v>
      </c>
      <c r="G954" s="31" t="s">
        <v>61</v>
      </c>
      <c r="H954" s="31" t="s">
        <v>183</v>
      </c>
      <c r="I954" s="32" t="str">
        <f aca="false">INDEX(Productos!$B$2:$B$13,MATCH($H954,Productos!$A$2:$A$13,0))</f>
        <v>Tornillo estructural M16x90 clase 10.9</v>
      </c>
      <c r="J954" s="32" t="str">
        <f aca="false">INDEX(Productos!$C$2:$C$13,MATCH($H954,Productos!$A$2:$A$13,0))</f>
        <v>Especial</v>
      </c>
      <c r="K954" s="31" t="s">
        <v>246</v>
      </c>
      <c r="L954" s="46" t="n">
        <v>40</v>
      </c>
      <c r="M954" s="50" t="n">
        <f aca="false">INDEX(Productos!$F$2:$F$13,MATCH($H954,Productos!$A$2:$A$13,0))</f>
        <v>112</v>
      </c>
      <c r="N954" s="51" t="n">
        <v>0.177</v>
      </c>
      <c r="O954" s="52" t="n">
        <f aca="false">M954*(1-N954)</f>
        <v>92.176</v>
      </c>
      <c r="P954" s="21" t="n">
        <f aca="false">L954*O954</f>
        <v>3687.04</v>
      </c>
      <c r="Q954" s="50" t="n">
        <f aca="false">INDEX(Productos!$E$2:$E$13,MATCH($H954,Productos!$A$2:$A$13,0))*INDEX(Parametros!$B$26:$B$43,MATCH($C954,Parametros!$A$26:$A$43,0))</f>
        <v>61.2</v>
      </c>
      <c r="R954" s="21" t="n">
        <f aca="false">L954*Q954</f>
        <v>2448</v>
      </c>
      <c r="S954" s="18" t="n">
        <f aca="false">L954*INDEX(Parametros!$B$20:$B$22,MATCH($E954,Parametros!$A$20:$A$22,0))</f>
        <v>96</v>
      </c>
      <c r="T954" s="18" t="n">
        <f aca="false">P954*INDEX(Parametros!$B$13:$B$16,MATCH($F954,Parametros!$A$13:$A$16,0))</f>
        <v>147.4816</v>
      </c>
      <c r="U954" s="21" t="n">
        <f aca="false">P954-R954-S954-T954</f>
        <v>995.5584</v>
      </c>
      <c r="V954" s="19" t="n">
        <f aca="false">IFERROR(U954/P954,0)</f>
        <v>0.270015622287797</v>
      </c>
      <c r="W954" s="48" t="n">
        <f aca="false">B954+INDEX(Parametros!$C$13:$C$16,MATCH($F954,Parametros!$A$13:$A$16,0))</f>
        <v>46056</v>
      </c>
      <c r="X954" s="31" t="s">
        <v>67</v>
      </c>
      <c r="Y954" s="53" t="n">
        <f aca="false">IF(COUNTIF($A$2:$A954,A954)=1,1,0)</f>
        <v>0</v>
      </c>
    </row>
    <row r="955" customFormat="false" ht="15" hidden="false" customHeight="false" outlineLevel="0" collapsed="false">
      <c r="A955" s="31" t="s">
        <v>756</v>
      </c>
      <c r="B955" s="36" t="n">
        <v>45982</v>
      </c>
      <c r="C955" s="49" t="n">
        <f aca="false">DATE(YEAR(B955),MONTH(B955),1)</f>
        <v>45962</v>
      </c>
      <c r="D955" s="31" t="s">
        <v>224</v>
      </c>
      <c r="E955" s="31" t="s">
        <v>43</v>
      </c>
      <c r="F955" s="31" t="s">
        <v>45</v>
      </c>
      <c r="G955" s="31" t="s">
        <v>59</v>
      </c>
      <c r="H955" s="31" t="s">
        <v>179</v>
      </c>
      <c r="I955" s="32" t="str">
        <f aca="false">INDEX(Productos!$B$2:$B$13,MATCH($H955,Productos!$A$2:$A$13,0))</f>
        <v>Autotaladrante DIN 7504 4,8x38 zincado</v>
      </c>
      <c r="J955" s="32" t="str">
        <f aca="false">INDEX(Productos!$C$2:$C$13,MATCH($H955,Productos!$A$2:$A$13,0))</f>
        <v>Autotaladrante</v>
      </c>
      <c r="K955" s="31" t="s">
        <v>246</v>
      </c>
      <c r="L955" s="46" t="n">
        <v>135</v>
      </c>
      <c r="M955" s="50" t="n">
        <f aca="false">INDEX(Productos!$F$2:$F$13,MATCH($H955,Productos!$A$2:$A$13,0))</f>
        <v>29.5</v>
      </c>
      <c r="N955" s="51" t="n">
        <v>0.186</v>
      </c>
      <c r="O955" s="52" t="n">
        <f aca="false">M955*(1-N955)</f>
        <v>24.013</v>
      </c>
      <c r="P955" s="21" t="n">
        <f aca="false">L955*O955</f>
        <v>3241.755</v>
      </c>
      <c r="Q955" s="50" t="n">
        <f aca="false">INDEX(Productos!$E$2:$E$13,MATCH($H955,Productos!$A$2:$A$13,0))*INDEX(Parametros!$B$26:$B$43,MATCH($C955,Parametros!$A$26:$A$43,0))</f>
        <v>15.504</v>
      </c>
      <c r="R955" s="21" t="n">
        <f aca="false">L955*Q955</f>
        <v>2093.04</v>
      </c>
      <c r="S955" s="18" t="n">
        <f aca="false">L955*INDEX(Parametros!$B$20:$B$22,MATCH($E955,Parametros!$A$20:$A$22,0))</f>
        <v>256.5</v>
      </c>
      <c r="T955" s="18" t="n">
        <f aca="false">P955*INDEX(Parametros!$B$13:$B$16,MATCH($F955,Parametros!$A$13:$A$16,0))</f>
        <v>97.25265</v>
      </c>
      <c r="U955" s="21" t="n">
        <f aca="false">P955-R955-S955-T955</f>
        <v>794.96235</v>
      </c>
      <c r="V955" s="19" t="n">
        <f aca="false">IFERROR(U955/P955,0)</f>
        <v>0.245225919293716</v>
      </c>
      <c r="W955" s="48" t="n">
        <f aca="false">B955+INDEX(Parametros!$C$13:$C$16,MATCH($F955,Parametros!$A$13:$A$16,0))</f>
        <v>46042</v>
      </c>
      <c r="X955" s="31" t="s">
        <v>67</v>
      </c>
      <c r="Y955" s="53" t="n">
        <f aca="false">IF(COUNTIF($A$2:$A955,A955)=1,1,0)</f>
        <v>1</v>
      </c>
    </row>
    <row r="956" customFormat="false" ht="15" hidden="false" customHeight="false" outlineLevel="0" collapsed="false">
      <c r="A956" s="31" t="s">
        <v>756</v>
      </c>
      <c r="B956" s="36" t="n">
        <v>45982</v>
      </c>
      <c r="C956" s="49" t="n">
        <f aca="false">DATE(YEAR(B956),MONTH(B956),1)</f>
        <v>45962</v>
      </c>
      <c r="D956" s="31" t="s">
        <v>224</v>
      </c>
      <c r="E956" s="31" t="s">
        <v>43</v>
      </c>
      <c r="F956" s="31" t="s">
        <v>45</v>
      </c>
      <c r="G956" s="31" t="s">
        <v>59</v>
      </c>
      <c r="H956" s="31" t="s">
        <v>177</v>
      </c>
      <c r="I956" s="32" t="str">
        <f aca="false">INDEX(Productos!$B$2:$B$13,MATCH($H956,Productos!$A$2:$A$13,0))</f>
        <v>Tirafondo madera 6x100 cabeza plana Torx</v>
      </c>
      <c r="J956" s="32" t="str">
        <f aca="false">INDEX(Productos!$C$2:$C$13,MATCH($H956,Productos!$A$2:$A$13,0))</f>
        <v>Madera</v>
      </c>
      <c r="K956" s="31" t="s">
        <v>246</v>
      </c>
      <c r="L956" s="46" t="n">
        <v>22</v>
      </c>
      <c r="M956" s="50" t="n">
        <f aca="false">INDEX(Productos!$F$2:$F$13,MATCH($H956,Productos!$A$2:$A$13,0))</f>
        <v>34</v>
      </c>
      <c r="N956" s="51" t="n">
        <v>0.142</v>
      </c>
      <c r="O956" s="52" t="n">
        <f aca="false">M956*(1-N956)</f>
        <v>29.172</v>
      </c>
      <c r="P956" s="21" t="n">
        <f aca="false">L956*O956</f>
        <v>641.784</v>
      </c>
      <c r="Q956" s="50" t="n">
        <f aca="false">INDEX(Productos!$E$2:$E$13,MATCH($H956,Productos!$A$2:$A$13,0))*INDEX(Parametros!$B$26:$B$43,MATCH($C956,Parametros!$A$26:$A$43,0))</f>
        <v>18.156</v>
      </c>
      <c r="R956" s="21" t="n">
        <f aca="false">L956*Q956</f>
        <v>399.432</v>
      </c>
      <c r="S956" s="18" t="n">
        <f aca="false">L956*INDEX(Parametros!$B$20:$B$22,MATCH($E956,Parametros!$A$20:$A$22,0))</f>
        <v>41.8</v>
      </c>
      <c r="T956" s="18" t="n">
        <f aca="false">P956*INDEX(Parametros!$B$13:$B$16,MATCH($F956,Parametros!$A$13:$A$16,0))</f>
        <v>19.25352</v>
      </c>
      <c r="U956" s="21" t="n">
        <f aca="false">P956-R956-S956-T956</f>
        <v>181.29848</v>
      </c>
      <c r="V956" s="19" t="n">
        <f aca="false">IFERROR(U956/P956,0)</f>
        <v>0.282491430138489</v>
      </c>
      <c r="W956" s="48" t="n">
        <f aca="false">B956+INDEX(Parametros!$C$13:$C$16,MATCH($F956,Parametros!$A$13:$A$16,0))</f>
        <v>46042</v>
      </c>
      <c r="X956" s="31" t="s">
        <v>67</v>
      </c>
      <c r="Y956" s="53" t="n">
        <f aca="false">IF(COUNTIF($A$2:$A956,A956)=1,1,0)</f>
        <v>0</v>
      </c>
    </row>
    <row r="957" customFormat="false" ht="15" hidden="false" customHeight="false" outlineLevel="0" collapsed="false">
      <c r="A957" s="31" t="s">
        <v>757</v>
      </c>
      <c r="B957" s="36" t="n">
        <v>45985</v>
      </c>
      <c r="C957" s="49" t="n">
        <f aca="false">DATE(YEAR(B957),MONTH(B957),1)</f>
        <v>45962</v>
      </c>
      <c r="D957" s="31" t="s">
        <v>200</v>
      </c>
      <c r="E957" s="31" t="s">
        <v>41</v>
      </c>
      <c r="F957" s="31" t="s">
        <v>45</v>
      </c>
      <c r="G957" s="31" t="s">
        <v>62</v>
      </c>
      <c r="H957" s="31" t="s">
        <v>169</v>
      </c>
      <c r="I957" s="32" t="str">
        <f aca="false">INDEX(Productos!$B$2:$B$13,MATCH($H957,Productos!$A$2:$A$13,0))</f>
        <v>Tornillo DIN 912 M10x60 Allen inox A2</v>
      </c>
      <c r="J957" s="32" t="str">
        <f aca="false">INDEX(Productos!$C$2:$C$13,MATCH($H957,Productos!$A$2:$A$13,0))</f>
        <v>Inoxidable</v>
      </c>
      <c r="K957" s="31" t="s">
        <v>246</v>
      </c>
      <c r="L957" s="46" t="n">
        <v>21</v>
      </c>
      <c r="M957" s="50" t="n">
        <f aca="false">INDEX(Productos!$F$2:$F$13,MATCH($H957,Productos!$A$2:$A$13,0))</f>
        <v>79</v>
      </c>
      <c r="N957" s="51" t="n">
        <v>0.192</v>
      </c>
      <c r="O957" s="52" t="n">
        <f aca="false">M957*(1-N957)</f>
        <v>63.832</v>
      </c>
      <c r="P957" s="21" t="n">
        <f aca="false">L957*O957</f>
        <v>1340.472</v>
      </c>
      <c r="Q957" s="50" t="n">
        <f aca="false">INDEX(Productos!$E$2:$E$13,MATCH($H957,Productos!$A$2:$A$13,0))*INDEX(Parametros!$B$26:$B$43,MATCH($C957,Parametros!$A$26:$A$43,0))</f>
        <v>42.84</v>
      </c>
      <c r="R957" s="21" t="n">
        <f aca="false">L957*Q957</f>
        <v>899.64</v>
      </c>
      <c r="S957" s="18" t="n">
        <f aca="false">L957*INDEX(Parametros!$B$20:$B$22,MATCH($E957,Parametros!$A$20:$A$22,0))</f>
        <v>17.85</v>
      </c>
      <c r="T957" s="18" t="n">
        <f aca="false">P957*INDEX(Parametros!$B$13:$B$16,MATCH($F957,Parametros!$A$13:$A$16,0))</f>
        <v>40.21416</v>
      </c>
      <c r="U957" s="21" t="n">
        <f aca="false">P957-R957-S957-T957</f>
        <v>382.76784</v>
      </c>
      <c r="V957" s="19" t="n">
        <f aca="false">IFERROR(U957/P957,0)</f>
        <v>0.285547061035217</v>
      </c>
      <c r="W957" s="48" t="n">
        <f aca="false">B957+INDEX(Parametros!$C$13:$C$16,MATCH($F957,Parametros!$A$13:$A$16,0))</f>
        <v>46045</v>
      </c>
      <c r="X957" s="31" t="s">
        <v>67</v>
      </c>
      <c r="Y957" s="53" t="n">
        <f aca="false">IF(COUNTIF($A$2:$A957,A957)=1,1,0)</f>
        <v>1</v>
      </c>
    </row>
    <row r="958" customFormat="false" ht="15" hidden="false" customHeight="false" outlineLevel="0" collapsed="false">
      <c r="A958" s="31" t="s">
        <v>758</v>
      </c>
      <c r="B958" s="36" t="n">
        <v>45985</v>
      </c>
      <c r="C958" s="49" t="n">
        <f aca="false">DATE(YEAR(B958),MONTH(B958),1)</f>
        <v>45962</v>
      </c>
      <c r="D958" s="31" t="s">
        <v>226</v>
      </c>
      <c r="E958" s="31" t="s">
        <v>43</v>
      </c>
      <c r="F958" s="31" t="s">
        <v>46</v>
      </c>
      <c r="G958" s="31" t="s">
        <v>59</v>
      </c>
      <c r="H958" s="31" t="s">
        <v>173</v>
      </c>
      <c r="I958" s="32" t="str">
        <f aca="false">INDEX(Productos!$B$2:$B$13,MATCH($H958,Productos!$A$2:$A$13,0))</f>
        <v>Tornillo DIN 933 M12x70 clase 8.8</v>
      </c>
      <c r="J958" s="32" t="str">
        <f aca="false">INDEX(Productos!$C$2:$C$13,MATCH($H958,Productos!$A$2:$A$13,0))</f>
        <v>Métrica</v>
      </c>
      <c r="K958" s="31" t="s">
        <v>246</v>
      </c>
      <c r="L958" s="46" t="n">
        <v>31</v>
      </c>
      <c r="M958" s="50" t="n">
        <f aca="false">INDEX(Productos!$F$2:$F$13,MATCH($H958,Productos!$A$2:$A$13,0))</f>
        <v>64</v>
      </c>
      <c r="N958" s="51" t="n">
        <v>0.16</v>
      </c>
      <c r="O958" s="52" t="n">
        <f aca="false">M958*(1-N958)</f>
        <v>53.76</v>
      </c>
      <c r="P958" s="21" t="n">
        <f aca="false">L958*O958</f>
        <v>1666.56</v>
      </c>
      <c r="Q958" s="50" t="n">
        <f aca="false">INDEX(Productos!$E$2:$E$13,MATCH($H958,Productos!$A$2:$A$13,0))*INDEX(Parametros!$B$26:$B$43,MATCH($C958,Parametros!$A$26:$A$43,0))</f>
        <v>34.17</v>
      </c>
      <c r="R958" s="21" t="n">
        <f aca="false">L958*Q958</f>
        <v>1059.27</v>
      </c>
      <c r="S958" s="18" t="n">
        <f aca="false">L958*INDEX(Parametros!$B$20:$B$22,MATCH($E958,Parametros!$A$20:$A$22,0))</f>
        <v>58.9</v>
      </c>
      <c r="T958" s="18" t="n">
        <f aca="false">P958*INDEX(Parametros!$B$13:$B$16,MATCH($F958,Parametros!$A$13:$A$16,0))</f>
        <v>66.6624</v>
      </c>
      <c r="U958" s="21" t="n">
        <f aca="false">P958-R958-S958-T958</f>
        <v>481.7276</v>
      </c>
      <c r="V958" s="19" t="n">
        <f aca="false">IFERROR(U958/P958,0)</f>
        <v>0.28905505952381</v>
      </c>
      <c r="W958" s="48" t="n">
        <f aca="false">B958+INDEX(Parametros!$C$13:$C$16,MATCH($F958,Parametros!$A$13:$A$16,0))</f>
        <v>46060</v>
      </c>
      <c r="X958" s="31" t="s">
        <v>67</v>
      </c>
      <c r="Y958" s="53" t="n">
        <f aca="false">IF(COUNTIF($A$2:$A958,A958)=1,1,0)</f>
        <v>1</v>
      </c>
    </row>
    <row r="959" customFormat="false" ht="15" hidden="false" customHeight="false" outlineLevel="0" collapsed="false">
      <c r="A959" s="31" t="s">
        <v>758</v>
      </c>
      <c r="B959" s="36" t="n">
        <v>45985</v>
      </c>
      <c r="C959" s="49" t="n">
        <f aca="false">DATE(YEAR(B959),MONTH(B959),1)</f>
        <v>45962</v>
      </c>
      <c r="D959" s="31" t="s">
        <v>226</v>
      </c>
      <c r="E959" s="31" t="s">
        <v>43</v>
      </c>
      <c r="F959" s="31" t="s">
        <v>46</v>
      </c>
      <c r="G959" s="31" t="s">
        <v>59</v>
      </c>
      <c r="H959" s="31" t="s">
        <v>167</v>
      </c>
      <c r="I959" s="32" t="str">
        <f aca="false">INDEX(Productos!$B$2:$B$13,MATCH($H959,Productos!$A$2:$A$13,0))</f>
        <v>Tornillo DIN 912 M6x25 Allen zincado</v>
      </c>
      <c r="J959" s="32" t="str">
        <f aca="false">INDEX(Productos!$C$2:$C$13,MATCH($H959,Productos!$A$2:$A$13,0))</f>
        <v>Métrica</v>
      </c>
      <c r="K959" s="31" t="s">
        <v>246</v>
      </c>
      <c r="L959" s="46" t="n">
        <v>59</v>
      </c>
      <c r="M959" s="50" t="n">
        <f aca="false">INDEX(Productos!$F$2:$F$13,MATCH($H959,Productos!$A$2:$A$13,0))</f>
        <v>42</v>
      </c>
      <c r="N959" s="51" t="n">
        <v>0.157</v>
      </c>
      <c r="O959" s="52" t="n">
        <f aca="false">M959*(1-N959)</f>
        <v>35.406</v>
      </c>
      <c r="P959" s="21" t="n">
        <f aca="false">L959*O959</f>
        <v>2088.954</v>
      </c>
      <c r="Q959" s="50" t="n">
        <f aca="false">INDEX(Productos!$E$2:$E$13,MATCH($H959,Productos!$A$2:$A$13,0))*INDEX(Parametros!$B$26:$B$43,MATCH($C959,Parametros!$A$26:$A$43,0))</f>
        <v>22.236</v>
      </c>
      <c r="R959" s="21" t="n">
        <f aca="false">L959*Q959</f>
        <v>1311.924</v>
      </c>
      <c r="S959" s="18" t="n">
        <f aca="false">L959*INDEX(Parametros!$B$20:$B$22,MATCH($E959,Parametros!$A$20:$A$22,0))</f>
        <v>112.1</v>
      </c>
      <c r="T959" s="18" t="n">
        <f aca="false">P959*INDEX(Parametros!$B$13:$B$16,MATCH($F959,Parametros!$A$13:$A$16,0))</f>
        <v>83.55816</v>
      </c>
      <c r="U959" s="21" t="n">
        <f aca="false">P959-R959-S959-T959</f>
        <v>581.37184</v>
      </c>
      <c r="V959" s="19" t="n">
        <f aca="false">IFERROR(U959/P959,0)</f>
        <v>0.278307631474891</v>
      </c>
      <c r="W959" s="48" t="n">
        <f aca="false">B959+INDEX(Parametros!$C$13:$C$16,MATCH($F959,Parametros!$A$13:$A$16,0))</f>
        <v>46060</v>
      </c>
      <c r="X959" s="31" t="s">
        <v>67</v>
      </c>
      <c r="Y959" s="53" t="n">
        <f aca="false">IF(COUNTIF($A$2:$A959,A959)=1,1,0)</f>
        <v>0</v>
      </c>
    </row>
    <row r="960" customFormat="false" ht="15" hidden="false" customHeight="false" outlineLevel="0" collapsed="false">
      <c r="A960" s="31" t="s">
        <v>759</v>
      </c>
      <c r="B960" s="36" t="n">
        <v>45985</v>
      </c>
      <c r="C960" s="49" t="n">
        <f aca="false">DATE(YEAR(B960),MONTH(B960),1)</f>
        <v>45962</v>
      </c>
      <c r="D960" s="31" t="s">
        <v>197</v>
      </c>
      <c r="E960" s="31" t="s">
        <v>41</v>
      </c>
      <c r="F960" s="31" t="s">
        <v>46</v>
      </c>
      <c r="G960" s="31" t="s">
        <v>58</v>
      </c>
      <c r="H960" s="31" t="s">
        <v>167</v>
      </c>
      <c r="I960" s="32" t="str">
        <f aca="false">INDEX(Productos!$B$2:$B$13,MATCH($H960,Productos!$A$2:$A$13,0))</f>
        <v>Tornillo DIN 912 M6x25 Allen zincado</v>
      </c>
      <c r="J960" s="32" t="str">
        <f aca="false">INDEX(Productos!$C$2:$C$13,MATCH($H960,Productos!$A$2:$A$13,0))</f>
        <v>Métrica</v>
      </c>
      <c r="K960" s="31" t="s">
        <v>246</v>
      </c>
      <c r="L960" s="46" t="n">
        <v>74</v>
      </c>
      <c r="M960" s="50" t="n">
        <f aca="false">INDEX(Productos!$F$2:$F$13,MATCH($H960,Productos!$A$2:$A$13,0))</f>
        <v>42</v>
      </c>
      <c r="N960" s="51" t="n">
        <v>0.15</v>
      </c>
      <c r="O960" s="52" t="n">
        <f aca="false">M960*(1-N960)</f>
        <v>35.7</v>
      </c>
      <c r="P960" s="21" t="n">
        <f aca="false">L960*O960</f>
        <v>2641.8</v>
      </c>
      <c r="Q960" s="50" t="n">
        <f aca="false">INDEX(Productos!$E$2:$E$13,MATCH($H960,Productos!$A$2:$A$13,0))*INDEX(Parametros!$B$26:$B$43,MATCH($C960,Parametros!$A$26:$A$43,0))</f>
        <v>22.236</v>
      </c>
      <c r="R960" s="21" t="n">
        <f aca="false">L960*Q960</f>
        <v>1645.464</v>
      </c>
      <c r="S960" s="18" t="n">
        <f aca="false">L960*INDEX(Parametros!$B$20:$B$22,MATCH($E960,Parametros!$A$20:$A$22,0))</f>
        <v>62.9</v>
      </c>
      <c r="T960" s="18" t="n">
        <f aca="false">P960*INDEX(Parametros!$B$13:$B$16,MATCH($F960,Parametros!$A$13:$A$16,0))</f>
        <v>105.672</v>
      </c>
      <c r="U960" s="21" t="n">
        <f aca="false">P960-R960-S960-T960</f>
        <v>827.764</v>
      </c>
      <c r="V960" s="19" t="n">
        <f aca="false">IFERROR(U960/P960,0)</f>
        <v>0.313333333333333</v>
      </c>
      <c r="W960" s="48" t="n">
        <f aca="false">B960+INDEX(Parametros!$C$13:$C$16,MATCH($F960,Parametros!$A$13:$A$16,0))</f>
        <v>46060</v>
      </c>
      <c r="X960" s="31" t="s">
        <v>67</v>
      </c>
      <c r="Y960" s="53" t="n">
        <f aca="false">IF(COUNTIF($A$2:$A960,A960)=1,1,0)</f>
        <v>1</v>
      </c>
    </row>
    <row r="961" customFormat="false" ht="15" hidden="false" customHeight="false" outlineLevel="0" collapsed="false">
      <c r="A961" s="31" t="s">
        <v>760</v>
      </c>
      <c r="B961" s="36" t="n">
        <v>45985</v>
      </c>
      <c r="C961" s="49" t="n">
        <f aca="false">DATE(YEAR(B961),MONTH(B961),1)</f>
        <v>45962</v>
      </c>
      <c r="D961" s="31" t="s">
        <v>210</v>
      </c>
      <c r="E961" s="31" t="s">
        <v>41</v>
      </c>
      <c r="F961" s="31" t="s">
        <v>48</v>
      </c>
      <c r="G961" s="31" t="s">
        <v>60</v>
      </c>
      <c r="H961" s="31" t="s">
        <v>171</v>
      </c>
      <c r="I961" s="32" t="str">
        <f aca="false">INDEX(Productos!$B$2:$B$13,MATCH($H961,Productos!$A$2:$A$13,0))</f>
        <v>Tornillo DIN 7991 M8x30 avellanado inox A2</v>
      </c>
      <c r="J961" s="32" t="str">
        <f aca="false">INDEX(Productos!$C$2:$C$13,MATCH($H961,Productos!$A$2:$A$13,0))</f>
        <v>Inoxidable</v>
      </c>
      <c r="K961" s="31" t="s">
        <v>246</v>
      </c>
      <c r="L961" s="46" t="n">
        <v>7</v>
      </c>
      <c r="M961" s="50" t="n">
        <f aca="false">INDEX(Productos!$F$2:$F$13,MATCH($H961,Productos!$A$2:$A$13,0))</f>
        <v>88</v>
      </c>
      <c r="N961" s="51" t="n">
        <v>0.041</v>
      </c>
      <c r="O961" s="52" t="n">
        <f aca="false">M961*(1-N961)</f>
        <v>84.392</v>
      </c>
      <c r="P961" s="21" t="n">
        <f aca="false">L961*O961</f>
        <v>590.744</v>
      </c>
      <c r="Q961" s="50" t="n">
        <f aca="false">INDEX(Productos!$E$2:$E$13,MATCH($H961,Productos!$A$2:$A$13,0))*INDEX(Parametros!$B$26:$B$43,MATCH($C961,Parametros!$A$26:$A$43,0))</f>
        <v>47.43</v>
      </c>
      <c r="R961" s="21" t="n">
        <f aca="false">L961*Q961</f>
        <v>332.01</v>
      </c>
      <c r="S961" s="18" t="n">
        <f aca="false">L961*INDEX(Parametros!$B$20:$B$22,MATCH($E961,Parametros!$A$20:$A$22,0))</f>
        <v>5.95</v>
      </c>
      <c r="T961" s="18" t="n">
        <f aca="false">P961*INDEX(Parametros!$B$13:$B$16,MATCH($F961,Parametros!$A$13:$A$16,0))</f>
        <v>5.90744</v>
      </c>
      <c r="U961" s="21" t="n">
        <f aca="false">P961-R961-S961-T961</f>
        <v>246.87656</v>
      </c>
      <c r="V961" s="19" t="n">
        <f aca="false">IFERROR(U961/P961,0)</f>
        <v>0.417907858564793</v>
      </c>
      <c r="W961" s="48" t="n">
        <f aca="false">B961+INDEX(Parametros!$C$13:$C$16,MATCH($F961,Parametros!$A$13:$A$16,0))</f>
        <v>45985</v>
      </c>
      <c r="X961" s="31" t="s">
        <v>67</v>
      </c>
      <c r="Y961" s="53" t="n">
        <f aca="false">IF(COUNTIF($A$2:$A961,A961)=1,1,0)</f>
        <v>1</v>
      </c>
    </row>
    <row r="962" customFormat="false" ht="15" hidden="false" customHeight="false" outlineLevel="0" collapsed="false">
      <c r="A962" s="31" t="s">
        <v>760</v>
      </c>
      <c r="B962" s="36" t="n">
        <v>45985</v>
      </c>
      <c r="C962" s="49" t="n">
        <f aca="false">DATE(YEAR(B962),MONTH(B962),1)</f>
        <v>45962</v>
      </c>
      <c r="D962" s="31" t="s">
        <v>210</v>
      </c>
      <c r="E962" s="31" t="s">
        <v>41</v>
      </c>
      <c r="F962" s="31" t="s">
        <v>48</v>
      </c>
      <c r="G962" s="31" t="s">
        <v>60</v>
      </c>
      <c r="H962" s="31" t="s">
        <v>169</v>
      </c>
      <c r="I962" s="32" t="str">
        <f aca="false">INDEX(Productos!$B$2:$B$13,MATCH($H962,Productos!$A$2:$A$13,0))</f>
        <v>Tornillo DIN 912 M10x60 Allen inox A2</v>
      </c>
      <c r="J962" s="32" t="str">
        <f aca="false">INDEX(Productos!$C$2:$C$13,MATCH($H962,Productos!$A$2:$A$13,0))</f>
        <v>Inoxidable</v>
      </c>
      <c r="K962" s="31" t="s">
        <v>246</v>
      </c>
      <c r="L962" s="46" t="n">
        <v>41</v>
      </c>
      <c r="M962" s="50" t="n">
        <f aca="false">INDEX(Productos!$F$2:$F$13,MATCH($H962,Productos!$A$2:$A$13,0))</f>
        <v>79</v>
      </c>
      <c r="N962" s="51" t="n">
        <v>0.039</v>
      </c>
      <c r="O962" s="52" t="n">
        <f aca="false">M962*(1-N962)</f>
        <v>75.919</v>
      </c>
      <c r="P962" s="21" t="n">
        <f aca="false">L962*O962</f>
        <v>3112.679</v>
      </c>
      <c r="Q962" s="50" t="n">
        <f aca="false">INDEX(Productos!$E$2:$E$13,MATCH($H962,Productos!$A$2:$A$13,0))*INDEX(Parametros!$B$26:$B$43,MATCH($C962,Parametros!$A$26:$A$43,0))</f>
        <v>42.84</v>
      </c>
      <c r="R962" s="21" t="n">
        <f aca="false">L962*Q962</f>
        <v>1756.44</v>
      </c>
      <c r="S962" s="18" t="n">
        <f aca="false">L962*INDEX(Parametros!$B$20:$B$22,MATCH($E962,Parametros!$A$20:$A$22,0))</f>
        <v>34.85</v>
      </c>
      <c r="T962" s="18" t="n">
        <f aca="false">P962*INDEX(Parametros!$B$13:$B$16,MATCH($F962,Parametros!$A$13:$A$16,0))</f>
        <v>31.12679</v>
      </c>
      <c r="U962" s="21" t="n">
        <f aca="false">P962-R962-S962-T962</f>
        <v>1290.26221</v>
      </c>
      <c r="V962" s="19" t="n">
        <f aca="false">IFERROR(U962/P962,0)</f>
        <v>0.414518236541577</v>
      </c>
      <c r="W962" s="48" t="n">
        <f aca="false">B962+INDEX(Parametros!$C$13:$C$16,MATCH($F962,Parametros!$A$13:$A$16,0))</f>
        <v>45985</v>
      </c>
      <c r="X962" s="31" t="s">
        <v>67</v>
      </c>
      <c r="Y962" s="53" t="n">
        <f aca="false">IF(COUNTIF($A$2:$A962,A962)=1,1,0)</f>
        <v>0</v>
      </c>
    </row>
    <row r="963" customFormat="false" ht="15" hidden="false" customHeight="false" outlineLevel="0" collapsed="false">
      <c r="A963" s="31" t="s">
        <v>761</v>
      </c>
      <c r="B963" s="36" t="n">
        <v>45986</v>
      </c>
      <c r="C963" s="49" t="n">
        <f aca="false">DATE(YEAR(B963),MONTH(B963),1)</f>
        <v>45962</v>
      </c>
      <c r="D963" s="31" t="s">
        <v>200</v>
      </c>
      <c r="E963" s="31" t="s">
        <v>41</v>
      </c>
      <c r="F963" s="31" t="s">
        <v>45</v>
      </c>
      <c r="G963" s="31" t="s">
        <v>62</v>
      </c>
      <c r="H963" s="31" t="s">
        <v>163</v>
      </c>
      <c r="I963" s="32" t="str">
        <f aca="false">INDEX(Productos!$B$2:$B$13,MATCH($H963,Productos!$A$2:$A$13,0))</f>
        <v>Tornillo DIN 933 M6x30 rosca completa zincado</v>
      </c>
      <c r="J963" s="32" t="str">
        <f aca="false">INDEX(Productos!$C$2:$C$13,MATCH($H963,Productos!$A$2:$A$13,0))</f>
        <v>Métrica</v>
      </c>
      <c r="K963" s="31" t="s">
        <v>246</v>
      </c>
      <c r="L963" s="46" t="n">
        <v>91</v>
      </c>
      <c r="M963" s="50" t="n">
        <f aca="false">INDEX(Productos!$F$2:$F$13,MATCH($H963,Productos!$A$2:$A$13,0))</f>
        <v>32</v>
      </c>
      <c r="N963" s="51" t="n">
        <v>0.14</v>
      </c>
      <c r="O963" s="52" t="n">
        <f aca="false">M963*(1-N963)</f>
        <v>27.52</v>
      </c>
      <c r="P963" s="21" t="n">
        <f aca="false">L963*O963</f>
        <v>2504.32</v>
      </c>
      <c r="Q963" s="50" t="n">
        <f aca="false">INDEX(Productos!$E$2:$E$13,MATCH($H963,Productos!$A$2:$A$13,0))*INDEX(Parametros!$B$26:$B$43,MATCH($C963,Parametros!$A$26:$A$43,0))</f>
        <v>16.932</v>
      </c>
      <c r="R963" s="21" t="n">
        <f aca="false">L963*Q963</f>
        <v>1540.812</v>
      </c>
      <c r="S963" s="18" t="n">
        <f aca="false">L963*INDEX(Parametros!$B$20:$B$22,MATCH($E963,Parametros!$A$20:$A$22,0))</f>
        <v>77.35</v>
      </c>
      <c r="T963" s="18" t="n">
        <f aca="false">P963*INDEX(Parametros!$B$13:$B$16,MATCH($F963,Parametros!$A$13:$A$16,0))</f>
        <v>75.1296</v>
      </c>
      <c r="U963" s="21" t="n">
        <f aca="false">P963-R963-S963-T963</f>
        <v>811.0284</v>
      </c>
      <c r="V963" s="19" t="n">
        <f aca="false">IFERROR(U963/P963,0)</f>
        <v>0.323851744186047</v>
      </c>
      <c r="W963" s="48" t="n">
        <f aca="false">B963+INDEX(Parametros!$C$13:$C$16,MATCH($F963,Parametros!$A$13:$A$16,0))</f>
        <v>46046</v>
      </c>
      <c r="X963" s="31" t="s">
        <v>67</v>
      </c>
      <c r="Y963" s="53" t="n">
        <f aca="false">IF(COUNTIF($A$2:$A963,A963)=1,1,0)</f>
        <v>1</v>
      </c>
    </row>
    <row r="964" customFormat="false" ht="15" hidden="false" customHeight="false" outlineLevel="0" collapsed="false">
      <c r="A964" s="31" t="s">
        <v>762</v>
      </c>
      <c r="B964" s="36" t="n">
        <v>45986</v>
      </c>
      <c r="C964" s="49" t="n">
        <f aca="false">DATE(YEAR(B964),MONTH(B964),1)</f>
        <v>45962</v>
      </c>
      <c r="D964" s="31" t="s">
        <v>219</v>
      </c>
      <c r="E964" s="31" t="s">
        <v>42</v>
      </c>
      <c r="F964" s="31" t="s">
        <v>45</v>
      </c>
      <c r="G964" s="31" t="s">
        <v>61</v>
      </c>
      <c r="H964" s="31" t="s">
        <v>179</v>
      </c>
      <c r="I964" s="32" t="str">
        <f aca="false">INDEX(Productos!$B$2:$B$13,MATCH($H964,Productos!$A$2:$A$13,0))</f>
        <v>Autotaladrante DIN 7504 4,8x38 zincado</v>
      </c>
      <c r="J964" s="32" t="str">
        <f aca="false">INDEX(Productos!$C$2:$C$13,MATCH($H964,Productos!$A$2:$A$13,0))</f>
        <v>Autotaladrante</v>
      </c>
      <c r="K964" s="31" t="s">
        <v>246</v>
      </c>
      <c r="L964" s="46" t="n">
        <v>56</v>
      </c>
      <c r="M964" s="50" t="n">
        <f aca="false">INDEX(Productos!$F$2:$F$13,MATCH($H964,Productos!$A$2:$A$13,0))</f>
        <v>29.5</v>
      </c>
      <c r="N964" s="51" t="n">
        <v>0.186</v>
      </c>
      <c r="O964" s="52" t="n">
        <f aca="false">M964*(1-N964)</f>
        <v>24.013</v>
      </c>
      <c r="P964" s="21" t="n">
        <f aca="false">L964*O964</f>
        <v>1344.728</v>
      </c>
      <c r="Q964" s="50" t="n">
        <f aca="false">INDEX(Productos!$E$2:$E$13,MATCH($H964,Productos!$A$2:$A$13,0))*INDEX(Parametros!$B$26:$B$43,MATCH($C964,Parametros!$A$26:$A$43,0))</f>
        <v>15.504</v>
      </c>
      <c r="R964" s="21" t="n">
        <f aca="false">L964*Q964</f>
        <v>868.224</v>
      </c>
      <c r="S964" s="18" t="n">
        <f aca="false">L964*INDEX(Parametros!$B$20:$B$22,MATCH($E964,Parametros!$A$20:$A$22,0))</f>
        <v>134.4</v>
      </c>
      <c r="T964" s="18" t="n">
        <f aca="false">P964*INDEX(Parametros!$B$13:$B$16,MATCH($F964,Parametros!$A$13:$A$16,0))</f>
        <v>40.34184</v>
      </c>
      <c r="U964" s="21" t="n">
        <f aca="false">P964-R964-S964-T964</f>
        <v>301.76216</v>
      </c>
      <c r="V964" s="19" t="n">
        <f aca="false">IFERROR(U964/P964,0)</f>
        <v>0.224403864573356</v>
      </c>
      <c r="W964" s="48" t="n">
        <f aca="false">B964+INDEX(Parametros!$C$13:$C$16,MATCH($F964,Parametros!$A$13:$A$16,0))</f>
        <v>46046</v>
      </c>
      <c r="X964" s="31" t="s">
        <v>67</v>
      </c>
      <c r="Y964" s="53" t="n">
        <f aca="false">IF(COUNTIF($A$2:$A964,A964)=1,1,0)</f>
        <v>1</v>
      </c>
    </row>
    <row r="965" customFormat="false" ht="15" hidden="false" customHeight="false" outlineLevel="0" collapsed="false">
      <c r="A965" s="31" t="s">
        <v>763</v>
      </c>
      <c r="B965" s="36" t="n">
        <v>45987</v>
      </c>
      <c r="C965" s="49" t="n">
        <f aca="false">DATE(YEAR(B965),MONTH(B965),1)</f>
        <v>45962</v>
      </c>
      <c r="D965" s="31" t="s">
        <v>214</v>
      </c>
      <c r="E965" s="31" t="s">
        <v>42</v>
      </c>
      <c r="F965" s="31" t="s">
        <v>46</v>
      </c>
      <c r="G965" s="31" t="s">
        <v>61</v>
      </c>
      <c r="H965" s="31" t="s">
        <v>169</v>
      </c>
      <c r="I965" s="32" t="str">
        <f aca="false">INDEX(Productos!$B$2:$B$13,MATCH($H965,Productos!$A$2:$A$13,0))</f>
        <v>Tornillo DIN 912 M10x60 Allen inox A2</v>
      </c>
      <c r="J965" s="32" t="str">
        <f aca="false">INDEX(Productos!$C$2:$C$13,MATCH($H965,Productos!$A$2:$A$13,0))</f>
        <v>Inoxidable</v>
      </c>
      <c r="K965" s="31" t="s">
        <v>246</v>
      </c>
      <c r="L965" s="46" t="n">
        <v>54</v>
      </c>
      <c r="M965" s="50" t="n">
        <f aca="false">INDEX(Productos!$F$2:$F$13,MATCH($H965,Productos!$A$2:$A$13,0))</f>
        <v>79</v>
      </c>
      <c r="N965" s="51" t="n">
        <v>0.126</v>
      </c>
      <c r="O965" s="52" t="n">
        <f aca="false">M965*(1-N965)</f>
        <v>69.046</v>
      </c>
      <c r="P965" s="21" t="n">
        <f aca="false">L965*O965</f>
        <v>3728.484</v>
      </c>
      <c r="Q965" s="50" t="n">
        <f aca="false">INDEX(Productos!$E$2:$E$13,MATCH($H965,Productos!$A$2:$A$13,0))*INDEX(Parametros!$B$26:$B$43,MATCH($C965,Parametros!$A$26:$A$43,0))</f>
        <v>42.84</v>
      </c>
      <c r="R965" s="21" t="n">
        <f aca="false">L965*Q965</f>
        <v>2313.36</v>
      </c>
      <c r="S965" s="18" t="n">
        <f aca="false">L965*INDEX(Parametros!$B$20:$B$22,MATCH($E965,Parametros!$A$20:$A$22,0))</f>
        <v>129.6</v>
      </c>
      <c r="T965" s="18" t="n">
        <f aca="false">P965*INDEX(Parametros!$B$13:$B$16,MATCH($F965,Parametros!$A$13:$A$16,0))</f>
        <v>149.13936</v>
      </c>
      <c r="U965" s="21" t="n">
        <f aca="false">P965-R965-S965-T965</f>
        <v>1136.38464</v>
      </c>
      <c r="V965" s="19" t="n">
        <f aca="false">IFERROR(U965/P965,0)</f>
        <v>0.304784636329404</v>
      </c>
      <c r="W965" s="48" t="n">
        <f aca="false">B965+INDEX(Parametros!$C$13:$C$16,MATCH($F965,Parametros!$A$13:$A$16,0))</f>
        <v>46062</v>
      </c>
      <c r="X965" s="31" t="s">
        <v>67</v>
      </c>
      <c r="Y965" s="53" t="n">
        <f aca="false">IF(COUNTIF($A$2:$A965,A965)=1,1,0)</f>
        <v>1</v>
      </c>
    </row>
    <row r="966" customFormat="false" ht="15" hidden="false" customHeight="false" outlineLevel="0" collapsed="false">
      <c r="A966" s="31" t="s">
        <v>764</v>
      </c>
      <c r="B966" s="36" t="n">
        <v>45988</v>
      </c>
      <c r="C966" s="49" t="n">
        <f aca="false">DATE(YEAR(B966),MONTH(B966),1)</f>
        <v>45962</v>
      </c>
      <c r="D966" s="31" t="s">
        <v>215</v>
      </c>
      <c r="E966" s="31" t="s">
        <v>42</v>
      </c>
      <c r="F966" s="31" t="s">
        <v>46</v>
      </c>
      <c r="G966" s="31" t="s">
        <v>61</v>
      </c>
      <c r="H966" s="31" t="s">
        <v>167</v>
      </c>
      <c r="I966" s="32" t="str">
        <f aca="false">INDEX(Productos!$B$2:$B$13,MATCH($H966,Productos!$A$2:$A$13,0))</f>
        <v>Tornillo DIN 912 M6x25 Allen zincado</v>
      </c>
      <c r="J966" s="32" t="str">
        <f aca="false">INDEX(Productos!$C$2:$C$13,MATCH($H966,Productos!$A$2:$A$13,0))</f>
        <v>Métrica</v>
      </c>
      <c r="K966" s="31" t="s">
        <v>246</v>
      </c>
      <c r="L966" s="46" t="n">
        <v>187</v>
      </c>
      <c r="M966" s="50" t="n">
        <f aca="false">INDEX(Productos!$F$2:$F$13,MATCH($H966,Productos!$A$2:$A$13,0))</f>
        <v>42</v>
      </c>
      <c r="N966" s="51" t="n">
        <v>0.123</v>
      </c>
      <c r="O966" s="52" t="n">
        <f aca="false">M966*(1-N966)</f>
        <v>36.834</v>
      </c>
      <c r="P966" s="21" t="n">
        <f aca="false">L966*O966</f>
        <v>6887.958</v>
      </c>
      <c r="Q966" s="50" t="n">
        <f aca="false">INDEX(Productos!$E$2:$E$13,MATCH($H966,Productos!$A$2:$A$13,0))*INDEX(Parametros!$B$26:$B$43,MATCH($C966,Parametros!$A$26:$A$43,0))</f>
        <v>22.236</v>
      </c>
      <c r="R966" s="21" t="n">
        <f aca="false">L966*Q966</f>
        <v>4158.132</v>
      </c>
      <c r="S966" s="18" t="n">
        <f aca="false">L966*INDEX(Parametros!$B$20:$B$22,MATCH($E966,Parametros!$A$20:$A$22,0))</f>
        <v>448.8</v>
      </c>
      <c r="T966" s="18" t="n">
        <f aca="false">P966*INDEX(Parametros!$B$13:$B$16,MATCH($F966,Parametros!$A$13:$A$16,0))</f>
        <v>275.51832</v>
      </c>
      <c r="U966" s="21" t="n">
        <f aca="false">P966-R966-S966-T966</f>
        <v>2005.50768</v>
      </c>
      <c r="V966" s="19" t="n">
        <f aca="false">IFERROR(U966/P966,0)</f>
        <v>0.291161426942499</v>
      </c>
      <c r="W966" s="48" t="n">
        <f aca="false">B966+INDEX(Parametros!$C$13:$C$16,MATCH($F966,Parametros!$A$13:$A$16,0))</f>
        <v>46063</v>
      </c>
      <c r="X966" s="31" t="s">
        <v>67</v>
      </c>
      <c r="Y966" s="53" t="n">
        <f aca="false">IF(COUNTIF($A$2:$A966,A966)=1,1,0)</f>
        <v>1</v>
      </c>
    </row>
    <row r="967" customFormat="false" ht="15" hidden="false" customHeight="false" outlineLevel="0" collapsed="false">
      <c r="A967" s="31" t="s">
        <v>765</v>
      </c>
      <c r="B967" s="36" t="n">
        <v>45988</v>
      </c>
      <c r="C967" s="49" t="n">
        <f aca="false">DATE(YEAR(B967),MONTH(B967),1)</f>
        <v>45962</v>
      </c>
      <c r="D967" s="31" t="s">
        <v>212</v>
      </c>
      <c r="E967" s="31" t="s">
        <v>42</v>
      </c>
      <c r="F967" s="31" t="s">
        <v>45</v>
      </c>
      <c r="G967" s="31" t="s">
        <v>61</v>
      </c>
      <c r="H967" s="31" t="s">
        <v>179</v>
      </c>
      <c r="I967" s="32" t="str">
        <f aca="false">INDEX(Productos!$B$2:$B$13,MATCH($H967,Productos!$A$2:$A$13,0))</f>
        <v>Autotaladrante DIN 7504 4,8x38 zincado</v>
      </c>
      <c r="J967" s="32" t="str">
        <f aca="false">INDEX(Productos!$C$2:$C$13,MATCH($H967,Productos!$A$2:$A$13,0))</f>
        <v>Autotaladrante</v>
      </c>
      <c r="K967" s="31" t="s">
        <v>246</v>
      </c>
      <c r="L967" s="46" t="n">
        <v>285</v>
      </c>
      <c r="M967" s="50" t="n">
        <f aca="false">INDEX(Productos!$F$2:$F$13,MATCH($H967,Productos!$A$2:$A$13,0))</f>
        <v>29.5</v>
      </c>
      <c r="N967" s="51" t="n">
        <v>0.203</v>
      </c>
      <c r="O967" s="52" t="n">
        <f aca="false">M967*(1-N967)</f>
        <v>23.5115</v>
      </c>
      <c r="P967" s="21" t="n">
        <f aca="false">L967*O967</f>
        <v>6700.7775</v>
      </c>
      <c r="Q967" s="50" t="n">
        <f aca="false">INDEX(Productos!$E$2:$E$13,MATCH($H967,Productos!$A$2:$A$13,0))*INDEX(Parametros!$B$26:$B$43,MATCH($C967,Parametros!$A$26:$A$43,0))</f>
        <v>15.504</v>
      </c>
      <c r="R967" s="21" t="n">
        <f aca="false">L967*Q967</f>
        <v>4418.64</v>
      </c>
      <c r="S967" s="18" t="n">
        <f aca="false">L967*INDEX(Parametros!$B$20:$B$22,MATCH($E967,Parametros!$A$20:$A$22,0))</f>
        <v>684</v>
      </c>
      <c r="T967" s="18" t="n">
        <f aca="false">P967*INDEX(Parametros!$B$13:$B$16,MATCH($F967,Parametros!$A$13:$A$16,0))</f>
        <v>201.023325</v>
      </c>
      <c r="U967" s="21" t="n">
        <f aca="false">P967-R967-S967-T967</f>
        <v>1397.114175</v>
      </c>
      <c r="V967" s="19" t="n">
        <f aca="false">IFERROR(U967/P967,0)</f>
        <v>0.208500308359739</v>
      </c>
      <c r="W967" s="48" t="n">
        <f aca="false">B967+INDEX(Parametros!$C$13:$C$16,MATCH($F967,Parametros!$A$13:$A$16,0))</f>
        <v>46048</v>
      </c>
      <c r="X967" s="31" t="s">
        <v>67</v>
      </c>
      <c r="Y967" s="53" t="n">
        <f aca="false">IF(COUNTIF($A$2:$A967,A967)=1,1,0)</f>
        <v>1</v>
      </c>
    </row>
    <row r="968" customFormat="false" ht="15" hidden="false" customHeight="false" outlineLevel="0" collapsed="false">
      <c r="A968" s="31" t="s">
        <v>766</v>
      </c>
      <c r="B968" s="36" t="n">
        <v>45989</v>
      </c>
      <c r="C968" s="49" t="n">
        <f aca="false">DATE(YEAR(B968),MONTH(B968),1)</f>
        <v>45962</v>
      </c>
      <c r="D968" s="31" t="s">
        <v>194</v>
      </c>
      <c r="E968" s="31" t="s">
        <v>41</v>
      </c>
      <c r="F968" s="31" t="s">
        <v>46</v>
      </c>
      <c r="G968" s="31" t="s">
        <v>58</v>
      </c>
      <c r="H968" s="31" t="s">
        <v>177</v>
      </c>
      <c r="I968" s="32" t="str">
        <f aca="false">INDEX(Productos!$B$2:$B$13,MATCH($H968,Productos!$A$2:$A$13,0))</f>
        <v>Tirafondo madera 6x100 cabeza plana Torx</v>
      </c>
      <c r="J968" s="32" t="str">
        <f aca="false">INDEX(Productos!$C$2:$C$13,MATCH($H968,Productos!$A$2:$A$13,0))</f>
        <v>Madera</v>
      </c>
      <c r="K968" s="31" t="s">
        <v>246</v>
      </c>
      <c r="L968" s="46" t="n">
        <v>23</v>
      </c>
      <c r="M968" s="50" t="n">
        <f aca="false">INDEX(Productos!$F$2:$F$13,MATCH($H968,Productos!$A$2:$A$13,0))</f>
        <v>34</v>
      </c>
      <c r="N968" s="51" t="n">
        <v>0.142</v>
      </c>
      <c r="O968" s="52" t="n">
        <f aca="false">M968*(1-N968)</f>
        <v>29.172</v>
      </c>
      <c r="P968" s="21" t="n">
        <f aca="false">L968*O968</f>
        <v>670.956</v>
      </c>
      <c r="Q968" s="50" t="n">
        <f aca="false">INDEX(Productos!$E$2:$E$13,MATCH($H968,Productos!$A$2:$A$13,0))*INDEX(Parametros!$B$26:$B$43,MATCH($C968,Parametros!$A$26:$A$43,0))</f>
        <v>18.156</v>
      </c>
      <c r="R968" s="21" t="n">
        <f aca="false">L968*Q968</f>
        <v>417.588</v>
      </c>
      <c r="S968" s="18" t="n">
        <f aca="false">L968*INDEX(Parametros!$B$20:$B$22,MATCH($E968,Parametros!$A$20:$A$22,0))</f>
        <v>19.55</v>
      </c>
      <c r="T968" s="18" t="n">
        <f aca="false">P968*INDEX(Parametros!$B$13:$B$16,MATCH($F968,Parametros!$A$13:$A$16,0))</f>
        <v>26.83824</v>
      </c>
      <c r="U968" s="21" t="n">
        <f aca="false">P968-R968-S968-T968</f>
        <v>206.97976</v>
      </c>
      <c r="V968" s="19" t="n">
        <f aca="false">IFERROR(U968/P968,0)</f>
        <v>0.308484848484848</v>
      </c>
      <c r="W968" s="48" t="n">
        <f aca="false">B968+INDEX(Parametros!$C$13:$C$16,MATCH($F968,Parametros!$A$13:$A$16,0))</f>
        <v>46064</v>
      </c>
      <c r="X968" s="31" t="s">
        <v>67</v>
      </c>
      <c r="Y968" s="53" t="n">
        <f aca="false">IF(COUNTIF($A$2:$A968,A968)=1,1,0)</f>
        <v>1</v>
      </c>
    </row>
    <row r="969" customFormat="false" ht="15" hidden="false" customHeight="false" outlineLevel="0" collapsed="false">
      <c r="A969" s="31" t="s">
        <v>766</v>
      </c>
      <c r="B969" s="36" t="n">
        <v>45989</v>
      </c>
      <c r="C969" s="49" t="n">
        <f aca="false">DATE(YEAR(B969),MONTH(B969),1)</f>
        <v>45962</v>
      </c>
      <c r="D969" s="31" t="s">
        <v>194</v>
      </c>
      <c r="E969" s="31" t="s">
        <v>41</v>
      </c>
      <c r="F969" s="31" t="s">
        <v>46</v>
      </c>
      <c r="G969" s="31" t="s">
        <v>58</v>
      </c>
      <c r="H969" s="31" t="s">
        <v>165</v>
      </c>
      <c r="I969" s="32" t="str">
        <f aca="false">INDEX(Productos!$B$2:$B$13,MATCH($H969,Productos!$A$2:$A$13,0))</f>
        <v>Tornillo DIN 933 M8x40 rosca completa zincado</v>
      </c>
      <c r="J969" s="32" t="str">
        <f aca="false">INDEX(Productos!$C$2:$C$13,MATCH($H969,Productos!$A$2:$A$13,0))</f>
        <v>Métrica</v>
      </c>
      <c r="K969" s="31" t="s">
        <v>246</v>
      </c>
      <c r="L969" s="46" t="n">
        <v>132</v>
      </c>
      <c r="M969" s="50" t="n">
        <f aca="false">INDEX(Productos!$F$2:$F$13,MATCH($H969,Productos!$A$2:$A$13,0))</f>
        <v>37.5</v>
      </c>
      <c r="N969" s="51" t="n">
        <v>0.146</v>
      </c>
      <c r="O969" s="52" t="n">
        <f aca="false">M969*(1-N969)</f>
        <v>32.025</v>
      </c>
      <c r="P969" s="21" t="n">
        <f aca="false">L969*O969</f>
        <v>4227.3</v>
      </c>
      <c r="Q969" s="50" t="n">
        <f aca="false">INDEX(Productos!$E$2:$E$13,MATCH($H969,Productos!$A$2:$A$13,0))*INDEX(Parametros!$B$26:$B$43,MATCH($C969,Parametros!$A$26:$A$43,0))</f>
        <v>19.788</v>
      </c>
      <c r="R969" s="21" t="n">
        <f aca="false">L969*Q969</f>
        <v>2612.016</v>
      </c>
      <c r="S969" s="18" t="n">
        <f aca="false">L969*INDEX(Parametros!$B$20:$B$22,MATCH($E969,Parametros!$A$20:$A$22,0))</f>
        <v>112.2</v>
      </c>
      <c r="T969" s="18" t="n">
        <f aca="false">P969*INDEX(Parametros!$B$13:$B$16,MATCH($F969,Parametros!$A$13:$A$16,0))</f>
        <v>169.092</v>
      </c>
      <c r="U969" s="21" t="n">
        <f aca="false">P969-R969-S969-T969</f>
        <v>1333.992</v>
      </c>
      <c r="V969" s="19" t="n">
        <f aca="false">IFERROR(U969/P969,0)</f>
        <v>0.315565964090554</v>
      </c>
      <c r="W969" s="48" t="n">
        <f aca="false">B969+INDEX(Parametros!$C$13:$C$16,MATCH($F969,Parametros!$A$13:$A$16,0))</f>
        <v>46064</v>
      </c>
      <c r="X969" s="31" t="s">
        <v>67</v>
      </c>
      <c r="Y969" s="53" t="n">
        <f aca="false">IF(COUNTIF($A$2:$A969,A969)=1,1,0)</f>
        <v>0</v>
      </c>
    </row>
    <row r="970" customFormat="false" ht="15" hidden="false" customHeight="false" outlineLevel="0" collapsed="false">
      <c r="A970" s="31" t="s">
        <v>766</v>
      </c>
      <c r="B970" s="36" t="n">
        <v>45989</v>
      </c>
      <c r="C970" s="49" t="n">
        <f aca="false">DATE(YEAR(B970),MONTH(B970),1)</f>
        <v>45962</v>
      </c>
      <c r="D970" s="31" t="s">
        <v>194</v>
      </c>
      <c r="E970" s="31" t="s">
        <v>41</v>
      </c>
      <c r="F970" s="31" t="s">
        <v>46</v>
      </c>
      <c r="G970" s="31" t="s">
        <v>58</v>
      </c>
      <c r="H970" s="31" t="s">
        <v>163</v>
      </c>
      <c r="I970" s="32" t="str">
        <f aca="false">INDEX(Productos!$B$2:$B$13,MATCH($H970,Productos!$A$2:$A$13,0))</f>
        <v>Tornillo DIN 933 M6x30 rosca completa zincado</v>
      </c>
      <c r="J970" s="32" t="str">
        <f aca="false">INDEX(Productos!$C$2:$C$13,MATCH($H970,Productos!$A$2:$A$13,0))</f>
        <v>Métrica</v>
      </c>
      <c r="K970" s="31" t="s">
        <v>246</v>
      </c>
      <c r="L970" s="46" t="n">
        <v>196</v>
      </c>
      <c r="M970" s="50" t="n">
        <f aca="false">INDEX(Productos!$F$2:$F$13,MATCH($H970,Productos!$A$2:$A$13,0))</f>
        <v>32</v>
      </c>
      <c r="N970" s="51" t="n">
        <v>0.101</v>
      </c>
      <c r="O970" s="52" t="n">
        <f aca="false">M970*(1-N970)</f>
        <v>28.768</v>
      </c>
      <c r="P970" s="21" t="n">
        <f aca="false">L970*O970</f>
        <v>5638.528</v>
      </c>
      <c r="Q970" s="50" t="n">
        <f aca="false">INDEX(Productos!$E$2:$E$13,MATCH($H970,Productos!$A$2:$A$13,0))*INDEX(Parametros!$B$26:$B$43,MATCH($C970,Parametros!$A$26:$A$43,0))</f>
        <v>16.932</v>
      </c>
      <c r="R970" s="21" t="n">
        <f aca="false">L970*Q970</f>
        <v>3318.672</v>
      </c>
      <c r="S970" s="18" t="n">
        <f aca="false">L970*INDEX(Parametros!$B$20:$B$22,MATCH($E970,Parametros!$A$20:$A$22,0))</f>
        <v>166.6</v>
      </c>
      <c r="T970" s="18" t="n">
        <f aca="false">P970*INDEX(Parametros!$B$13:$B$16,MATCH($F970,Parametros!$A$13:$A$16,0))</f>
        <v>225.54112</v>
      </c>
      <c r="U970" s="21" t="n">
        <f aca="false">P970-R970-S970-T970</f>
        <v>1927.71488</v>
      </c>
      <c r="V970" s="19" t="n">
        <f aca="false">IFERROR(U970/P970,0)</f>
        <v>0.341882647385984</v>
      </c>
      <c r="W970" s="48" t="n">
        <f aca="false">B970+INDEX(Parametros!$C$13:$C$16,MATCH($F970,Parametros!$A$13:$A$16,0))</f>
        <v>46064</v>
      </c>
      <c r="X970" s="31" t="s">
        <v>67</v>
      </c>
      <c r="Y970" s="53" t="n">
        <f aca="false">IF(COUNTIF($A$2:$A970,A970)=1,1,0)</f>
        <v>0</v>
      </c>
    </row>
    <row r="971" customFormat="false" ht="15" hidden="false" customHeight="false" outlineLevel="0" collapsed="false">
      <c r="A971" s="31" t="s">
        <v>767</v>
      </c>
      <c r="B971" s="36" t="n">
        <v>45994</v>
      </c>
      <c r="C971" s="49" t="n">
        <f aca="false">DATE(YEAR(B971),MONTH(B971),1)</f>
        <v>45992</v>
      </c>
      <c r="D971" s="31" t="s">
        <v>207</v>
      </c>
      <c r="E971" s="31" t="s">
        <v>41</v>
      </c>
      <c r="F971" s="31" t="s">
        <v>47</v>
      </c>
      <c r="G971" s="31" t="s">
        <v>62</v>
      </c>
      <c r="H971" s="31" t="s">
        <v>173</v>
      </c>
      <c r="I971" s="32" t="str">
        <f aca="false">INDEX(Productos!$B$2:$B$13,MATCH($H971,Productos!$A$2:$A$13,0))</f>
        <v>Tornillo DIN 933 M12x70 clase 8.8</v>
      </c>
      <c r="J971" s="32" t="str">
        <f aca="false">INDEX(Productos!$C$2:$C$13,MATCH($H971,Productos!$A$2:$A$13,0))</f>
        <v>Métrica</v>
      </c>
      <c r="K971" s="31" t="s">
        <v>246</v>
      </c>
      <c r="L971" s="46" t="n">
        <v>18</v>
      </c>
      <c r="M971" s="50" t="n">
        <f aca="false">INDEX(Productos!$F$2:$F$13,MATCH($H971,Productos!$A$2:$A$13,0))</f>
        <v>64</v>
      </c>
      <c r="N971" s="51" t="n">
        <v>0.081</v>
      </c>
      <c r="O971" s="52" t="n">
        <f aca="false">M971*(1-N971)</f>
        <v>58.816</v>
      </c>
      <c r="P971" s="21" t="n">
        <f aca="false">L971*O971</f>
        <v>1058.688</v>
      </c>
      <c r="Q971" s="50" t="n">
        <f aca="false">INDEX(Productos!$E$2:$E$13,MATCH($H971,Productos!$A$2:$A$13,0))*INDEX(Parametros!$B$26:$B$43,MATCH($C971,Parametros!$A$26:$A$43,0))</f>
        <v>34.0025</v>
      </c>
      <c r="R971" s="21" t="n">
        <f aca="false">L971*Q971</f>
        <v>612.045</v>
      </c>
      <c r="S971" s="18" t="n">
        <f aca="false">L971*INDEX(Parametros!$B$20:$B$22,MATCH($E971,Parametros!$A$20:$A$22,0))</f>
        <v>15.3</v>
      </c>
      <c r="T971" s="18" t="n">
        <f aca="false">P971*INDEX(Parametros!$B$13:$B$16,MATCH($F971,Parametros!$A$13:$A$16,0))</f>
        <v>37.05408</v>
      </c>
      <c r="U971" s="21" t="n">
        <f aca="false">P971-R971-S971-T971</f>
        <v>394.28892</v>
      </c>
      <c r="V971" s="19" t="n">
        <f aca="false">IFERROR(U971/P971,0)</f>
        <v>0.37243165125136</v>
      </c>
      <c r="W971" s="48" t="n">
        <f aca="false">B971+INDEX(Parametros!$C$13:$C$16,MATCH($F971,Parametros!$A$13:$A$16,0))</f>
        <v>46039</v>
      </c>
      <c r="X971" s="31" t="s">
        <v>67</v>
      </c>
      <c r="Y971" s="53" t="n">
        <f aca="false">IF(COUNTIF($A$2:$A971,A971)=1,1,0)</f>
        <v>1</v>
      </c>
    </row>
    <row r="972" customFormat="false" ht="15" hidden="false" customHeight="false" outlineLevel="0" collapsed="false">
      <c r="A972" s="31" t="s">
        <v>767</v>
      </c>
      <c r="B972" s="36" t="n">
        <v>45994</v>
      </c>
      <c r="C972" s="49" t="n">
        <f aca="false">DATE(YEAR(B972),MONTH(B972),1)</f>
        <v>45992</v>
      </c>
      <c r="D972" s="31" t="s">
        <v>207</v>
      </c>
      <c r="E972" s="31" t="s">
        <v>41</v>
      </c>
      <c r="F972" s="31" t="s">
        <v>47</v>
      </c>
      <c r="G972" s="31" t="s">
        <v>62</v>
      </c>
      <c r="H972" s="31" t="s">
        <v>165</v>
      </c>
      <c r="I972" s="32" t="str">
        <f aca="false">INDEX(Productos!$B$2:$B$13,MATCH($H972,Productos!$A$2:$A$13,0))</f>
        <v>Tornillo DIN 933 M8x40 rosca completa zincado</v>
      </c>
      <c r="J972" s="32" t="str">
        <f aca="false">INDEX(Productos!$C$2:$C$13,MATCH($H972,Productos!$A$2:$A$13,0))</f>
        <v>Métrica</v>
      </c>
      <c r="K972" s="31" t="s">
        <v>246</v>
      </c>
      <c r="L972" s="46" t="n">
        <v>16</v>
      </c>
      <c r="M972" s="50" t="n">
        <f aca="false">INDEX(Productos!$F$2:$F$13,MATCH($H972,Productos!$A$2:$A$13,0))</f>
        <v>37.5</v>
      </c>
      <c r="N972" s="51" t="n">
        <v>0.085</v>
      </c>
      <c r="O972" s="52" t="n">
        <f aca="false">M972*(1-N972)</f>
        <v>34.3125</v>
      </c>
      <c r="P972" s="21" t="n">
        <f aca="false">L972*O972</f>
        <v>549</v>
      </c>
      <c r="Q972" s="50" t="n">
        <f aca="false">INDEX(Productos!$E$2:$E$13,MATCH($H972,Productos!$A$2:$A$13,0))*INDEX(Parametros!$B$26:$B$43,MATCH($C972,Parametros!$A$26:$A$43,0))</f>
        <v>19.691</v>
      </c>
      <c r="R972" s="21" t="n">
        <f aca="false">L972*Q972</f>
        <v>315.056</v>
      </c>
      <c r="S972" s="18" t="n">
        <f aca="false">L972*INDEX(Parametros!$B$20:$B$22,MATCH($E972,Parametros!$A$20:$A$22,0))</f>
        <v>13.6</v>
      </c>
      <c r="T972" s="18" t="n">
        <f aca="false">P972*INDEX(Parametros!$B$13:$B$16,MATCH($F972,Parametros!$A$13:$A$16,0))</f>
        <v>19.215</v>
      </c>
      <c r="U972" s="21" t="n">
        <f aca="false">P972-R972-S972-T972</f>
        <v>201.129</v>
      </c>
      <c r="V972" s="19" t="n">
        <f aca="false">IFERROR(U972/P972,0)</f>
        <v>0.366355191256831</v>
      </c>
      <c r="W972" s="48" t="n">
        <f aca="false">B972+INDEX(Parametros!$C$13:$C$16,MATCH($F972,Parametros!$A$13:$A$16,0))</f>
        <v>46039</v>
      </c>
      <c r="X972" s="31" t="s">
        <v>67</v>
      </c>
      <c r="Y972" s="53" t="n">
        <f aca="false">IF(COUNTIF($A$2:$A972,A972)=1,1,0)</f>
        <v>0</v>
      </c>
    </row>
    <row r="973" customFormat="false" ht="15" hidden="false" customHeight="false" outlineLevel="0" collapsed="false">
      <c r="A973" s="31" t="s">
        <v>768</v>
      </c>
      <c r="B973" s="36" t="n">
        <v>45994</v>
      </c>
      <c r="C973" s="49" t="n">
        <f aca="false">DATE(YEAR(B973),MONTH(B973),1)</f>
        <v>45992</v>
      </c>
      <c r="D973" s="31" t="s">
        <v>200</v>
      </c>
      <c r="E973" s="31" t="s">
        <v>41</v>
      </c>
      <c r="F973" s="31" t="s">
        <v>45</v>
      </c>
      <c r="G973" s="31" t="s">
        <v>62</v>
      </c>
      <c r="H973" s="31" t="s">
        <v>169</v>
      </c>
      <c r="I973" s="32" t="str">
        <f aca="false">INDEX(Productos!$B$2:$B$13,MATCH($H973,Productos!$A$2:$A$13,0))</f>
        <v>Tornillo DIN 912 M10x60 Allen inox A2</v>
      </c>
      <c r="J973" s="32" t="str">
        <f aca="false">INDEX(Productos!$C$2:$C$13,MATCH($H973,Productos!$A$2:$A$13,0))</f>
        <v>Inoxidable</v>
      </c>
      <c r="K973" s="31" t="s">
        <v>246</v>
      </c>
      <c r="L973" s="46" t="n">
        <v>114</v>
      </c>
      <c r="M973" s="50" t="n">
        <f aca="false">INDEX(Productos!$F$2:$F$13,MATCH($H973,Productos!$A$2:$A$13,0))</f>
        <v>79</v>
      </c>
      <c r="N973" s="51" t="n">
        <v>0.218</v>
      </c>
      <c r="O973" s="52" t="n">
        <f aca="false">M973*(1-N973)</f>
        <v>61.778</v>
      </c>
      <c r="P973" s="21" t="n">
        <f aca="false">L973*O973</f>
        <v>7042.692</v>
      </c>
      <c r="Q973" s="50" t="n">
        <f aca="false">INDEX(Productos!$E$2:$E$13,MATCH($H973,Productos!$A$2:$A$13,0))*INDEX(Parametros!$B$26:$B$43,MATCH($C973,Parametros!$A$26:$A$43,0))</f>
        <v>42.63</v>
      </c>
      <c r="R973" s="21" t="n">
        <f aca="false">L973*Q973</f>
        <v>4859.82</v>
      </c>
      <c r="S973" s="18" t="n">
        <f aca="false">L973*INDEX(Parametros!$B$20:$B$22,MATCH($E973,Parametros!$A$20:$A$22,0))</f>
        <v>96.9</v>
      </c>
      <c r="T973" s="18" t="n">
        <f aca="false">P973*INDEX(Parametros!$B$13:$B$16,MATCH($F973,Parametros!$A$13:$A$16,0))</f>
        <v>211.28076</v>
      </c>
      <c r="U973" s="21" t="n">
        <f aca="false">P973-R973-S973-T973</f>
        <v>1874.69124</v>
      </c>
      <c r="V973" s="19" t="n">
        <f aca="false">IFERROR(U973/P973,0)</f>
        <v>0.266189582051863</v>
      </c>
      <c r="W973" s="48" t="n">
        <f aca="false">B973+INDEX(Parametros!$C$13:$C$16,MATCH($F973,Parametros!$A$13:$A$16,0))</f>
        <v>46054</v>
      </c>
      <c r="X973" s="31" t="s">
        <v>67</v>
      </c>
      <c r="Y973" s="53" t="n">
        <f aca="false">IF(COUNTIF($A$2:$A973,A973)=1,1,0)</f>
        <v>1</v>
      </c>
    </row>
    <row r="974" customFormat="false" ht="15" hidden="false" customHeight="false" outlineLevel="0" collapsed="false">
      <c r="A974" s="31" t="s">
        <v>768</v>
      </c>
      <c r="B974" s="36" t="n">
        <v>45994</v>
      </c>
      <c r="C974" s="49" t="n">
        <f aca="false">DATE(YEAR(B974),MONTH(B974),1)</f>
        <v>45992</v>
      </c>
      <c r="D974" s="31" t="s">
        <v>200</v>
      </c>
      <c r="E974" s="31" t="s">
        <v>41</v>
      </c>
      <c r="F974" s="31" t="s">
        <v>45</v>
      </c>
      <c r="G974" s="31" t="s">
        <v>62</v>
      </c>
      <c r="H974" s="31" t="s">
        <v>171</v>
      </c>
      <c r="I974" s="32" t="str">
        <f aca="false">INDEX(Productos!$B$2:$B$13,MATCH($H974,Productos!$A$2:$A$13,0))</f>
        <v>Tornillo DIN 7991 M8x30 avellanado inox A2</v>
      </c>
      <c r="J974" s="32" t="str">
        <f aca="false">INDEX(Productos!$C$2:$C$13,MATCH($H974,Productos!$A$2:$A$13,0))</f>
        <v>Inoxidable</v>
      </c>
      <c r="K974" s="31" t="s">
        <v>246</v>
      </c>
      <c r="L974" s="46" t="n">
        <v>82</v>
      </c>
      <c r="M974" s="50" t="n">
        <f aca="false">INDEX(Productos!$F$2:$F$13,MATCH($H974,Productos!$A$2:$A$13,0))</f>
        <v>88</v>
      </c>
      <c r="N974" s="51" t="n">
        <v>0.123</v>
      </c>
      <c r="O974" s="52" t="n">
        <f aca="false">M974*(1-N974)</f>
        <v>77.176</v>
      </c>
      <c r="P974" s="21" t="n">
        <f aca="false">L974*O974</f>
        <v>6328.432</v>
      </c>
      <c r="Q974" s="50" t="n">
        <f aca="false">INDEX(Productos!$E$2:$E$13,MATCH($H974,Productos!$A$2:$A$13,0))*INDEX(Parametros!$B$26:$B$43,MATCH($C974,Parametros!$A$26:$A$43,0))</f>
        <v>47.1975</v>
      </c>
      <c r="R974" s="21" t="n">
        <f aca="false">L974*Q974</f>
        <v>3870.195</v>
      </c>
      <c r="S974" s="18" t="n">
        <f aca="false">L974*INDEX(Parametros!$B$20:$B$22,MATCH($E974,Parametros!$A$20:$A$22,0))</f>
        <v>69.7</v>
      </c>
      <c r="T974" s="18" t="n">
        <f aca="false">P974*INDEX(Parametros!$B$13:$B$16,MATCH($F974,Parametros!$A$13:$A$16,0))</f>
        <v>189.85296</v>
      </c>
      <c r="U974" s="21" t="n">
        <f aca="false">P974-R974-S974-T974</f>
        <v>2198.68404</v>
      </c>
      <c r="V974" s="19" t="n">
        <f aca="false">IFERROR(U974/P974,0)</f>
        <v>0.347429511765316</v>
      </c>
      <c r="W974" s="48" t="n">
        <f aca="false">B974+INDEX(Parametros!$C$13:$C$16,MATCH($F974,Parametros!$A$13:$A$16,0))</f>
        <v>46054</v>
      </c>
      <c r="X974" s="31" t="s">
        <v>67</v>
      </c>
      <c r="Y974" s="53" t="n">
        <f aca="false">IF(COUNTIF($A$2:$A974,A974)=1,1,0)</f>
        <v>0</v>
      </c>
    </row>
    <row r="975" customFormat="false" ht="15" hidden="false" customHeight="false" outlineLevel="0" collapsed="false">
      <c r="A975" s="31" t="s">
        <v>769</v>
      </c>
      <c r="B975" s="36" t="n">
        <v>45995</v>
      </c>
      <c r="C975" s="49" t="n">
        <f aca="false">DATE(YEAR(B975),MONTH(B975),1)</f>
        <v>45992</v>
      </c>
      <c r="D975" s="31" t="s">
        <v>217</v>
      </c>
      <c r="E975" s="31" t="s">
        <v>42</v>
      </c>
      <c r="F975" s="31" t="s">
        <v>47</v>
      </c>
      <c r="G975" s="31" t="s">
        <v>61</v>
      </c>
      <c r="H975" s="31" t="s">
        <v>169</v>
      </c>
      <c r="I975" s="32" t="str">
        <f aca="false">INDEX(Productos!$B$2:$B$13,MATCH($H975,Productos!$A$2:$A$13,0))</f>
        <v>Tornillo DIN 912 M10x60 Allen inox A2</v>
      </c>
      <c r="J975" s="32" t="str">
        <f aca="false">INDEX(Productos!$C$2:$C$13,MATCH($H975,Productos!$A$2:$A$13,0))</f>
        <v>Inoxidable</v>
      </c>
      <c r="K975" s="31" t="s">
        <v>246</v>
      </c>
      <c r="L975" s="46" t="n">
        <v>42</v>
      </c>
      <c r="M975" s="50" t="n">
        <f aca="false">INDEX(Productos!$F$2:$F$13,MATCH($H975,Productos!$A$2:$A$13,0))</f>
        <v>79</v>
      </c>
      <c r="N975" s="51" t="n">
        <v>0.096</v>
      </c>
      <c r="O975" s="52" t="n">
        <f aca="false">M975*(1-N975)</f>
        <v>71.416</v>
      </c>
      <c r="P975" s="21" t="n">
        <f aca="false">L975*O975</f>
        <v>2999.472</v>
      </c>
      <c r="Q975" s="50" t="n">
        <f aca="false">INDEX(Productos!$E$2:$E$13,MATCH($H975,Productos!$A$2:$A$13,0))*INDEX(Parametros!$B$26:$B$43,MATCH($C975,Parametros!$A$26:$A$43,0))</f>
        <v>42.63</v>
      </c>
      <c r="R975" s="21" t="n">
        <f aca="false">L975*Q975</f>
        <v>1790.46</v>
      </c>
      <c r="S975" s="18" t="n">
        <f aca="false">L975*INDEX(Parametros!$B$20:$B$22,MATCH($E975,Parametros!$A$20:$A$22,0))</f>
        <v>100.8</v>
      </c>
      <c r="T975" s="18" t="n">
        <f aca="false">P975*INDEX(Parametros!$B$13:$B$16,MATCH($F975,Parametros!$A$13:$A$16,0))</f>
        <v>104.98152</v>
      </c>
      <c r="U975" s="21" t="n">
        <f aca="false">P975-R975-S975-T975</f>
        <v>1003.23048</v>
      </c>
      <c r="V975" s="19" t="n">
        <f aca="false">IFERROR(U975/P975,0)</f>
        <v>0.334469026548673</v>
      </c>
      <c r="W975" s="48" t="n">
        <f aca="false">B975+INDEX(Parametros!$C$13:$C$16,MATCH($F975,Parametros!$A$13:$A$16,0))</f>
        <v>46040</v>
      </c>
      <c r="X975" s="31" t="s">
        <v>69</v>
      </c>
      <c r="Y975" s="53" t="n">
        <f aca="false">IF(COUNTIF($A$2:$A975,A975)=1,1,0)</f>
        <v>1</v>
      </c>
    </row>
    <row r="976" customFormat="false" ht="15" hidden="false" customHeight="false" outlineLevel="0" collapsed="false">
      <c r="A976" s="31" t="s">
        <v>769</v>
      </c>
      <c r="B976" s="36" t="n">
        <v>45995</v>
      </c>
      <c r="C976" s="49" t="n">
        <f aca="false">DATE(YEAR(B976),MONTH(B976),1)</f>
        <v>45992</v>
      </c>
      <c r="D976" s="31" t="s">
        <v>217</v>
      </c>
      <c r="E976" s="31" t="s">
        <v>42</v>
      </c>
      <c r="F976" s="31" t="s">
        <v>47</v>
      </c>
      <c r="G976" s="31" t="s">
        <v>61</v>
      </c>
      <c r="H976" s="31" t="s">
        <v>179</v>
      </c>
      <c r="I976" s="32" t="str">
        <f aca="false">INDEX(Productos!$B$2:$B$13,MATCH($H976,Productos!$A$2:$A$13,0))</f>
        <v>Autotaladrante DIN 7504 4,8x38 zincado</v>
      </c>
      <c r="J976" s="32" t="str">
        <f aca="false">INDEX(Productos!$C$2:$C$13,MATCH($H976,Productos!$A$2:$A$13,0))</f>
        <v>Autotaladrante</v>
      </c>
      <c r="K976" s="31" t="s">
        <v>246</v>
      </c>
      <c r="L976" s="46" t="n">
        <v>36</v>
      </c>
      <c r="M976" s="50" t="n">
        <f aca="false">INDEX(Productos!$F$2:$F$13,MATCH($H976,Productos!$A$2:$A$13,0))</f>
        <v>29.5</v>
      </c>
      <c r="N976" s="51" t="n">
        <v>0.034</v>
      </c>
      <c r="O976" s="52" t="n">
        <f aca="false">M976*(1-N976)</f>
        <v>28.497</v>
      </c>
      <c r="P976" s="21" t="n">
        <f aca="false">L976*O976</f>
        <v>1025.892</v>
      </c>
      <c r="Q976" s="50" t="n">
        <f aca="false">INDEX(Productos!$E$2:$E$13,MATCH($H976,Productos!$A$2:$A$13,0))*INDEX(Parametros!$B$26:$B$43,MATCH($C976,Parametros!$A$26:$A$43,0))</f>
        <v>15.428</v>
      </c>
      <c r="R976" s="21" t="n">
        <f aca="false">L976*Q976</f>
        <v>555.408</v>
      </c>
      <c r="S976" s="18" t="n">
        <f aca="false">L976*INDEX(Parametros!$B$20:$B$22,MATCH($E976,Parametros!$A$20:$A$22,0))</f>
        <v>86.4</v>
      </c>
      <c r="T976" s="18" t="n">
        <f aca="false">P976*INDEX(Parametros!$B$13:$B$16,MATCH($F976,Parametros!$A$13:$A$16,0))</f>
        <v>35.90622</v>
      </c>
      <c r="U976" s="21" t="n">
        <f aca="false">P976-R976-S976-T976</f>
        <v>348.17778</v>
      </c>
      <c r="V976" s="19" t="n">
        <f aca="false">IFERROR(U976/P976,0)</f>
        <v>0.339390286696845</v>
      </c>
      <c r="W976" s="48" t="n">
        <f aca="false">B976+INDEX(Parametros!$C$13:$C$16,MATCH($F976,Parametros!$A$13:$A$16,0))</f>
        <v>46040</v>
      </c>
      <c r="X976" s="31" t="s">
        <v>67</v>
      </c>
      <c r="Y976" s="53" t="n">
        <f aca="false">IF(COUNTIF($A$2:$A976,A976)=1,1,0)</f>
        <v>0</v>
      </c>
    </row>
    <row r="977" customFormat="false" ht="15" hidden="false" customHeight="false" outlineLevel="0" collapsed="false">
      <c r="A977" s="31" t="s">
        <v>769</v>
      </c>
      <c r="B977" s="36" t="n">
        <v>45995</v>
      </c>
      <c r="C977" s="49" t="n">
        <f aca="false">DATE(YEAR(B977),MONTH(B977),1)</f>
        <v>45992</v>
      </c>
      <c r="D977" s="31" t="s">
        <v>217</v>
      </c>
      <c r="E977" s="31" t="s">
        <v>42</v>
      </c>
      <c r="F977" s="31" t="s">
        <v>47</v>
      </c>
      <c r="G977" s="31" t="s">
        <v>61</v>
      </c>
      <c r="H977" s="31" t="s">
        <v>173</v>
      </c>
      <c r="I977" s="32" t="str">
        <f aca="false">INDEX(Productos!$B$2:$B$13,MATCH($H977,Productos!$A$2:$A$13,0))</f>
        <v>Tornillo DIN 933 M12x70 clase 8.8</v>
      </c>
      <c r="J977" s="32" t="str">
        <f aca="false">INDEX(Productos!$C$2:$C$13,MATCH($H977,Productos!$A$2:$A$13,0))</f>
        <v>Métrica</v>
      </c>
      <c r="K977" s="31" t="s">
        <v>246</v>
      </c>
      <c r="L977" s="46" t="n">
        <v>25</v>
      </c>
      <c r="M977" s="50" t="n">
        <f aca="false">INDEX(Productos!$F$2:$F$13,MATCH($H977,Productos!$A$2:$A$13,0))</f>
        <v>64</v>
      </c>
      <c r="N977" s="51" t="n">
        <v>0.059</v>
      </c>
      <c r="O977" s="52" t="n">
        <f aca="false">M977*(1-N977)</f>
        <v>60.224</v>
      </c>
      <c r="P977" s="21" t="n">
        <f aca="false">L977*O977</f>
        <v>1505.6</v>
      </c>
      <c r="Q977" s="50" t="n">
        <f aca="false">INDEX(Productos!$E$2:$E$13,MATCH($H977,Productos!$A$2:$A$13,0))*INDEX(Parametros!$B$26:$B$43,MATCH($C977,Parametros!$A$26:$A$43,0))</f>
        <v>34.0025</v>
      </c>
      <c r="R977" s="21" t="n">
        <f aca="false">L977*Q977</f>
        <v>850.0625</v>
      </c>
      <c r="S977" s="18" t="n">
        <f aca="false">L977*INDEX(Parametros!$B$20:$B$22,MATCH($E977,Parametros!$A$20:$A$22,0))</f>
        <v>60</v>
      </c>
      <c r="T977" s="18" t="n">
        <f aca="false">P977*INDEX(Parametros!$B$13:$B$16,MATCH($F977,Parametros!$A$13:$A$16,0))</f>
        <v>52.696</v>
      </c>
      <c r="U977" s="21" t="n">
        <f aca="false">P977-R977-S977-T977</f>
        <v>542.8415</v>
      </c>
      <c r="V977" s="19" t="n">
        <f aca="false">IFERROR(U977/P977,0)</f>
        <v>0.36054828639745</v>
      </c>
      <c r="W977" s="48" t="n">
        <f aca="false">B977+INDEX(Parametros!$C$13:$C$16,MATCH($F977,Parametros!$A$13:$A$16,0))</f>
        <v>46040</v>
      </c>
      <c r="X977" s="31" t="s">
        <v>67</v>
      </c>
      <c r="Y977" s="53" t="n">
        <f aca="false">IF(COUNTIF($A$2:$A977,A977)=1,1,0)</f>
        <v>0</v>
      </c>
    </row>
    <row r="978" customFormat="false" ht="15" hidden="false" customHeight="false" outlineLevel="0" collapsed="false">
      <c r="A978" s="31" t="s">
        <v>770</v>
      </c>
      <c r="B978" s="36" t="n">
        <v>45995</v>
      </c>
      <c r="C978" s="49" t="n">
        <f aca="false">DATE(YEAR(B978),MONTH(B978),1)</f>
        <v>45992</v>
      </c>
      <c r="D978" s="31" t="s">
        <v>203</v>
      </c>
      <c r="E978" s="31" t="s">
        <v>41</v>
      </c>
      <c r="F978" s="31" t="s">
        <v>46</v>
      </c>
      <c r="G978" s="31" t="s">
        <v>58</v>
      </c>
      <c r="H978" s="31" t="s">
        <v>175</v>
      </c>
      <c r="I978" s="32" t="str">
        <f aca="false">INDEX(Productos!$B$2:$B$13,MATCH($H978,Productos!$A$2:$A$13,0))</f>
        <v>Tirafondo madera 5x60 cabeza plana Torx</v>
      </c>
      <c r="J978" s="32" t="str">
        <f aca="false">INDEX(Productos!$C$2:$C$13,MATCH($H978,Productos!$A$2:$A$13,0))</f>
        <v>Madera</v>
      </c>
      <c r="K978" s="31" t="s">
        <v>246</v>
      </c>
      <c r="L978" s="46" t="n">
        <v>145</v>
      </c>
      <c r="M978" s="50" t="n">
        <f aca="false">INDEX(Productos!$F$2:$F$13,MATCH($H978,Productos!$A$2:$A$13,0))</f>
        <v>26</v>
      </c>
      <c r="N978" s="51" t="n">
        <v>0.099</v>
      </c>
      <c r="O978" s="52" t="n">
        <f aca="false">M978*(1-N978)</f>
        <v>23.426</v>
      </c>
      <c r="P978" s="21" t="n">
        <f aca="false">L978*O978</f>
        <v>3396.77</v>
      </c>
      <c r="Q978" s="50" t="n">
        <f aca="false">INDEX(Productos!$E$2:$E$13,MATCH($H978,Productos!$A$2:$A$13,0))*INDEX(Parametros!$B$26:$B$43,MATCH($C978,Parametros!$A$26:$A$43,0))</f>
        <v>13.601</v>
      </c>
      <c r="R978" s="21" t="n">
        <f aca="false">L978*Q978</f>
        <v>1972.145</v>
      </c>
      <c r="S978" s="18" t="n">
        <f aca="false">L978*INDEX(Parametros!$B$20:$B$22,MATCH($E978,Parametros!$A$20:$A$22,0))</f>
        <v>123.25</v>
      </c>
      <c r="T978" s="18" t="n">
        <f aca="false">P978*INDEX(Parametros!$B$13:$B$16,MATCH($F978,Parametros!$A$13:$A$16,0))</f>
        <v>135.8708</v>
      </c>
      <c r="U978" s="21" t="n">
        <f aca="false">P978-R978-S978-T978</f>
        <v>1165.5042</v>
      </c>
      <c r="V978" s="19" t="n">
        <f aca="false">IFERROR(U978/P978,0)</f>
        <v>0.34312131819346</v>
      </c>
      <c r="W978" s="48" t="n">
        <f aca="false">B978+INDEX(Parametros!$C$13:$C$16,MATCH($F978,Parametros!$A$13:$A$16,0))</f>
        <v>46070</v>
      </c>
      <c r="X978" s="31" t="s">
        <v>67</v>
      </c>
      <c r="Y978" s="53" t="n">
        <f aca="false">IF(COUNTIF($A$2:$A978,A978)=1,1,0)</f>
        <v>1</v>
      </c>
    </row>
    <row r="979" customFormat="false" ht="15" hidden="false" customHeight="false" outlineLevel="0" collapsed="false">
      <c r="A979" s="31" t="s">
        <v>771</v>
      </c>
      <c r="B979" s="36" t="n">
        <v>45995</v>
      </c>
      <c r="C979" s="49" t="n">
        <f aca="false">DATE(YEAR(B979),MONTH(B979),1)</f>
        <v>45992</v>
      </c>
      <c r="D979" s="31" t="s">
        <v>224</v>
      </c>
      <c r="E979" s="31" t="s">
        <v>43</v>
      </c>
      <c r="F979" s="31" t="s">
        <v>45</v>
      </c>
      <c r="G979" s="31" t="s">
        <v>59</v>
      </c>
      <c r="H979" s="31" t="s">
        <v>165</v>
      </c>
      <c r="I979" s="32" t="str">
        <f aca="false">INDEX(Productos!$B$2:$B$13,MATCH($H979,Productos!$A$2:$A$13,0))</f>
        <v>Tornillo DIN 933 M8x40 rosca completa zincado</v>
      </c>
      <c r="J979" s="32" t="str">
        <f aca="false">INDEX(Productos!$C$2:$C$13,MATCH($H979,Productos!$A$2:$A$13,0))</f>
        <v>Métrica</v>
      </c>
      <c r="K979" s="31" t="s">
        <v>246</v>
      </c>
      <c r="L979" s="46" t="n">
        <v>41</v>
      </c>
      <c r="M979" s="50" t="n">
        <f aca="false">INDEX(Productos!$F$2:$F$13,MATCH($H979,Productos!$A$2:$A$13,0))</f>
        <v>37.5</v>
      </c>
      <c r="N979" s="51" t="n">
        <v>0.14</v>
      </c>
      <c r="O979" s="52" t="n">
        <f aca="false">M979*(1-N979)</f>
        <v>32.25</v>
      </c>
      <c r="P979" s="21" t="n">
        <f aca="false">L979*O979</f>
        <v>1322.25</v>
      </c>
      <c r="Q979" s="50" t="n">
        <f aca="false">INDEX(Productos!$E$2:$E$13,MATCH($H979,Productos!$A$2:$A$13,0))*INDEX(Parametros!$B$26:$B$43,MATCH($C979,Parametros!$A$26:$A$43,0))</f>
        <v>19.691</v>
      </c>
      <c r="R979" s="21" t="n">
        <f aca="false">L979*Q979</f>
        <v>807.331</v>
      </c>
      <c r="S979" s="18" t="n">
        <f aca="false">L979*INDEX(Parametros!$B$20:$B$22,MATCH($E979,Parametros!$A$20:$A$22,0))</f>
        <v>77.9</v>
      </c>
      <c r="T979" s="18" t="n">
        <f aca="false">P979*INDEX(Parametros!$B$13:$B$16,MATCH($F979,Parametros!$A$13:$A$16,0))</f>
        <v>39.6675</v>
      </c>
      <c r="U979" s="21" t="n">
        <f aca="false">P979-R979-S979-T979</f>
        <v>397.3515</v>
      </c>
      <c r="V979" s="19" t="n">
        <f aca="false">IFERROR(U979/P979,0)</f>
        <v>0.300511627906977</v>
      </c>
      <c r="W979" s="48" t="n">
        <f aca="false">B979+INDEX(Parametros!$C$13:$C$16,MATCH($F979,Parametros!$A$13:$A$16,0))</f>
        <v>46055</v>
      </c>
      <c r="X979" s="31" t="s">
        <v>67</v>
      </c>
      <c r="Y979" s="53" t="n">
        <f aca="false">IF(COUNTIF($A$2:$A979,A979)=1,1,0)</f>
        <v>1</v>
      </c>
    </row>
    <row r="980" customFormat="false" ht="15" hidden="false" customHeight="false" outlineLevel="0" collapsed="false">
      <c r="A980" s="31" t="s">
        <v>772</v>
      </c>
      <c r="B980" s="36" t="n">
        <v>45996</v>
      </c>
      <c r="C980" s="49" t="n">
        <f aca="false">DATE(YEAR(B980),MONTH(B980),1)</f>
        <v>45992</v>
      </c>
      <c r="D980" s="31" t="s">
        <v>226</v>
      </c>
      <c r="E980" s="31" t="s">
        <v>43</v>
      </c>
      <c r="F980" s="31" t="s">
        <v>46</v>
      </c>
      <c r="G980" s="31" t="s">
        <v>59</v>
      </c>
      <c r="H980" s="31" t="s">
        <v>185</v>
      </c>
      <c r="I980" s="32" t="str">
        <f aca="false">INDEX(Productos!$B$2:$B$13,MATCH($H980,Productos!$A$2:$A$13,0))</f>
        <v>Varilla roscada M10 x 1 m zincada</v>
      </c>
      <c r="J980" s="32" t="str">
        <f aca="false">INDEX(Productos!$C$2:$C$13,MATCH($H980,Productos!$A$2:$A$13,0))</f>
        <v>Especial</v>
      </c>
      <c r="K980" s="31" t="s">
        <v>275</v>
      </c>
      <c r="L980" s="46" t="n">
        <v>-13</v>
      </c>
      <c r="M980" s="50" t="n">
        <f aca="false">INDEX(Productos!$F$2:$F$13,MATCH($H980,Productos!$A$2:$A$13,0))</f>
        <v>54</v>
      </c>
      <c r="N980" s="51" t="n">
        <v>0.153</v>
      </c>
      <c r="O980" s="52" t="n">
        <f aca="false">M980*(1-N980)</f>
        <v>45.738</v>
      </c>
      <c r="P980" s="21" t="n">
        <f aca="false">L980*O980</f>
        <v>-594.594</v>
      </c>
      <c r="Q980" s="50" t="n">
        <f aca="false">INDEX(Productos!$E$2:$E$13,MATCH($H980,Productos!$A$2:$A$13,0))*INDEX(Parametros!$B$26:$B$43,MATCH($C980,Parametros!$A$26:$A$43,0))</f>
        <v>28.9275</v>
      </c>
      <c r="R980" s="21" t="n">
        <f aca="false">L980*Q980</f>
        <v>-376.0575</v>
      </c>
      <c r="S980" s="18" t="n">
        <f aca="false">L980*INDEX(Parametros!$B$20:$B$22,MATCH($E980,Parametros!$A$20:$A$22,0))</f>
        <v>-24.7</v>
      </c>
      <c r="T980" s="18" t="n">
        <f aca="false">P980*INDEX(Parametros!$B$13:$B$16,MATCH($F980,Parametros!$A$13:$A$16,0))</f>
        <v>-23.78376</v>
      </c>
      <c r="U980" s="21" t="n">
        <f aca="false">P980-R980-S980-T980</f>
        <v>-170.05274</v>
      </c>
      <c r="V980" s="19" t="n">
        <f aca="false">IFERROR(U980/P980,0)</f>
        <v>0.285998075998076</v>
      </c>
      <c r="W980" s="48" t="n">
        <f aca="false">B980+INDEX(Parametros!$C$13:$C$16,MATCH($F980,Parametros!$A$13:$A$16,0))</f>
        <v>46071</v>
      </c>
      <c r="X980" s="31" t="s">
        <v>67</v>
      </c>
      <c r="Y980" s="53" t="n">
        <f aca="false">IF(COUNTIF($A$2:$A980,A980)=1,1,0)</f>
        <v>1</v>
      </c>
    </row>
    <row r="981" customFormat="false" ht="15" hidden="false" customHeight="false" outlineLevel="0" collapsed="false">
      <c r="A981" s="31" t="s">
        <v>773</v>
      </c>
      <c r="B981" s="36" t="n">
        <v>45996</v>
      </c>
      <c r="C981" s="49" t="n">
        <f aca="false">DATE(YEAR(B981),MONTH(B981),1)</f>
        <v>45992</v>
      </c>
      <c r="D981" s="31" t="s">
        <v>228</v>
      </c>
      <c r="E981" s="31" t="s">
        <v>43</v>
      </c>
      <c r="F981" s="31" t="s">
        <v>47</v>
      </c>
      <c r="G981" s="31" t="s">
        <v>59</v>
      </c>
      <c r="H981" s="31" t="s">
        <v>169</v>
      </c>
      <c r="I981" s="32" t="str">
        <f aca="false">INDEX(Productos!$B$2:$B$13,MATCH($H981,Productos!$A$2:$A$13,0))</f>
        <v>Tornillo DIN 912 M10x60 Allen inox A2</v>
      </c>
      <c r="J981" s="32" t="str">
        <f aca="false">INDEX(Productos!$C$2:$C$13,MATCH($H981,Productos!$A$2:$A$13,0))</f>
        <v>Inoxidable</v>
      </c>
      <c r="K981" s="31" t="s">
        <v>246</v>
      </c>
      <c r="L981" s="46" t="n">
        <v>30</v>
      </c>
      <c r="M981" s="50" t="n">
        <f aca="false">INDEX(Productos!$F$2:$F$13,MATCH($H981,Productos!$A$2:$A$13,0))</f>
        <v>79</v>
      </c>
      <c r="N981" s="51" t="n">
        <v>0.089</v>
      </c>
      <c r="O981" s="52" t="n">
        <f aca="false">M981*(1-N981)</f>
        <v>71.969</v>
      </c>
      <c r="P981" s="21" t="n">
        <f aca="false">L981*O981</f>
        <v>2159.07</v>
      </c>
      <c r="Q981" s="50" t="n">
        <f aca="false">INDEX(Productos!$E$2:$E$13,MATCH($H981,Productos!$A$2:$A$13,0))*INDEX(Parametros!$B$26:$B$43,MATCH($C981,Parametros!$A$26:$A$43,0))</f>
        <v>42.63</v>
      </c>
      <c r="R981" s="21" t="n">
        <f aca="false">L981*Q981</f>
        <v>1278.9</v>
      </c>
      <c r="S981" s="18" t="n">
        <f aca="false">L981*INDEX(Parametros!$B$20:$B$22,MATCH($E981,Parametros!$A$20:$A$22,0))</f>
        <v>57</v>
      </c>
      <c r="T981" s="18" t="n">
        <f aca="false">P981*INDEX(Parametros!$B$13:$B$16,MATCH($F981,Parametros!$A$13:$A$16,0))</f>
        <v>75.56745</v>
      </c>
      <c r="U981" s="21" t="n">
        <f aca="false">P981-R981-S981-T981</f>
        <v>747.60255</v>
      </c>
      <c r="V981" s="19" t="n">
        <f aca="false">IFERROR(U981/P981,0)</f>
        <v>0.346261376425961</v>
      </c>
      <c r="W981" s="48" t="n">
        <f aca="false">B981+INDEX(Parametros!$C$13:$C$16,MATCH($F981,Parametros!$A$13:$A$16,0))</f>
        <v>46041</v>
      </c>
      <c r="X981" s="31" t="s">
        <v>67</v>
      </c>
      <c r="Y981" s="53" t="n">
        <f aca="false">IF(COUNTIF($A$2:$A981,A981)=1,1,0)</f>
        <v>1</v>
      </c>
    </row>
    <row r="982" customFormat="false" ht="15" hidden="false" customHeight="false" outlineLevel="0" collapsed="false">
      <c r="A982" s="31" t="s">
        <v>774</v>
      </c>
      <c r="B982" s="36" t="n">
        <v>45999</v>
      </c>
      <c r="C982" s="49" t="n">
        <f aca="false">DATE(YEAR(B982),MONTH(B982),1)</f>
        <v>45992</v>
      </c>
      <c r="D982" s="31" t="s">
        <v>199</v>
      </c>
      <c r="E982" s="31" t="s">
        <v>41</v>
      </c>
      <c r="F982" s="31" t="s">
        <v>45</v>
      </c>
      <c r="G982" s="31" t="s">
        <v>58</v>
      </c>
      <c r="H982" s="31" t="s">
        <v>171</v>
      </c>
      <c r="I982" s="32" t="str">
        <f aca="false">INDEX(Productos!$B$2:$B$13,MATCH($H982,Productos!$A$2:$A$13,0))</f>
        <v>Tornillo DIN 7991 M8x30 avellanado inox A2</v>
      </c>
      <c r="J982" s="32" t="str">
        <f aca="false">INDEX(Productos!$C$2:$C$13,MATCH($H982,Productos!$A$2:$A$13,0))</f>
        <v>Inoxidable</v>
      </c>
      <c r="K982" s="31" t="s">
        <v>246</v>
      </c>
      <c r="L982" s="46" t="n">
        <v>38</v>
      </c>
      <c r="M982" s="50" t="n">
        <f aca="false">INDEX(Productos!$F$2:$F$13,MATCH($H982,Productos!$A$2:$A$13,0))</f>
        <v>88</v>
      </c>
      <c r="N982" s="51" t="n">
        <v>0.149</v>
      </c>
      <c r="O982" s="52" t="n">
        <f aca="false">M982*(1-N982)</f>
        <v>74.888</v>
      </c>
      <c r="P982" s="21" t="n">
        <f aca="false">L982*O982</f>
        <v>2845.744</v>
      </c>
      <c r="Q982" s="50" t="n">
        <f aca="false">INDEX(Productos!$E$2:$E$13,MATCH($H982,Productos!$A$2:$A$13,0))*INDEX(Parametros!$B$26:$B$43,MATCH($C982,Parametros!$A$26:$A$43,0))</f>
        <v>47.1975</v>
      </c>
      <c r="R982" s="21" t="n">
        <f aca="false">L982*Q982</f>
        <v>1793.505</v>
      </c>
      <c r="S982" s="18" t="n">
        <f aca="false">L982*INDEX(Parametros!$B$20:$B$22,MATCH($E982,Parametros!$A$20:$A$22,0))</f>
        <v>32.3</v>
      </c>
      <c r="T982" s="18" t="n">
        <f aca="false">P982*INDEX(Parametros!$B$13:$B$16,MATCH($F982,Parametros!$A$13:$A$16,0))</f>
        <v>85.37232</v>
      </c>
      <c r="U982" s="21" t="n">
        <f aca="false">P982-R982-S982-T982</f>
        <v>934.56668</v>
      </c>
      <c r="V982" s="19" t="n">
        <f aca="false">IFERROR(U982/P982,0)</f>
        <v>0.328408556778122</v>
      </c>
      <c r="W982" s="48" t="n">
        <f aca="false">B982+INDEX(Parametros!$C$13:$C$16,MATCH($F982,Parametros!$A$13:$A$16,0))</f>
        <v>46059</v>
      </c>
      <c r="X982" s="31" t="s">
        <v>67</v>
      </c>
      <c r="Y982" s="53" t="n">
        <f aca="false">IF(COUNTIF($A$2:$A982,A982)=1,1,0)</f>
        <v>1</v>
      </c>
    </row>
    <row r="983" customFormat="false" ht="15" hidden="false" customHeight="false" outlineLevel="0" collapsed="false">
      <c r="A983" s="31" t="s">
        <v>775</v>
      </c>
      <c r="B983" s="36" t="n">
        <v>45999</v>
      </c>
      <c r="C983" s="49" t="n">
        <f aca="false">DATE(YEAR(B983),MONTH(B983),1)</f>
        <v>45992</v>
      </c>
      <c r="D983" s="31" t="s">
        <v>209</v>
      </c>
      <c r="E983" s="31" t="s">
        <v>41</v>
      </c>
      <c r="F983" s="31" t="s">
        <v>45</v>
      </c>
      <c r="G983" s="31" t="s">
        <v>62</v>
      </c>
      <c r="H983" s="31" t="s">
        <v>173</v>
      </c>
      <c r="I983" s="32" t="str">
        <f aca="false">INDEX(Productos!$B$2:$B$13,MATCH($H983,Productos!$A$2:$A$13,0))</f>
        <v>Tornillo DIN 933 M12x70 clase 8.8</v>
      </c>
      <c r="J983" s="32" t="str">
        <f aca="false">INDEX(Productos!$C$2:$C$13,MATCH($H983,Productos!$A$2:$A$13,0))</f>
        <v>Métrica</v>
      </c>
      <c r="K983" s="31" t="s">
        <v>246</v>
      </c>
      <c r="L983" s="46" t="n">
        <v>51</v>
      </c>
      <c r="M983" s="50" t="n">
        <f aca="false">INDEX(Productos!$F$2:$F$13,MATCH($H983,Productos!$A$2:$A$13,0))</f>
        <v>64</v>
      </c>
      <c r="N983" s="51" t="n">
        <v>0.14</v>
      </c>
      <c r="O983" s="52" t="n">
        <f aca="false">M983*(1-N983)</f>
        <v>55.04</v>
      </c>
      <c r="P983" s="21" t="n">
        <f aca="false">L983*O983</f>
        <v>2807.04</v>
      </c>
      <c r="Q983" s="50" t="n">
        <f aca="false">INDEX(Productos!$E$2:$E$13,MATCH($H983,Productos!$A$2:$A$13,0))*INDEX(Parametros!$B$26:$B$43,MATCH($C983,Parametros!$A$26:$A$43,0))</f>
        <v>34.0025</v>
      </c>
      <c r="R983" s="21" t="n">
        <f aca="false">L983*Q983</f>
        <v>1734.1275</v>
      </c>
      <c r="S983" s="18" t="n">
        <f aca="false">L983*INDEX(Parametros!$B$20:$B$22,MATCH($E983,Parametros!$A$20:$A$22,0))</f>
        <v>43.35</v>
      </c>
      <c r="T983" s="18" t="n">
        <f aca="false">P983*INDEX(Parametros!$B$13:$B$16,MATCH($F983,Parametros!$A$13:$A$16,0))</f>
        <v>84.2112</v>
      </c>
      <c r="U983" s="21" t="n">
        <f aca="false">P983-R983-S983-T983</f>
        <v>945.3513</v>
      </c>
      <c r="V983" s="19" t="n">
        <f aca="false">IFERROR(U983/P983,0)</f>
        <v>0.336778706395349</v>
      </c>
      <c r="W983" s="48" t="n">
        <f aca="false">B983+INDEX(Parametros!$C$13:$C$16,MATCH($F983,Parametros!$A$13:$A$16,0))</f>
        <v>46059</v>
      </c>
      <c r="X983" s="31" t="s">
        <v>67</v>
      </c>
      <c r="Y983" s="53" t="n">
        <f aca="false">IF(COUNTIF($A$2:$A983,A983)=1,1,0)</f>
        <v>1</v>
      </c>
    </row>
    <row r="984" customFormat="false" ht="15" hidden="false" customHeight="false" outlineLevel="0" collapsed="false">
      <c r="A984" s="31" t="s">
        <v>776</v>
      </c>
      <c r="B984" s="36" t="n">
        <v>45999</v>
      </c>
      <c r="C984" s="49" t="n">
        <f aca="false">DATE(YEAR(B984),MONTH(B984),1)</f>
        <v>45992</v>
      </c>
      <c r="D984" s="31" t="s">
        <v>227</v>
      </c>
      <c r="E984" s="31" t="s">
        <v>43</v>
      </c>
      <c r="F984" s="31" t="s">
        <v>46</v>
      </c>
      <c r="G984" s="31" t="s">
        <v>59</v>
      </c>
      <c r="H984" s="31" t="s">
        <v>175</v>
      </c>
      <c r="I984" s="32" t="str">
        <f aca="false">INDEX(Productos!$B$2:$B$13,MATCH($H984,Productos!$A$2:$A$13,0))</f>
        <v>Tirafondo madera 5x60 cabeza plana Torx</v>
      </c>
      <c r="J984" s="32" t="str">
        <f aca="false">INDEX(Productos!$C$2:$C$13,MATCH($H984,Productos!$A$2:$A$13,0))</f>
        <v>Madera</v>
      </c>
      <c r="K984" s="31" t="s">
        <v>246</v>
      </c>
      <c r="L984" s="46" t="n">
        <v>30</v>
      </c>
      <c r="M984" s="50" t="n">
        <f aca="false">INDEX(Productos!$F$2:$F$13,MATCH($H984,Productos!$A$2:$A$13,0))</f>
        <v>26</v>
      </c>
      <c r="N984" s="51" t="n">
        <v>0.119</v>
      </c>
      <c r="O984" s="52" t="n">
        <f aca="false">M984*(1-N984)</f>
        <v>22.906</v>
      </c>
      <c r="P984" s="21" t="n">
        <f aca="false">L984*O984</f>
        <v>687.18</v>
      </c>
      <c r="Q984" s="50" t="n">
        <f aca="false">INDEX(Productos!$E$2:$E$13,MATCH($H984,Productos!$A$2:$A$13,0))*INDEX(Parametros!$B$26:$B$43,MATCH($C984,Parametros!$A$26:$A$43,0))</f>
        <v>13.601</v>
      </c>
      <c r="R984" s="21" t="n">
        <f aca="false">L984*Q984</f>
        <v>408.03</v>
      </c>
      <c r="S984" s="18" t="n">
        <f aca="false">L984*INDEX(Parametros!$B$20:$B$22,MATCH($E984,Parametros!$A$20:$A$22,0))</f>
        <v>57</v>
      </c>
      <c r="T984" s="18" t="n">
        <f aca="false">P984*INDEX(Parametros!$B$13:$B$16,MATCH($F984,Parametros!$A$13:$A$16,0))</f>
        <v>27.4872</v>
      </c>
      <c r="U984" s="21" t="n">
        <f aca="false">P984-R984-S984-T984</f>
        <v>194.6628</v>
      </c>
      <c r="V984" s="19" t="n">
        <f aca="false">IFERROR(U984/P984,0)</f>
        <v>0.283277743822579</v>
      </c>
      <c r="W984" s="48" t="n">
        <f aca="false">B984+INDEX(Parametros!$C$13:$C$16,MATCH($F984,Parametros!$A$13:$A$16,0))</f>
        <v>46074</v>
      </c>
      <c r="X984" s="31" t="s">
        <v>67</v>
      </c>
      <c r="Y984" s="53" t="n">
        <f aca="false">IF(COUNTIF($A$2:$A984,A984)=1,1,0)</f>
        <v>1</v>
      </c>
    </row>
    <row r="985" customFormat="false" ht="15" hidden="false" customHeight="false" outlineLevel="0" collapsed="false">
      <c r="A985" s="31" t="s">
        <v>777</v>
      </c>
      <c r="B985" s="36" t="n">
        <v>45999</v>
      </c>
      <c r="C985" s="49" t="n">
        <f aca="false">DATE(YEAR(B985),MONTH(B985),1)</f>
        <v>45992</v>
      </c>
      <c r="D985" s="31" t="s">
        <v>196</v>
      </c>
      <c r="E985" s="31" t="s">
        <v>41</v>
      </c>
      <c r="F985" s="31" t="s">
        <v>47</v>
      </c>
      <c r="G985" s="31" t="s">
        <v>58</v>
      </c>
      <c r="H985" s="31" t="s">
        <v>181</v>
      </c>
      <c r="I985" s="32" t="str">
        <f aca="false">INDEX(Productos!$B$2:$B$13,MATCH($H985,Productos!$A$2:$A$13,0))</f>
        <v>Autotaladrante 5,5x55 punta broca</v>
      </c>
      <c r="J985" s="32" t="str">
        <f aca="false">INDEX(Productos!$C$2:$C$13,MATCH($H985,Productos!$A$2:$A$13,0))</f>
        <v>Autotaladrante</v>
      </c>
      <c r="K985" s="31" t="s">
        <v>246</v>
      </c>
      <c r="L985" s="46" t="n">
        <v>69</v>
      </c>
      <c r="M985" s="50" t="n">
        <f aca="false">INDEX(Productos!$F$2:$F$13,MATCH($H985,Productos!$A$2:$A$13,0))</f>
        <v>39</v>
      </c>
      <c r="N985" s="51" t="n">
        <v>0.042</v>
      </c>
      <c r="O985" s="52" t="n">
        <f aca="false">M985*(1-N985)</f>
        <v>37.362</v>
      </c>
      <c r="P985" s="21" t="n">
        <f aca="false">L985*O985</f>
        <v>2577.978</v>
      </c>
      <c r="Q985" s="50" t="n">
        <f aca="false">INDEX(Productos!$E$2:$E$13,MATCH($H985,Productos!$A$2:$A$13,0))*INDEX(Parametros!$B$26:$B$43,MATCH($C985,Parametros!$A$26:$A$43,0))</f>
        <v>20.6045</v>
      </c>
      <c r="R985" s="21" t="n">
        <f aca="false">L985*Q985</f>
        <v>1421.7105</v>
      </c>
      <c r="S985" s="18" t="n">
        <f aca="false">L985*INDEX(Parametros!$B$20:$B$22,MATCH($E985,Parametros!$A$20:$A$22,0))</f>
        <v>58.65</v>
      </c>
      <c r="T985" s="18" t="n">
        <f aca="false">P985*INDEX(Parametros!$B$13:$B$16,MATCH($F985,Parametros!$A$13:$A$16,0))</f>
        <v>90.22923</v>
      </c>
      <c r="U985" s="21" t="n">
        <f aca="false">P985-R985-S985-T985</f>
        <v>1007.38827</v>
      </c>
      <c r="V985" s="19" t="n">
        <f aca="false">IFERROR(U985/P985,0)</f>
        <v>0.390766821904609</v>
      </c>
      <c r="W985" s="48" t="n">
        <f aca="false">B985+INDEX(Parametros!$C$13:$C$16,MATCH($F985,Parametros!$A$13:$A$16,0))</f>
        <v>46044</v>
      </c>
      <c r="X985" s="31" t="s">
        <v>67</v>
      </c>
      <c r="Y985" s="53" t="n">
        <f aca="false">IF(COUNTIF($A$2:$A985,A985)=1,1,0)</f>
        <v>1</v>
      </c>
    </row>
    <row r="986" customFormat="false" ht="15" hidden="false" customHeight="false" outlineLevel="0" collapsed="false">
      <c r="A986" s="31" t="s">
        <v>777</v>
      </c>
      <c r="B986" s="36" t="n">
        <v>45999</v>
      </c>
      <c r="C986" s="49" t="n">
        <f aca="false">DATE(YEAR(B986),MONTH(B986),1)</f>
        <v>45992</v>
      </c>
      <c r="D986" s="31" t="s">
        <v>196</v>
      </c>
      <c r="E986" s="31" t="s">
        <v>41</v>
      </c>
      <c r="F986" s="31" t="s">
        <v>47</v>
      </c>
      <c r="G986" s="31" t="s">
        <v>58</v>
      </c>
      <c r="H986" s="31" t="s">
        <v>179</v>
      </c>
      <c r="I986" s="32" t="str">
        <f aca="false">INDEX(Productos!$B$2:$B$13,MATCH($H986,Productos!$A$2:$A$13,0))</f>
        <v>Autotaladrante DIN 7504 4,8x38 zincado</v>
      </c>
      <c r="J986" s="32" t="str">
        <f aca="false">INDEX(Productos!$C$2:$C$13,MATCH($H986,Productos!$A$2:$A$13,0))</f>
        <v>Autotaladrante</v>
      </c>
      <c r="K986" s="31" t="s">
        <v>246</v>
      </c>
      <c r="L986" s="46" t="n">
        <v>120</v>
      </c>
      <c r="M986" s="50" t="n">
        <f aca="false">INDEX(Productos!$F$2:$F$13,MATCH($H986,Productos!$A$2:$A$13,0))</f>
        <v>29.5</v>
      </c>
      <c r="N986" s="51" t="n">
        <v>0.036</v>
      </c>
      <c r="O986" s="52" t="n">
        <f aca="false">M986*(1-N986)</f>
        <v>28.438</v>
      </c>
      <c r="P986" s="21" t="n">
        <f aca="false">L986*O986</f>
        <v>3412.56</v>
      </c>
      <c r="Q986" s="50" t="n">
        <f aca="false">INDEX(Productos!$E$2:$E$13,MATCH($H986,Productos!$A$2:$A$13,0))*INDEX(Parametros!$B$26:$B$43,MATCH($C986,Parametros!$A$26:$A$43,0))</f>
        <v>15.428</v>
      </c>
      <c r="R986" s="21" t="n">
        <f aca="false">L986*Q986</f>
        <v>1851.36</v>
      </c>
      <c r="S986" s="18" t="n">
        <f aca="false">L986*INDEX(Parametros!$B$20:$B$22,MATCH($E986,Parametros!$A$20:$A$22,0))</f>
        <v>102</v>
      </c>
      <c r="T986" s="18" t="n">
        <f aca="false">P986*INDEX(Parametros!$B$13:$B$16,MATCH($F986,Parametros!$A$13:$A$16,0))</f>
        <v>119.4396</v>
      </c>
      <c r="U986" s="21" t="n">
        <f aca="false">P986-R986-S986-T986</f>
        <v>1339.7604</v>
      </c>
      <c r="V986" s="19" t="n">
        <f aca="false">IFERROR(U986/P986,0)</f>
        <v>0.39259687741754</v>
      </c>
      <c r="W986" s="48" t="n">
        <f aca="false">B986+INDEX(Parametros!$C$13:$C$16,MATCH($F986,Parametros!$A$13:$A$16,0))</f>
        <v>46044</v>
      </c>
      <c r="X986" s="31" t="s">
        <v>67</v>
      </c>
      <c r="Y986" s="53" t="n">
        <f aca="false">IF(COUNTIF($A$2:$A986,A986)=1,1,0)</f>
        <v>0</v>
      </c>
    </row>
    <row r="987" customFormat="false" ht="15" hidden="false" customHeight="false" outlineLevel="0" collapsed="false">
      <c r="A987" s="31" t="s">
        <v>778</v>
      </c>
      <c r="B987" s="36" t="n">
        <v>45999</v>
      </c>
      <c r="C987" s="49" t="n">
        <f aca="false">DATE(YEAR(B987),MONTH(B987),1)</f>
        <v>45992</v>
      </c>
      <c r="D987" s="31" t="s">
        <v>200</v>
      </c>
      <c r="E987" s="31" t="s">
        <v>41</v>
      </c>
      <c r="F987" s="31" t="s">
        <v>45</v>
      </c>
      <c r="G987" s="31" t="s">
        <v>62</v>
      </c>
      <c r="H987" s="31" t="s">
        <v>183</v>
      </c>
      <c r="I987" s="32" t="str">
        <f aca="false">INDEX(Productos!$B$2:$B$13,MATCH($H987,Productos!$A$2:$A$13,0))</f>
        <v>Tornillo estructural M16x90 clase 10.9</v>
      </c>
      <c r="J987" s="32" t="str">
        <f aca="false">INDEX(Productos!$C$2:$C$13,MATCH($H987,Productos!$A$2:$A$13,0))</f>
        <v>Especial</v>
      </c>
      <c r="K987" s="31" t="s">
        <v>246</v>
      </c>
      <c r="L987" s="46" t="n">
        <v>66</v>
      </c>
      <c r="M987" s="50" t="n">
        <f aca="false">INDEX(Productos!$F$2:$F$13,MATCH($H987,Productos!$A$2:$A$13,0))</f>
        <v>112</v>
      </c>
      <c r="N987" s="51" t="n">
        <v>0.201</v>
      </c>
      <c r="O987" s="52" t="n">
        <f aca="false">M987*(1-N987)</f>
        <v>89.488</v>
      </c>
      <c r="P987" s="21" t="n">
        <f aca="false">L987*O987</f>
        <v>5906.208</v>
      </c>
      <c r="Q987" s="50" t="n">
        <f aca="false">INDEX(Productos!$E$2:$E$13,MATCH($H987,Productos!$A$2:$A$13,0))*INDEX(Parametros!$B$26:$B$43,MATCH($C987,Parametros!$A$26:$A$43,0))</f>
        <v>60.9</v>
      </c>
      <c r="R987" s="21" t="n">
        <f aca="false">L987*Q987</f>
        <v>4019.4</v>
      </c>
      <c r="S987" s="18" t="n">
        <f aca="false">L987*INDEX(Parametros!$B$20:$B$22,MATCH($E987,Parametros!$A$20:$A$22,0))</f>
        <v>56.1</v>
      </c>
      <c r="T987" s="18" t="n">
        <f aca="false">P987*INDEX(Parametros!$B$13:$B$16,MATCH($F987,Parametros!$A$13:$A$16,0))</f>
        <v>177.18624</v>
      </c>
      <c r="U987" s="21" t="n">
        <f aca="false">P987-R987-S987-T987</f>
        <v>1653.52176</v>
      </c>
      <c r="V987" s="19" t="n">
        <f aca="false">IFERROR(U987/P987,0)</f>
        <v>0.279963347040944</v>
      </c>
      <c r="W987" s="48" t="n">
        <f aca="false">B987+INDEX(Parametros!$C$13:$C$16,MATCH($F987,Parametros!$A$13:$A$16,0))</f>
        <v>46059</v>
      </c>
      <c r="X987" s="31" t="s">
        <v>67</v>
      </c>
      <c r="Y987" s="53" t="n">
        <f aca="false">IF(COUNTIF($A$2:$A987,A987)=1,1,0)</f>
        <v>1</v>
      </c>
    </row>
    <row r="988" customFormat="false" ht="15" hidden="false" customHeight="false" outlineLevel="0" collapsed="false">
      <c r="A988" s="31" t="s">
        <v>778</v>
      </c>
      <c r="B988" s="36" t="n">
        <v>45999</v>
      </c>
      <c r="C988" s="49" t="n">
        <f aca="false">DATE(YEAR(B988),MONTH(B988),1)</f>
        <v>45992</v>
      </c>
      <c r="D988" s="31" t="s">
        <v>200</v>
      </c>
      <c r="E988" s="31" t="s">
        <v>41</v>
      </c>
      <c r="F988" s="31" t="s">
        <v>45</v>
      </c>
      <c r="G988" s="31" t="s">
        <v>62</v>
      </c>
      <c r="H988" s="31" t="s">
        <v>173</v>
      </c>
      <c r="I988" s="32" t="str">
        <f aca="false">INDEX(Productos!$B$2:$B$13,MATCH($H988,Productos!$A$2:$A$13,0))</f>
        <v>Tornillo DIN 933 M12x70 clase 8.8</v>
      </c>
      <c r="J988" s="32" t="str">
        <f aca="false">INDEX(Productos!$C$2:$C$13,MATCH($H988,Productos!$A$2:$A$13,0))</f>
        <v>Métrica</v>
      </c>
      <c r="K988" s="31" t="s">
        <v>246</v>
      </c>
      <c r="L988" s="46" t="n">
        <v>290</v>
      </c>
      <c r="M988" s="50" t="n">
        <f aca="false">INDEX(Productos!$F$2:$F$13,MATCH($H988,Productos!$A$2:$A$13,0))</f>
        <v>64</v>
      </c>
      <c r="N988" s="51" t="n">
        <v>0.207</v>
      </c>
      <c r="O988" s="52" t="n">
        <f aca="false">M988*(1-N988)</f>
        <v>50.752</v>
      </c>
      <c r="P988" s="21" t="n">
        <f aca="false">L988*O988</f>
        <v>14718.08</v>
      </c>
      <c r="Q988" s="50" t="n">
        <f aca="false">INDEX(Productos!$E$2:$E$13,MATCH($H988,Productos!$A$2:$A$13,0))*INDEX(Parametros!$B$26:$B$43,MATCH($C988,Parametros!$A$26:$A$43,0))</f>
        <v>34.0025</v>
      </c>
      <c r="R988" s="21" t="n">
        <f aca="false">L988*Q988</f>
        <v>9860.725</v>
      </c>
      <c r="S988" s="18" t="n">
        <f aca="false">L988*INDEX(Parametros!$B$20:$B$22,MATCH($E988,Parametros!$A$20:$A$22,0))</f>
        <v>246.5</v>
      </c>
      <c r="T988" s="18" t="n">
        <f aca="false">P988*INDEX(Parametros!$B$13:$B$16,MATCH($F988,Parametros!$A$13:$A$16,0))</f>
        <v>441.5424</v>
      </c>
      <c r="U988" s="21" t="n">
        <f aca="false">P988-R988-S988-T988</f>
        <v>4169.3126</v>
      </c>
      <c r="V988" s="19" t="n">
        <f aca="false">IFERROR(U988/P988,0)</f>
        <v>0.28327829445145</v>
      </c>
      <c r="W988" s="48" t="n">
        <f aca="false">B988+INDEX(Parametros!$C$13:$C$16,MATCH($F988,Parametros!$A$13:$A$16,0))</f>
        <v>46059</v>
      </c>
      <c r="X988" s="31" t="s">
        <v>67</v>
      </c>
      <c r="Y988" s="53" t="n">
        <f aca="false">IF(COUNTIF($A$2:$A988,A988)=1,1,0)</f>
        <v>0</v>
      </c>
    </row>
    <row r="989" customFormat="false" ht="15" hidden="false" customHeight="false" outlineLevel="0" collapsed="false">
      <c r="A989" s="31" t="s">
        <v>778</v>
      </c>
      <c r="B989" s="36" t="n">
        <v>45999</v>
      </c>
      <c r="C989" s="49" t="n">
        <f aca="false">DATE(YEAR(B989),MONTH(B989),1)</f>
        <v>45992</v>
      </c>
      <c r="D989" s="31" t="s">
        <v>200</v>
      </c>
      <c r="E989" s="31" t="s">
        <v>41</v>
      </c>
      <c r="F989" s="31" t="s">
        <v>45</v>
      </c>
      <c r="G989" s="31" t="s">
        <v>62</v>
      </c>
      <c r="H989" s="31" t="s">
        <v>169</v>
      </c>
      <c r="I989" s="32" t="str">
        <f aca="false">INDEX(Productos!$B$2:$B$13,MATCH($H989,Productos!$A$2:$A$13,0))</f>
        <v>Tornillo DIN 912 M10x60 Allen inox A2</v>
      </c>
      <c r="J989" s="32" t="str">
        <f aca="false">INDEX(Productos!$C$2:$C$13,MATCH($H989,Productos!$A$2:$A$13,0))</f>
        <v>Inoxidable</v>
      </c>
      <c r="K989" s="31" t="s">
        <v>246</v>
      </c>
      <c r="L989" s="46" t="n">
        <v>68</v>
      </c>
      <c r="M989" s="50" t="n">
        <f aca="false">INDEX(Productos!$F$2:$F$13,MATCH($H989,Productos!$A$2:$A$13,0))</f>
        <v>79</v>
      </c>
      <c r="N989" s="51" t="n">
        <v>0.203</v>
      </c>
      <c r="O989" s="52" t="n">
        <f aca="false">M989*(1-N989)</f>
        <v>62.963</v>
      </c>
      <c r="P989" s="21" t="n">
        <f aca="false">L989*O989</f>
        <v>4281.484</v>
      </c>
      <c r="Q989" s="50" t="n">
        <f aca="false">INDEX(Productos!$E$2:$E$13,MATCH($H989,Productos!$A$2:$A$13,0))*INDEX(Parametros!$B$26:$B$43,MATCH($C989,Parametros!$A$26:$A$43,0))</f>
        <v>42.63</v>
      </c>
      <c r="R989" s="21" t="n">
        <f aca="false">L989*Q989</f>
        <v>2898.84</v>
      </c>
      <c r="S989" s="18" t="n">
        <f aca="false">L989*INDEX(Parametros!$B$20:$B$22,MATCH($E989,Parametros!$A$20:$A$22,0))</f>
        <v>57.8</v>
      </c>
      <c r="T989" s="18" t="n">
        <f aca="false">P989*INDEX(Parametros!$B$13:$B$16,MATCH($F989,Parametros!$A$13:$A$16,0))</f>
        <v>128.44452</v>
      </c>
      <c r="U989" s="21" t="n">
        <f aca="false">P989-R989-S989-T989</f>
        <v>1196.39948</v>
      </c>
      <c r="V989" s="19" t="n">
        <f aca="false">IFERROR(U989/P989,0)</f>
        <v>0.279435700331941</v>
      </c>
      <c r="W989" s="48" t="n">
        <f aca="false">B989+INDEX(Parametros!$C$13:$C$16,MATCH($F989,Parametros!$A$13:$A$16,0))</f>
        <v>46059</v>
      </c>
      <c r="X989" s="31" t="s">
        <v>67</v>
      </c>
      <c r="Y989" s="53" t="n">
        <f aca="false">IF(COUNTIF($A$2:$A989,A989)=1,1,0)</f>
        <v>0</v>
      </c>
    </row>
    <row r="990" customFormat="false" ht="15" hidden="false" customHeight="false" outlineLevel="0" collapsed="false">
      <c r="A990" s="31" t="s">
        <v>778</v>
      </c>
      <c r="B990" s="36" t="n">
        <v>45999</v>
      </c>
      <c r="C990" s="49" t="n">
        <f aca="false">DATE(YEAR(B990),MONTH(B990),1)</f>
        <v>45992</v>
      </c>
      <c r="D990" s="31" t="s">
        <v>200</v>
      </c>
      <c r="E990" s="31" t="s">
        <v>41</v>
      </c>
      <c r="F990" s="31" t="s">
        <v>45</v>
      </c>
      <c r="G990" s="31" t="s">
        <v>62</v>
      </c>
      <c r="H990" s="31" t="s">
        <v>185</v>
      </c>
      <c r="I990" s="32" t="str">
        <f aca="false">INDEX(Productos!$B$2:$B$13,MATCH($H990,Productos!$A$2:$A$13,0))</f>
        <v>Varilla roscada M10 x 1 m zincada</v>
      </c>
      <c r="J990" s="32" t="str">
        <f aca="false">INDEX(Productos!$C$2:$C$13,MATCH($H990,Productos!$A$2:$A$13,0))</f>
        <v>Especial</v>
      </c>
      <c r="K990" s="31" t="s">
        <v>246</v>
      </c>
      <c r="L990" s="46" t="n">
        <v>112</v>
      </c>
      <c r="M990" s="50" t="n">
        <f aca="false">INDEX(Productos!$F$2:$F$13,MATCH($H990,Productos!$A$2:$A$13,0))</f>
        <v>54</v>
      </c>
      <c r="N990" s="51" t="n">
        <v>0.15</v>
      </c>
      <c r="O990" s="52" t="n">
        <f aca="false">M990*(1-N990)</f>
        <v>45.9</v>
      </c>
      <c r="P990" s="21" t="n">
        <f aca="false">L990*O990</f>
        <v>5140.8</v>
      </c>
      <c r="Q990" s="50" t="n">
        <f aca="false">INDEX(Productos!$E$2:$E$13,MATCH($H990,Productos!$A$2:$A$13,0))*INDEX(Parametros!$B$26:$B$43,MATCH($C990,Parametros!$A$26:$A$43,0))</f>
        <v>28.9275</v>
      </c>
      <c r="R990" s="21" t="n">
        <f aca="false">L990*Q990</f>
        <v>3239.88</v>
      </c>
      <c r="S990" s="18" t="n">
        <f aca="false">L990*INDEX(Parametros!$B$20:$B$22,MATCH($E990,Parametros!$A$20:$A$22,0))</f>
        <v>95.2</v>
      </c>
      <c r="T990" s="18" t="n">
        <f aca="false">P990*INDEX(Parametros!$B$13:$B$16,MATCH($F990,Parametros!$A$13:$A$16,0))</f>
        <v>154.224</v>
      </c>
      <c r="U990" s="21" t="n">
        <f aca="false">P990-R990-S990-T990</f>
        <v>1651.496</v>
      </c>
      <c r="V990" s="19" t="n">
        <f aca="false">IFERROR(U990/P990,0)</f>
        <v>0.321252723311547</v>
      </c>
      <c r="W990" s="48" t="n">
        <f aca="false">B990+INDEX(Parametros!$C$13:$C$16,MATCH($F990,Parametros!$A$13:$A$16,0))</f>
        <v>46059</v>
      </c>
      <c r="X990" s="31" t="s">
        <v>67</v>
      </c>
      <c r="Y990" s="53" t="n">
        <f aca="false">IF(COUNTIF($A$2:$A990,A990)=1,1,0)</f>
        <v>0</v>
      </c>
    </row>
    <row r="991" customFormat="false" ht="15" hidden="false" customHeight="false" outlineLevel="0" collapsed="false">
      <c r="A991" s="31" t="s">
        <v>779</v>
      </c>
      <c r="B991" s="36" t="n">
        <v>45999</v>
      </c>
      <c r="C991" s="49" t="n">
        <f aca="false">DATE(YEAR(B991),MONTH(B991),1)</f>
        <v>45992</v>
      </c>
      <c r="D991" s="31" t="s">
        <v>218</v>
      </c>
      <c r="E991" s="31" t="s">
        <v>42</v>
      </c>
      <c r="F991" s="31" t="s">
        <v>45</v>
      </c>
      <c r="G991" s="31" t="s">
        <v>61</v>
      </c>
      <c r="H991" s="31" t="s">
        <v>179</v>
      </c>
      <c r="I991" s="32" t="str">
        <f aca="false">INDEX(Productos!$B$2:$B$13,MATCH($H991,Productos!$A$2:$A$13,0))</f>
        <v>Autotaladrante DIN 7504 4,8x38 zincado</v>
      </c>
      <c r="J991" s="32" t="str">
        <f aca="false">INDEX(Productos!$C$2:$C$13,MATCH($H991,Productos!$A$2:$A$13,0))</f>
        <v>Autotaladrante</v>
      </c>
      <c r="K991" s="31" t="s">
        <v>246</v>
      </c>
      <c r="L991" s="46" t="n">
        <v>139</v>
      </c>
      <c r="M991" s="50" t="n">
        <f aca="false">INDEX(Productos!$F$2:$F$13,MATCH($H991,Productos!$A$2:$A$13,0))</f>
        <v>29.5</v>
      </c>
      <c r="N991" s="51" t="n">
        <v>0.189</v>
      </c>
      <c r="O991" s="52" t="n">
        <f aca="false">M991*(1-N991)</f>
        <v>23.9245</v>
      </c>
      <c r="P991" s="21" t="n">
        <f aca="false">L991*O991</f>
        <v>3325.5055</v>
      </c>
      <c r="Q991" s="50" t="n">
        <f aca="false">INDEX(Productos!$E$2:$E$13,MATCH($H991,Productos!$A$2:$A$13,0))*INDEX(Parametros!$B$26:$B$43,MATCH($C991,Parametros!$A$26:$A$43,0))</f>
        <v>15.428</v>
      </c>
      <c r="R991" s="21" t="n">
        <f aca="false">L991*Q991</f>
        <v>2144.492</v>
      </c>
      <c r="S991" s="18" t="n">
        <f aca="false">L991*INDEX(Parametros!$B$20:$B$22,MATCH($E991,Parametros!$A$20:$A$22,0))</f>
        <v>333.6</v>
      </c>
      <c r="T991" s="18" t="n">
        <f aca="false">P991*INDEX(Parametros!$B$13:$B$16,MATCH($F991,Parametros!$A$13:$A$16,0))</f>
        <v>99.765165</v>
      </c>
      <c r="U991" s="21" t="n">
        <f aca="false">P991-R991-S991-T991</f>
        <v>747.648335</v>
      </c>
      <c r="V991" s="19" t="n">
        <f aca="false">IFERROR(U991/P991,0)</f>
        <v>0.224822462329411</v>
      </c>
      <c r="W991" s="48" t="n">
        <f aca="false">B991+INDEX(Parametros!$C$13:$C$16,MATCH($F991,Parametros!$A$13:$A$16,0))</f>
        <v>46059</v>
      </c>
      <c r="X991" s="31" t="s">
        <v>67</v>
      </c>
      <c r="Y991" s="53" t="n">
        <f aca="false">IF(COUNTIF($A$2:$A991,A991)=1,1,0)</f>
        <v>1</v>
      </c>
    </row>
    <row r="992" customFormat="false" ht="15" hidden="false" customHeight="false" outlineLevel="0" collapsed="false">
      <c r="A992" s="31" t="s">
        <v>779</v>
      </c>
      <c r="B992" s="36" t="n">
        <v>45999</v>
      </c>
      <c r="C992" s="49" t="n">
        <f aca="false">DATE(YEAR(B992),MONTH(B992),1)</f>
        <v>45992</v>
      </c>
      <c r="D992" s="31" t="s">
        <v>218</v>
      </c>
      <c r="E992" s="31" t="s">
        <v>42</v>
      </c>
      <c r="F992" s="31" t="s">
        <v>45</v>
      </c>
      <c r="G992" s="31" t="s">
        <v>61</v>
      </c>
      <c r="H992" s="31" t="s">
        <v>165</v>
      </c>
      <c r="I992" s="32" t="str">
        <f aca="false">INDEX(Productos!$B$2:$B$13,MATCH($H992,Productos!$A$2:$A$13,0))</f>
        <v>Tornillo DIN 933 M8x40 rosca completa zincado</v>
      </c>
      <c r="J992" s="32" t="str">
        <f aca="false">INDEX(Productos!$C$2:$C$13,MATCH($H992,Productos!$A$2:$A$13,0))</f>
        <v>Métrica</v>
      </c>
      <c r="K992" s="31" t="s">
        <v>246</v>
      </c>
      <c r="L992" s="46" t="n">
        <v>80</v>
      </c>
      <c r="M992" s="50" t="n">
        <f aca="false">INDEX(Productos!$F$2:$F$13,MATCH($H992,Productos!$A$2:$A$13,0))</f>
        <v>37.5</v>
      </c>
      <c r="N992" s="51" t="n">
        <v>0.179</v>
      </c>
      <c r="O992" s="52" t="n">
        <f aca="false">M992*(1-N992)</f>
        <v>30.7875</v>
      </c>
      <c r="P992" s="21" t="n">
        <f aca="false">L992*O992</f>
        <v>2463</v>
      </c>
      <c r="Q992" s="50" t="n">
        <f aca="false">INDEX(Productos!$E$2:$E$13,MATCH($H992,Productos!$A$2:$A$13,0))*INDEX(Parametros!$B$26:$B$43,MATCH($C992,Parametros!$A$26:$A$43,0))</f>
        <v>19.691</v>
      </c>
      <c r="R992" s="21" t="n">
        <f aca="false">L992*Q992</f>
        <v>1575.28</v>
      </c>
      <c r="S992" s="18" t="n">
        <f aca="false">L992*INDEX(Parametros!$B$20:$B$22,MATCH($E992,Parametros!$A$20:$A$22,0))</f>
        <v>192</v>
      </c>
      <c r="T992" s="18" t="n">
        <f aca="false">P992*INDEX(Parametros!$B$13:$B$16,MATCH($F992,Parametros!$A$13:$A$16,0))</f>
        <v>73.89</v>
      </c>
      <c r="U992" s="21" t="n">
        <f aca="false">P992-R992-S992-T992</f>
        <v>621.83</v>
      </c>
      <c r="V992" s="19" t="n">
        <f aca="false">IFERROR(U992/P992,0)</f>
        <v>0.252468534307755</v>
      </c>
      <c r="W992" s="48" t="n">
        <f aca="false">B992+INDEX(Parametros!$C$13:$C$16,MATCH($F992,Parametros!$A$13:$A$16,0))</f>
        <v>46059</v>
      </c>
      <c r="X992" s="31" t="s">
        <v>67</v>
      </c>
      <c r="Y992" s="53" t="n">
        <f aca="false">IF(COUNTIF($A$2:$A992,A992)=1,1,0)</f>
        <v>0</v>
      </c>
    </row>
    <row r="993" customFormat="false" ht="15" hidden="false" customHeight="false" outlineLevel="0" collapsed="false">
      <c r="A993" s="31" t="s">
        <v>779</v>
      </c>
      <c r="B993" s="36" t="n">
        <v>45999</v>
      </c>
      <c r="C993" s="49" t="n">
        <f aca="false">DATE(YEAR(B993),MONTH(B993),1)</f>
        <v>45992</v>
      </c>
      <c r="D993" s="31" t="s">
        <v>218</v>
      </c>
      <c r="E993" s="31" t="s">
        <v>42</v>
      </c>
      <c r="F993" s="31" t="s">
        <v>45</v>
      </c>
      <c r="G993" s="31" t="s">
        <v>61</v>
      </c>
      <c r="H993" s="31" t="s">
        <v>177</v>
      </c>
      <c r="I993" s="32" t="str">
        <f aca="false">INDEX(Productos!$B$2:$B$13,MATCH($H993,Productos!$A$2:$A$13,0))</f>
        <v>Tirafondo madera 6x100 cabeza plana Torx</v>
      </c>
      <c r="J993" s="32" t="str">
        <f aca="false">INDEX(Productos!$C$2:$C$13,MATCH($H993,Productos!$A$2:$A$13,0))</f>
        <v>Madera</v>
      </c>
      <c r="K993" s="31" t="s">
        <v>246</v>
      </c>
      <c r="L993" s="46" t="n">
        <v>215</v>
      </c>
      <c r="M993" s="50" t="n">
        <f aca="false">INDEX(Productos!$F$2:$F$13,MATCH($H993,Productos!$A$2:$A$13,0))</f>
        <v>34</v>
      </c>
      <c r="N993" s="51" t="n">
        <v>0.193</v>
      </c>
      <c r="O993" s="52" t="n">
        <f aca="false">M993*(1-N993)</f>
        <v>27.438</v>
      </c>
      <c r="P993" s="21" t="n">
        <f aca="false">L993*O993</f>
        <v>5899.17</v>
      </c>
      <c r="Q993" s="50" t="n">
        <f aca="false">INDEX(Productos!$E$2:$E$13,MATCH($H993,Productos!$A$2:$A$13,0))*INDEX(Parametros!$B$26:$B$43,MATCH($C993,Parametros!$A$26:$A$43,0))</f>
        <v>18.067</v>
      </c>
      <c r="R993" s="21" t="n">
        <f aca="false">L993*Q993</f>
        <v>3884.405</v>
      </c>
      <c r="S993" s="18" t="n">
        <f aca="false">L993*INDEX(Parametros!$B$20:$B$22,MATCH($E993,Parametros!$A$20:$A$22,0))</f>
        <v>516</v>
      </c>
      <c r="T993" s="18" t="n">
        <f aca="false">P993*INDEX(Parametros!$B$13:$B$16,MATCH($F993,Parametros!$A$13:$A$16,0))</f>
        <v>176.9751</v>
      </c>
      <c r="U993" s="21" t="n">
        <f aca="false">P993-R993-S993-T993</f>
        <v>1321.7899</v>
      </c>
      <c r="V993" s="19" t="n">
        <f aca="false">IFERROR(U993/P993,0)</f>
        <v>0.224063707267294</v>
      </c>
      <c r="W993" s="48" t="n">
        <f aca="false">B993+INDEX(Parametros!$C$13:$C$16,MATCH($F993,Parametros!$A$13:$A$16,0))</f>
        <v>46059</v>
      </c>
      <c r="X993" s="31" t="s">
        <v>67</v>
      </c>
      <c r="Y993" s="53" t="n">
        <f aca="false">IF(COUNTIF($A$2:$A993,A993)=1,1,0)</f>
        <v>0</v>
      </c>
    </row>
    <row r="994" customFormat="false" ht="15" hidden="false" customHeight="false" outlineLevel="0" collapsed="false">
      <c r="A994" s="31" t="s">
        <v>780</v>
      </c>
      <c r="B994" s="36" t="n">
        <v>46001</v>
      </c>
      <c r="C994" s="49" t="n">
        <f aca="false">DATE(YEAR(B994),MONTH(B994),1)</f>
        <v>45992</v>
      </c>
      <c r="D994" s="31" t="s">
        <v>221</v>
      </c>
      <c r="E994" s="31" t="s">
        <v>43</v>
      </c>
      <c r="F994" s="31" t="s">
        <v>45</v>
      </c>
      <c r="G994" s="31" t="s">
        <v>59</v>
      </c>
      <c r="H994" s="31" t="s">
        <v>179</v>
      </c>
      <c r="I994" s="32" t="str">
        <f aca="false">INDEX(Productos!$B$2:$B$13,MATCH($H994,Productos!$A$2:$A$13,0))</f>
        <v>Autotaladrante DIN 7504 4,8x38 zincado</v>
      </c>
      <c r="J994" s="32" t="str">
        <f aca="false">INDEX(Productos!$C$2:$C$13,MATCH($H994,Productos!$A$2:$A$13,0))</f>
        <v>Autotaladrante</v>
      </c>
      <c r="K994" s="31" t="s">
        <v>246</v>
      </c>
      <c r="L994" s="46" t="n">
        <v>44</v>
      </c>
      <c r="M994" s="50" t="n">
        <f aca="false">INDEX(Productos!$F$2:$F$13,MATCH($H994,Productos!$A$2:$A$13,0))</f>
        <v>29.5</v>
      </c>
      <c r="N994" s="51" t="n">
        <v>0.182</v>
      </c>
      <c r="O994" s="52" t="n">
        <f aca="false">M994*(1-N994)</f>
        <v>24.131</v>
      </c>
      <c r="P994" s="21" t="n">
        <f aca="false">L994*O994</f>
        <v>1061.764</v>
      </c>
      <c r="Q994" s="50" t="n">
        <f aca="false">INDEX(Productos!$E$2:$E$13,MATCH($H994,Productos!$A$2:$A$13,0))*INDEX(Parametros!$B$26:$B$43,MATCH($C994,Parametros!$A$26:$A$43,0))</f>
        <v>15.428</v>
      </c>
      <c r="R994" s="21" t="n">
        <f aca="false">L994*Q994</f>
        <v>678.832</v>
      </c>
      <c r="S994" s="18" t="n">
        <f aca="false">L994*INDEX(Parametros!$B$20:$B$22,MATCH($E994,Parametros!$A$20:$A$22,0))</f>
        <v>83.6</v>
      </c>
      <c r="T994" s="18" t="n">
        <f aca="false">P994*INDEX(Parametros!$B$13:$B$16,MATCH($F994,Parametros!$A$13:$A$16,0))</f>
        <v>31.85292</v>
      </c>
      <c r="U994" s="21" t="n">
        <f aca="false">P994-R994-S994-T994</f>
        <v>267.47908</v>
      </c>
      <c r="V994" s="19" t="n">
        <f aca="false">IFERROR(U994/P994,0)</f>
        <v>0.251919522605777</v>
      </c>
      <c r="W994" s="48" t="n">
        <f aca="false">B994+INDEX(Parametros!$C$13:$C$16,MATCH($F994,Parametros!$A$13:$A$16,0))</f>
        <v>46061</v>
      </c>
      <c r="X994" s="31" t="s">
        <v>67</v>
      </c>
      <c r="Y994" s="53" t="n">
        <f aca="false">IF(COUNTIF($A$2:$A994,A994)=1,1,0)</f>
        <v>1</v>
      </c>
    </row>
    <row r="995" customFormat="false" ht="15" hidden="false" customHeight="false" outlineLevel="0" collapsed="false">
      <c r="A995" s="31" t="s">
        <v>780</v>
      </c>
      <c r="B995" s="36" t="n">
        <v>46001</v>
      </c>
      <c r="C995" s="49" t="n">
        <f aca="false">DATE(YEAR(B995),MONTH(B995),1)</f>
        <v>45992</v>
      </c>
      <c r="D995" s="31" t="s">
        <v>221</v>
      </c>
      <c r="E995" s="31" t="s">
        <v>43</v>
      </c>
      <c r="F995" s="31" t="s">
        <v>45</v>
      </c>
      <c r="G995" s="31" t="s">
        <v>59</v>
      </c>
      <c r="H995" s="31" t="s">
        <v>169</v>
      </c>
      <c r="I995" s="32" t="str">
        <f aca="false">INDEX(Productos!$B$2:$B$13,MATCH($H995,Productos!$A$2:$A$13,0))</f>
        <v>Tornillo DIN 912 M10x60 Allen inox A2</v>
      </c>
      <c r="J995" s="32" t="str">
        <f aca="false">INDEX(Productos!$C$2:$C$13,MATCH($H995,Productos!$A$2:$A$13,0))</f>
        <v>Inoxidable</v>
      </c>
      <c r="K995" s="31" t="s">
        <v>246</v>
      </c>
      <c r="L995" s="46" t="n">
        <v>26</v>
      </c>
      <c r="M995" s="50" t="n">
        <f aca="false">INDEX(Productos!$F$2:$F$13,MATCH($H995,Productos!$A$2:$A$13,0))</f>
        <v>79</v>
      </c>
      <c r="N995" s="51" t="n">
        <v>0.146</v>
      </c>
      <c r="O995" s="52" t="n">
        <f aca="false">M995*(1-N995)</f>
        <v>67.466</v>
      </c>
      <c r="P995" s="21" t="n">
        <f aca="false">L995*O995</f>
        <v>1754.116</v>
      </c>
      <c r="Q995" s="50" t="n">
        <f aca="false">INDEX(Productos!$E$2:$E$13,MATCH($H995,Productos!$A$2:$A$13,0))*INDEX(Parametros!$B$26:$B$43,MATCH($C995,Parametros!$A$26:$A$43,0))</f>
        <v>42.63</v>
      </c>
      <c r="R995" s="21" t="n">
        <f aca="false">L995*Q995</f>
        <v>1108.38</v>
      </c>
      <c r="S995" s="18" t="n">
        <f aca="false">L995*INDEX(Parametros!$B$20:$B$22,MATCH($E995,Parametros!$A$20:$A$22,0))</f>
        <v>49.4</v>
      </c>
      <c r="T995" s="18" t="n">
        <f aca="false">P995*INDEX(Parametros!$B$13:$B$16,MATCH($F995,Parametros!$A$13:$A$16,0))</f>
        <v>52.62348</v>
      </c>
      <c r="U995" s="21" t="n">
        <f aca="false">P995-R995-S995-T995</f>
        <v>543.71252</v>
      </c>
      <c r="V995" s="19" t="n">
        <f aca="false">IFERROR(U995/P995,0)</f>
        <v>0.30996383363472</v>
      </c>
      <c r="W995" s="48" t="n">
        <f aca="false">B995+INDEX(Parametros!$C$13:$C$16,MATCH($F995,Parametros!$A$13:$A$16,0))</f>
        <v>46061</v>
      </c>
      <c r="X995" s="31" t="s">
        <v>67</v>
      </c>
      <c r="Y995" s="53" t="n">
        <f aca="false">IF(COUNTIF($A$2:$A995,A995)=1,1,0)</f>
        <v>0</v>
      </c>
    </row>
    <row r="996" customFormat="false" ht="15" hidden="false" customHeight="false" outlineLevel="0" collapsed="false">
      <c r="A996" s="31" t="s">
        <v>781</v>
      </c>
      <c r="B996" s="36" t="n">
        <v>46001</v>
      </c>
      <c r="C996" s="49" t="n">
        <f aca="false">DATE(YEAR(B996),MONTH(B996),1)</f>
        <v>45992</v>
      </c>
      <c r="D996" s="31" t="s">
        <v>198</v>
      </c>
      <c r="E996" s="31" t="s">
        <v>41</v>
      </c>
      <c r="F996" s="31" t="s">
        <v>46</v>
      </c>
      <c r="G996" s="31" t="s">
        <v>58</v>
      </c>
      <c r="H996" s="31" t="s">
        <v>179</v>
      </c>
      <c r="I996" s="32" t="str">
        <f aca="false">INDEX(Productos!$B$2:$B$13,MATCH($H996,Productos!$A$2:$A$13,0))</f>
        <v>Autotaladrante DIN 7504 4,8x38 zincado</v>
      </c>
      <c r="J996" s="32" t="str">
        <f aca="false">INDEX(Productos!$C$2:$C$13,MATCH($H996,Productos!$A$2:$A$13,0))</f>
        <v>Autotaladrante</v>
      </c>
      <c r="K996" s="31" t="s">
        <v>246</v>
      </c>
      <c r="L996" s="46" t="n">
        <v>27</v>
      </c>
      <c r="M996" s="50" t="n">
        <f aca="false">INDEX(Productos!$F$2:$F$13,MATCH($H996,Productos!$A$2:$A$13,0))</f>
        <v>29.5</v>
      </c>
      <c r="N996" s="51" t="n">
        <v>0.087</v>
      </c>
      <c r="O996" s="52" t="n">
        <f aca="false">M996*(1-N996)</f>
        <v>26.9335</v>
      </c>
      <c r="P996" s="21" t="n">
        <f aca="false">L996*O996</f>
        <v>727.2045</v>
      </c>
      <c r="Q996" s="50" t="n">
        <f aca="false">INDEX(Productos!$E$2:$E$13,MATCH($H996,Productos!$A$2:$A$13,0))*INDEX(Parametros!$B$26:$B$43,MATCH($C996,Parametros!$A$26:$A$43,0))</f>
        <v>15.428</v>
      </c>
      <c r="R996" s="21" t="n">
        <f aca="false">L996*Q996</f>
        <v>416.556</v>
      </c>
      <c r="S996" s="18" t="n">
        <f aca="false">L996*INDEX(Parametros!$B$20:$B$22,MATCH($E996,Parametros!$A$20:$A$22,0))</f>
        <v>22.95</v>
      </c>
      <c r="T996" s="18" t="n">
        <f aca="false">P996*INDEX(Parametros!$B$13:$B$16,MATCH($F996,Parametros!$A$13:$A$16,0))</f>
        <v>29.08818</v>
      </c>
      <c r="U996" s="21" t="n">
        <f aca="false">P996-R996-S996-T996</f>
        <v>258.61032</v>
      </c>
      <c r="V996" s="19" t="n">
        <f aca="false">IFERROR(U996/P996,0)</f>
        <v>0.355622551840645</v>
      </c>
      <c r="W996" s="48" t="n">
        <f aca="false">B996+INDEX(Parametros!$C$13:$C$16,MATCH($F996,Parametros!$A$13:$A$16,0))</f>
        <v>46076</v>
      </c>
      <c r="X996" s="31" t="s">
        <v>67</v>
      </c>
      <c r="Y996" s="53" t="n">
        <f aca="false">IF(COUNTIF($A$2:$A996,A996)=1,1,0)</f>
        <v>1</v>
      </c>
    </row>
    <row r="997" customFormat="false" ht="15" hidden="false" customHeight="false" outlineLevel="0" collapsed="false">
      <c r="A997" s="31" t="s">
        <v>781</v>
      </c>
      <c r="B997" s="36" t="n">
        <v>46001</v>
      </c>
      <c r="C997" s="49" t="n">
        <f aca="false">DATE(YEAR(B997),MONTH(B997),1)</f>
        <v>45992</v>
      </c>
      <c r="D997" s="31" t="s">
        <v>198</v>
      </c>
      <c r="E997" s="31" t="s">
        <v>41</v>
      </c>
      <c r="F997" s="31" t="s">
        <v>46</v>
      </c>
      <c r="G997" s="31" t="s">
        <v>58</v>
      </c>
      <c r="H997" s="31" t="s">
        <v>163</v>
      </c>
      <c r="I997" s="32" t="str">
        <f aca="false">INDEX(Productos!$B$2:$B$13,MATCH($H997,Productos!$A$2:$A$13,0))</f>
        <v>Tornillo DIN 933 M6x30 rosca completa zincado</v>
      </c>
      <c r="J997" s="32" t="str">
        <f aca="false">INDEX(Productos!$C$2:$C$13,MATCH($H997,Productos!$A$2:$A$13,0))</f>
        <v>Métrica</v>
      </c>
      <c r="K997" s="31" t="s">
        <v>246</v>
      </c>
      <c r="L997" s="46" t="n">
        <v>92</v>
      </c>
      <c r="M997" s="50" t="n">
        <f aca="false">INDEX(Productos!$F$2:$F$13,MATCH($H997,Productos!$A$2:$A$13,0))</f>
        <v>32</v>
      </c>
      <c r="N997" s="51" t="n">
        <v>0.104</v>
      </c>
      <c r="O997" s="52" t="n">
        <f aca="false">M997*(1-N997)</f>
        <v>28.672</v>
      </c>
      <c r="P997" s="21" t="n">
        <f aca="false">L997*O997</f>
        <v>2637.824</v>
      </c>
      <c r="Q997" s="50" t="n">
        <f aca="false">INDEX(Productos!$E$2:$E$13,MATCH($H997,Productos!$A$2:$A$13,0))*INDEX(Parametros!$B$26:$B$43,MATCH($C997,Parametros!$A$26:$A$43,0))</f>
        <v>16.849</v>
      </c>
      <c r="R997" s="21" t="n">
        <f aca="false">L997*Q997</f>
        <v>1550.108</v>
      </c>
      <c r="S997" s="18" t="n">
        <f aca="false">L997*INDEX(Parametros!$B$20:$B$22,MATCH($E997,Parametros!$A$20:$A$22,0))</f>
        <v>78.2</v>
      </c>
      <c r="T997" s="18" t="n">
        <f aca="false">P997*INDEX(Parametros!$B$13:$B$16,MATCH($F997,Parametros!$A$13:$A$16,0))</f>
        <v>105.51296</v>
      </c>
      <c r="U997" s="21" t="n">
        <f aca="false">P997-R997-S997-T997</f>
        <v>904.00304</v>
      </c>
      <c r="V997" s="19" t="n">
        <f aca="false">IFERROR(U997/P997,0)</f>
        <v>0.342707868303571</v>
      </c>
      <c r="W997" s="48" t="n">
        <f aca="false">B997+INDEX(Parametros!$C$13:$C$16,MATCH($F997,Parametros!$A$13:$A$16,0))</f>
        <v>46076</v>
      </c>
      <c r="X997" s="31" t="s">
        <v>67</v>
      </c>
      <c r="Y997" s="53" t="n">
        <f aca="false">IF(COUNTIF($A$2:$A997,A997)=1,1,0)</f>
        <v>0</v>
      </c>
    </row>
    <row r="998" customFormat="false" ht="15" hidden="false" customHeight="false" outlineLevel="0" collapsed="false">
      <c r="A998" s="31" t="s">
        <v>781</v>
      </c>
      <c r="B998" s="36" t="n">
        <v>46001</v>
      </c>
      <c r="C998" s="49" t="n">
        <f aca="false">DATE(YEAR(B998),MONTH(B998),1)</f>
        <v>45992</v>
      </c>
      <c r="D998" s="31" t="s">
        <v>198</v>
      </c>
      <c r="E998" s="31" t="s">
        <v>41</v>
      </c>
      <c r="F998" s="31" t="s">
        <v>46</v>
      </c>
      <c r="G998" s="31" t="s">
        <v>58</v>
      </c>
      <c r="H998" s="31" t="s">
        <v>181</v>
      </c>
      <c r="I998" s="32" t="str">
        <f aca="false">INDEX(Productos!$B$2:$B$13,MATCH($H998,Productos!$A$2:$A$13,0))</f>
        <v>Autotaladrante 5,5x55 punta broca</v>
      </c>
      <c r="J998" s="32" t="str">
        <f aca="false">INDEX(Productos!$C$2:$C$13,MATCH($H998,Productos!$A$2:$A$13,0))</f>
        <v>Autotaladrante</v>
      </c>
      <c r="K998" s="31" t="s">
        <v>246</v>
      </c>
      <c r="L998" s="46" t="n">
        <v>66</v>
      </c>
      <c r="M998" s="50" t="n">
        <f aca="false">INDEX(Productos!$F$2:$F$13,MATCH($H998,Productos!$A$2:$A$13,0))</f>
        <v>39</v>
      </c>
      <c r="N998" s="51" t="n">
        <v>0.096</v>
      </c>
      <c r="O998" s="52" t="n">
        <f aca="false">M998*(1-N998)</f>
        <v>35.256</v>
      </c>
      <c r="P998" s="21" t="n">
        <f aca="false">L998*O998</f>
        <v>2326.896</v>
      </c>
      <c r="Q998" s="50" t="n">
        <f aca="false">INDEX(Productos!$E$2:$E$13,MATCH($H998,Productos!$A$2:$A$13,0))*INDEX(Parametros!$B$26:$B$43,MATCH($C998,Parametros!$A$26:$A$43,0))</f>
        <v>20.6045</v>
      </c>
      <c r="R998" s="21" t="n">
        <f aca="false">L998*Q998</f>
        <v>1359.897</v>
      </c>
      <c r="S998" s="18" t="n">
        <f aca="false">L998*INDEX(Parametros!$B$20:$B$22,MATCH($E998,Parametros!$A$20:$A$22,0))</f>
        <v>56.1</v>
      </c>
      <c r="T998" s="18" t="n">
        <f aca="false">P998*INDEX(Parametros!$B$13:$B$16,MATCH($F998,Parametros!$A$13:$A$16,0))</f>
        <v>93.07584</v>
      </c>
      <c r="U998" s="21" t="n">
        <f aca="false">P998-R998-S998-T998</f>
        <v>817.82316</v>
      </c>
      <c r="V998" s="19" t="n">
        <f aca="false">IFERROR(U998/P998,0)</f>
        <v>0.351465282505106</v>
      </c>
      <c r="W998" s="48" t="n">
        <f aca="false">B998+INDEX(Parametros!$C$13:$C$16,MATCH($F998,Parametros!$A$13:$A$16,0))</f>
        <v>46076</v>
      </c>
      <c r="X998" s="31" t="s">
        <v>67</v>
      </c>
      <c r="Y998" s="53" t="n">
        <f aca="false">IF(COUNTIF($A$2:$A998,A998)=1,1,0)</f>
        <v>0</v>
      </c>
    </row>
    <row r="999" customFormat="false" ht="15" hidden="false" customHeight="false" outlineLevel="0" collapsed="false">
      <c r="A999" s="31" t="s">
        <v>782</v>
      </c>
      <c r="B999" s="36" t="n">
        <v>46002</v>
      </c>
      <c r="C999" s="49" t="n">
        <f aca="false">DATE(YEAR(B999),MONTH(B999),1)</f>
        <v>45992</v>
      </c>
      <c r="D999" s="31" t="s">
        <v>211</v>
      </c>
      <c r="E999" s="31" t="s">
        <v>41</v>
      </c>
      <c r="F999" s="31" t="s">
        <v>48</v>
      </c>
      <c r="G999" s="31" t="s">
        <v>60</v>
      </c>
      <c r="H999" s="31" t="s">
        <v>165</v>
      </c>
      <c r="I999" s="32" t="str">
        <f aca="false">INDEX(Productos!$B$2:$B$13,MATCH($H999,Productos!$A$2:$A$13,0))</f>
        <v>Tornillo DIN 933 M8x40 rosca completa zincado</v>
      </c>
      <c r="J999" s="32" t="str">
        <f aca="false">INDEX(Productos!$C$2:$C$13,MATCH($H999,Productos!$A$2:$A$13,0))</f>
        <v>Métrica</v>
      </c>
      <c r="K999" s="31" t="s">
        <v>246</v>
      </c>
      <c r="L999" s="46" t="n">
        <v>6</v>
      </c>
      <c r="M999" s="50" t="n">
        <f aca="false">INDEX(Productos!$F$2:$F$13,MATCH($H999,Productos!$A$2:$A$13,0))</f>
        <v>37.5</v>
      </c>
      <c r="N999" s="51" t="n">
        <v>0.042</v>
      </c>
      <c r="O999" s="52" t="n">
        <f aca="false">M999*(1-N999)</f>
        <v>35.925</v>
      </c>
      <c r="P999" s="21" t="n">
        <f aca="false">L999*O999</f>
        <v>215.55</v>
      </c>
      <c r="Q999" s="50" t="n">
        <f aca="false">INDEX(Productos!$E$2:$E$13,MATCH($H999,Productos!$A$2:$A$13,0))*INDEX(Parametros!$B$26:$B$43,MATCH($C999,Parametros!$A$26:$A$43,0))</f>
        <v>19.691</v>
      </c>
      <c r="R999" s="21" t="n">
        <f aca="false">L999*Q999</f>
        <v>118.146</v>
      </c>
      <c r="S999" s="18" t="n">
        <f aca="false">L999*INDEX(Parametros!$B$20:$B$22,MATCH($E999,Parametros!$A$20:$A$22,0))</f>
        <v>5.1</v>
      </c>
      <c r="T999" s="18" t="n">
        <f aca="false">P999*INDEX(Parametros!$B$13:$B$16,MATCH($F999,Parametros!$A$13:$A$16,0))</f>
        <v>2.1555</v>
      </c>
      <c r="U999" s="21" t="n">
        <f aca="false">P999-R999-S999-T999</f>
        <v>90.1485</v>
      </c>
      <c r="V999" s="19" t="n">
        <f aca="false">IFERROR(U999/P999,0)</f>
        <v>0.418225469728601</v>
      </c>
      <c r="W999" s="48" t="n">
        <f aca="false">B999+INDEX(Parametros!$C$13:$C$16,MATCH($F999,Parametros!$A$13:$A$16,0))</f>
        <v>46002</v>
      </c>
      <c r="X999" s="31" t="s">
        <v>67</v>
      </c>
      <c r="Y999" s="53" t="n">
        <f aca="false">IF(COUNTIF($A$2:$A999,A999)=1,1,0)</f>
        <v>1</v>
      </c>
    </row>
    <row r="1000" customFormat="false" ht="15" hidden="false" customHeight="false" outlineLevel="0" collapsed="false">
      <c r="A1000" s="31" t="s">
        <v>782</v>
      </c>
      <c r="B1000" s="36" t="n">
        <v>46002</v>
      </c>
      <c r="C1000" s="49" t="n">
        <f aca="false">DATE(YEAR(B1000),MONTH(B1000),1)</f>
        <v>45992</v>
      </c>
      <c r="D1000" s="31" t="s">
        <v>211</v>
      </c>
      <c r="E1000" s="31" t="s">
        <v>41</v>
      </c>
      <c r="F1000" s="31" t="s">
        <v>48</v>
      </c>
      <c r="G1000" s="31" t="s">
        <v>60</v>
      </c>
      <c r="H1000" s="31" t="s">
        <v>169</v>
      </c>
      <c r="I1000" s="32" t="str">
        <f aca="false">INDEX(Productos!$B$2:$B$13,MATCH($H1000,Productos!$A$2:$A$13,0))</f>
        <v>Tornillo DIN 912 M10x60 Allen inox A2</v>
      </c>
      <c r="J1000" s="32" t="str">
        <f aca="false">INDEX(Productos!$C$2:$C$13,MATCH($H1000,Productos!$A$2:$A$13,0))</f>
        <v>Inoxidable</v>
      </c>
      <c r="K1000" s="31" t="s">
        <v>246</v>
      </c>
      <c r="L1000" s="46" t="n">
        <v>25</v>
      </c>
      <c r="M1000" s="50" t="n">
        <f aca="false">INDEX(Productos!$F$2:$F$13,MATCH($H1000,Productos!$A$2:$A$13,0))</f>
        <v>79</v>
      </c>
      <c r="N1000" s="51" t="n">
        <v>0.009</v>
      </c>
      <c r="O1000" s="52" t="n">
        <f aca="false">M1000*(1-N1000)</f>
        <v>78.289</v>
      </c>
      <c r="P1000" s="21" t="n">
        <f aca="false">L1000*O1000</f>
        <v>1957.225</v>
      </c>
      <c r="Q1000" s="50" t="n">
        <f aca="false">INDEX(Productos!$E$2:$E$13,MATCH($H1000,Productos!$A$2:$A$13,0))*INDEX(Parametros!$B$26:$B$43,MATCH($C1000,Parametros!$A$26:$A$43,0))</f>
        <v>42.63</v>
      </c>
      <c r="R1000" s="21" t="n">
        <f aca="false">L1000*Q1000</f>
        <v>1065.75</v>
      </c>
      <c r="S1000" s="18" t="n">
        <f aca="false">L1000*INDEX(Parametros!$B$20:$B$22,MATCH($E1000,Parametros!$A$20:$A$22,0))</f>
        <v>21.25</v>
      </c>
      <c r="T1000" s="18" t="n">
        <f aca="false">P1000*INDEX(Parametros!$B$13:$B$16,MATCH($F1000,Parametros!$A$13:$A$16,0))</f>
        <v>19.57225</v>
      </c>
      <c r="U1000" s="21" t="n">
        <f aca="false">P1000-R1000-S1000-T1000</f>
        <v>850.65275</v>
      </c>
      <c r="V1000" s="19" t="n">
        <f aca="false">IFERROR(U1000/P1000,0)</f>
        <v>0.434621849812873</v>
      </c>
      <c r="W1000" s="48" t="n">
        <f aca="false">B1000+INDEX(Parametros!$C$13:$C$16,MATCH($F1000,Parametros!$A$13:$A$16,0))</f>
        <v>46002</v>
      </c>
      <c r="X1000" s="31" t="s">
        <v>67</v>
      </c>
      <c r="Y1000" s="53" t="n">
        <f aca="false">IF(COUNTIF($A$2:$A1000,A1000)=1,1,0)</f>
        <v>0</v>
      </c>
    </row>
    <row r="1001" customFormat="false" ht="15" hidden="false" customHeight="false" outlineLevel="0" collapsed="false">
      <c r="A1001" s="31" t="s">
        <v>782</v>
      </c>
      <c r="B1001" s="36" t="n">
        <v>46002</v>
      </c>
      <c r="C1001" s="49" t="n">
        <f aca="false">DATE(YEAR(B1001),MONTH(B1001),1)</f>
        <v>45992</v>
      </c>
      <c r="D1001" s="31" t="s">
        <v>211</v>
      </c>
      <c r="E1001" s="31" t="s">
        <v>41</v>
      </c>
      <c r="F1001" s="31" t="s">
        <v>48</v>
      </c>
      <c r="G1001" s="31" t="s">
        <v>60</v>
      </c>
      <c r="H1001" s="31" t="s">
        <v>167</v>
      </c>
      <c r="I1001" s="32" t="str">
        <f aca="false">INDEX(Productos!$B$2:$B$13,MATCH($H1001,Productos!$A$2:$A$13,0))</f>
        <v>Tornillo DIN 912 M6x25 Allen zincado</v>
      </c>
      <c r="J1001" s="32" t="str">
        <f aca="false">INDEX(Productos!$C$2:$C$13,MATCH($H1001,Productos!$A$2:$A$13,0))</f>
        <v>Métrica</v>
      </c>
      <c r="K1001" s="31" t="s">
        <v>246</v>
      </c>
      <c r="L1001" s="46" t="n">
        <v>4</v>
      </c>
      <c r="M1001" s="50" t="n">
        <f aca="false">INDEX(Productos!$F$2:$F$13,MATCH($H1001,Productos!$A$2:$A$13,0))</f>
        <v>42</v>
      </c>
      <c r="N1001" s="51" t="n">
        <v>0.001</v>
      </c>
      <c r="O1001" s="52" t="n">
        <f aca="false">M1001*(1-N1001)</f>
        <v>41.958</v>
      </c>
      <c r="P1001" s="21" t="n">
        <f aca="false">L1001*O1001</f>
        <v>167.832</v>
      </c>
      <c r="Q1001" s="50" t="n">
        <f aca="false">INDEX(Productos!$E$2:$E$13,MATCH($H1001,Productos!$A$2:$A$13,0))*INDEX(Parametros!$B$26:$B$43,MATCH($C1001,Parametros!$A$26:$A$43,0))</f>
        <v>22.127</v>
      </c>
      <c r="R1001" s="21" t="n">
        <f aca="false">L1001*Q1001</f>
        <v>88.508</v>
      </c>
      <c r="S1001" s="18" t="n">
        <f aca="false">L1001*INDEX(Parametros!$B$20:$B$22,MATCH($E1001,Parametros!$A$20:$A$22,0))</f>
        <v>3.4</v>
      </c>
      <c r="T1001" s="18" t="n">
        <f aca="false">P1001*INDEX(Parametros!$B$13:$B$16,MATCH($F1001,Parametros!$A$13:$A$16,0))</f>
        <v>1.67832</v>
      </c>
      <c r="U1001" s="21" t="n">
        <f aca="false">P1001-R1001-S1001-T1001</f>
        <v>74.24568</v>
      </c>
      <c r="V1001" s="19" t="n">
        <f aca="false">IFERROR(U1001/P1001,0)</f>
        <v>0.442380952380952</v>
      </c>
      <c r="W1001" s="48" t="n">
        <f aca="false">B1001+INDEX(Parametros!$C$13:$C$16,MATCH($F1001,Parametros!$A$13:$A$16,0))</f>
        <v>46002</v>
      </c>
      <c r="X1001" s="31" t="s">
        <v>67</v>
      </c>
      <c r="Y1001" s="53" t="n">
        <f aca="false">IF(COUNTIF($A$2:$A1001,A1001)=1,1,0)</f>
        <v>0</v>
      </c>
    </row>
    <row r="1002" customFormat="false" ht="15" hidden="false" customHeight="false" outlineLevel="0" collapsed="false">
      <c r="A1002" s="31" t="s">
        <v>782</v>
      </c>
      <c r="B1002" s="36" t="n">
        <v>46002</v>
      </c>
      <c r="C1002" s="49" t="n">
        <f aca="false">DATE(YEAR(B1002),MONTH(B1002),1)</f>
        <v>45992</v>
      </c>
      <c r="D1002" s="31" t="s">
        <v>211</v>
      </c>
      <c r="E1002" s="31" t="s">
        <v>41</v>
      </c>
      <c r="F1002" s="31" t="s">
        <v>48</v>
      </c>
      <c r="G1002" s="31" t="s">
        <v>60</v>
      </c>
      <c r="H1002" s="31" t="s">
        <v>179</v>
      </c>
      <c r="I1002" s="32" t="str">
        <f aca="false">INDEX(Productos!$B$2:$B$13,MATCH($H1002,Productos!$A$2:$A$13,0))</f>
        <v>Autotaladrante DIN 7504 4,8x38 zincado</v>
      </c>
      <c r="J1002" s="32" t="str">
        <f aca="false">INDEX(Productos!$C$2:$C$13,MATCH($H1002,Productos!$A$2:$A$13,0))</f>
        <v>Autotaladrante</v>
      </c>
      <c r="K1002" s="31" t="s">
        <v>246</v>
      </c>
      <c r="L1002" s="46" t="n">
        <v>19</v>
      </c>
      <c r="M1002" s="50" t="n">
        <f aca="false">INDEX(Productos!$F$2:$F$13,MATCH($H1002,Productos!$A$2:$A$13,0))</f>
        <v>29.5</v>
      </c>
      <c r="N1002" s="51" t="n">
        <v>0.026</v>
      </c>
      <c r="O1002" s="52" t="n">
        <f aca="false">M1002*(1-N1002)</f>
        <v>28.733</v>
      </c>
      <c r="P1002" s="21" t="n">
        <f aca="false">L1002*O1002</f>
        <v>545.927</v>
      </c>
      <c r="Q1002" s="50" t="n">
        <f aca="false">INDEX(Productos!$E$2:$E$13,MATCH($H1002,Productos!$A$2:$A$13,0))*INDEX(Parametros!$B$26:$B$43,MATCH($C1002,Parametros!$A$26:$A$43,0))</f>
        <v>15.428</v>
      </c>
      <c r="R1002" s="21" t="n">
        <f aca="false">L1002*Q1002</f>
        <v>293.132</v>
      </c>
      <c r="S1002" s="18" t="n">
        <f aca="false">L1002*INDEX(Parametros!$B$20:$B$22,MATCH($E1002,Parametros!$A$20:$A$22,0))</f>
        <v>16.15</v>
      </c>
      <c r="T1002" s="18" t="n">
        <f aca="false">P1002*INDEX(Parametros!$B$13:$B$16,MATCH($F1002,Parametros!$A$13:$A$16,0))</f>
        <v>5.45927</v>
      </c>
      <c r="U1002" s="21" t="n">
        <f aca="false">P1002-R1002-S1002-T1002</f>
        <v>231.18573</v>
      </c>
      <c r="V1002" s="19" t="n">
        <f aca="false">IFERROR(U1002/P1002,0)</f>
        <v>0.423473706191487</v>
      </c>
      <c r="W1002" s="48" t="n">
        <f aca="false">B1002+INDEX(Parametros!$C$13:$C$16,MATCH($F1002,Parametros!$A$13:$A$16,0))</f>
        <v>46002</v>
      </c>
      <c r="X1002" s="31" t="s">
        <v>67</v>
      </c>
      <c r="Y1002" s="53" t="n">
        <f aca="false">IF(COUNTIF($A$2:$A1002,A1002)=1,1,0)</f>
        <v>0</v>
      </c>
    </row>
    <row r="1003" customFormat="false" ht="15" hidden="false" customHeight="false" outlineLevel="0" collapsed="false">
      <c r="A1003" s="31" t="s">
        <v>783</v>
      </c>
      <c r="B1003" s="36" t="n">
        <v>46002</v>
      </c>
      <c r="C1003" s="49" t="n">
        <f aca="false">DATE(YEAR(B1003),MONTH(B1003),1)</f>
        <v>45992</v>
      </c>
      <c r="D1003" s="31" t="s">
        <v>223</v>
      </c>
      <c r="E1003" s="31" t="s">
        <v>43</v>
      </c>
      <c r="F1003" s="31" t="s">
        <v>46</v>
      </c>
      <c r="G1003" s="31" t="s">
        <v>59</v>
      </c>
      <c r="H1003" s="31" t="s">
        <v>171</v>
      </c>
      <c r="I1003" s="32" t="str">
        <f aca="false">INDEX(Productos!$B$2:$B$13,MATCH($H1003,Productos!$A$2:$A$13,0))</f>
        <v>Tornillo DIN 7991 M8x30 avellanado inox A2</v>
      </c>
      <c r="J1003" s="32" t="str">
        <f aca="false">INDEX(Productos!$C$2:$C$13,MATCH($H1003,Productos!$A$2:$A$13,0))</f>
        <v>Inoxidable</v>
      </c>
      <c r="K1003" s="31" t="s">
        <v>246</v>
      </c>
      <c r="L1003" s="46" t="n">
        <v>129</v>
      </c>
      <c r="M1003" s="50" t="n">
        <f aca="false">INDEX(Productos!$F$2:$F$13,MATCH($H1003,Productos!$A$2:$A$13,0))</f>
        <v>88</v>
      </c>
      <c r="N1003" s="51" t="n">
        <v>0.17</v>
      </c>
      <c r="O1003" s="52" t="n">
        <f aca="false">M1003*(1-N1003)</f>
        <v>73.04</v>
      </c>
      <c r="P1003" s="21" t="n">
        <f aca="false">L1003*O1003</f>
        <v>9422.16</v>
      </c>
      <c r="Q1003" s="50" t="n">
        <f aca="false">INDEX(Productos!$E$2:$E$13,MATCH($H1003,Productos!$A$2:$A$13,0))*INDEX(Parametros!$B$26:$B$43,MATCH($C1003,Parametros!$A$26:$A$43,0))</f>
        <v>47.1975</v>
      </c>
      <c r="R1003" s="21" t="n">
        <f aca="false">L1003*Q1003</f>
        <v>6088.4775</v>
      </c>
      <c r="S1003" s="18" t="n">
        <f aca="false">L1003*INDEX(Parametros!$B$20:$B$22,MATCH($E1003,Parametros!$A$20:$A$22,0))</f>
        <v>245.1</v>
      </c>
      <c r="T1003" s="18" t="n">
        <f aca="false">P1003*INDEX(Parametros!$B$13:$B$16,MATCH($F1003,Parametros!$A$13:$A$16,0))</f>
        <v>376.8864</v>
      </c>
      <c r="U1003" s="21" t="n">
        <f aca="false">P1003-R1003-S1003-T1003</f>
        <v>2711.6961</v>
      </c>
      <c r="V1003" s="19" t="n">
        <f aca="false">IFERROR(U1003/P1003,0)</f>
        <v>0.287799835706462</v>
      </c>
      <c r="W1003" s="48" t="n">
        <f aca="false">B1003+INDEX(Parametros!$C$13:$C$16,MATCH($F1003,Parametros!$A$13:$A$16,0))</f>
        <v>46077</v>
      </c>
      <c r="X1003" s="31" t="s">
        <v>67</v>
      </c>
      <c r="Y1003" s="53" t="n">
        <f aca="false">IF(COUNTIF($A$2:$A1003,A1003)=1,1,0)</f>
        <v>1</v>
      </c>
    </row>
    <row r="1004" customFormat="false" ht="15" hidden="false" customHeight="false" outlineLevel="0" collapsed="false">
      <c r="A1004" s="31" t="s">
        <v>784</v>
      </c>
      <c r="B1004" s="36" t="n">
        <v>46003</v>
      </c>
      <c r="C1004" s="49" t="n">
        <f aca="false">DATE(YEAR(B1004),MONTH(B1004),1)</f>
        <v>45992</v>
      </c>
      <c r="D1004" s="31" t="s">
        <v>196</v>
      </c>
      <c r="E1004" s="31" t="s">
        <v>41</v>
      </c>
      <c r="F1004" s="31" t="s">
        <v>47</v>
      </c>
      <c r="G1004" s="31" t="s">
        <v>58</v>
      </c>
      <c r="H1004" s="31" t="s">
        <v>177</v>
      </c>
      <c r="I1004" s="32" t="str">
        <f aca="false">INDEX(Productos!$B$2:$B$13,MATCH($H1004,Productos!$A$2:$A$13,0))</f>
        <v>Tirafondo madera 6x100 cabeza plana Torx</v>
      </c>
      <c r="J1004" s="32" t="str">
        <f aca="false">INDEX(Productos!$C$2:$C$13,MATCH($H1004,Productos!$A$2:$A$13,0))</f>
        <v>Madera</v>
      </c>
      <c r="K1004" s="31" t="s">
        <v>246</v>
      </c>
      <c r="L1004" s="46" t="n">
        <v>59</v>
      </c>
      <c r="M1004" s="50" t="n">
        <f aca="false">INDEX(Productos!$F$2:$F$13,MATCH($H1004,Productos!$A$2:$A$13,0))</f>
        <v>34</v>
      </c>
      <c r="N1004" s="51" t="n">
        <v>0.079</v>
      </c>
      <c r="O1004" s="52" t="n">
        <f aca="false">M1004*(1-N1004)</f>
        <v>31.314</v>
      </c>
      <c r="P1004" s="21" t="n">
        <f aca="false">L1004*O1004</f>
        <v>1847.526</v>
      </c>
      <c r="Q1004" s="50" t="n">
        <f aca="false">INDEX(Productos!$E$2:$E$13,MATCH($H1004,Productos!$A$2:$A$13,0))*INDEX(Parametros!$B$26:$B$43,MATCH($C1004,Parametros!$A$26:$A$43,0))</f>
        <v>18.067</v>
      </c>
      <c r="R1004" s="21" t="n">
        <f aca="false">L1004*Q1004</f>
        <v>1065.953</v>
      </c>
      <c r="S1004" s="18" t="n">
        <f aca="false">L1004*INDEX(Parametros!$B$20:$B$22,MATCH($E1004,Parametros!$A$20:$A$22,0))</f>
        <v>50.15</v>
      </c>
      <c r="T1004" s="18" t="n">
        <f aca="false">P1004*INDEX(Parametros!$B$13:$B$16,MATCH($F1004,Parametros!$A$13:$A$16,0))</f>
        <v>64.66341</v>
      </c>
      <c r="U1004" s="21" t="n">
        <f aca="false">P1004-R1004-S1004-T1004</f>
        <v>666.75959</v>
      </c>
      <c r="V1004" s="19" t="n">
        <f aca="false">IFERROR(U1004/P1004,0)</f>
        <v>0.360893210704477</v>
      </c>
      <c r="W1004" s="48" t="n">
        <f aca="false">B1004+INDEX(Parametros!$C$13:$C$16,MATCH($F1004,Parametros!$A$13:$A$16,0))</f>
        <v>46048</v>
      </c>
      <c r="X1004" s="31" t="s">
        <v>67</v>
      </c>
      <c r="Y1004" s="53" t="n">
        <f aca="false">IF(COUNTIF($A$2:$A1004,A1004)=1,1,0)</f>
        <v>1</v>
      </c>
    </row>
    <row r="1005" customFormat="false" ht="15" hidden="false" customHeight="false" outlineLevel="0" collapsed="false">
      <c r="A1005" s="31" t="s">
        <v>784</v>
      </c>
      <c r="B1005" s="36" t="n">
        <v>46003</v>
      </c>
      <c r="C1005" s="49" t="n">
        <f aca="false">DATE(YEAR(B1005),MONTH(B1005),1)</f>
        <v>45992</v>
      </c>
      <c r="D1005" s="31" t="s">
        <v>196</v>
      </c>
      <c r="E1005" s="31" t="s">
        <v>41</v>
      </c>
      <c r="F1005" s="31" t="s">
        <v>47</v>
      </c>
      <c r="G1005" s="31" t="s">
        <v>58</v>
      </c>
      <c r="H1005" s="31" t="s">
        <v>181</v>
      </c>
      <c r="I1005" s="32" t="str">
        <f aca="false">INDEX(Productos!$B$2:$B$13,MATCH($H1005,Productos!$A$2:$A$13,0))</f>
        <v>Autotaladrante 5,5x55 punta broca</v>
      </c>
      <c r="J1005" s="32" t="str">
        <f aca="false">INDEX(Productos!$C$2:$C$13,MATCH($H1005,Productos!$A$2:$A$13,0))</f>
        <v>Autotaladrante</v>
      </c>
      <c r="K1005" s="31" t="s">
        <v>246</v>
      </c>
      <c r="L1005" s="46" t="n">
        <v>78</v>
      </c>
      <c r="M1005" s="50" t="n">
        <f aca="false">INDEX(Productos!$F$2:$F$13,MATCH($H1005,Productos!$A$2:$A$13,0))</f>
        <v>39</v>
      </c>
      <c r="N1005" s="51" t="n">
        <v>0.046</v>
      </c>
      <c r="O1005" s="52" t="n">
        <f aca="false">M1005*(1-N1005)</f>
        <v>37.206</v>
      </c>
      <c r="P1005" s="21" t="n">
        <f aca="false">L1005*O1005</f>
        <v>2902.068</v>
      </c>
      <c r="Q1005" s="50" t="n">
        <f aca="false">INDEX(Productos!$E$2:$E$13,MATCH($H1005,Productos!$A$2:$A$13,0))*INDEX(Parametros!$B$26:$B$43,MATCH($C1005,Parametros!$A$26:$A$43,0))</f>
        <v>20.6045</v>
      </c>
      <c r="R1005" s="21" t="n">
        <f aca="false">L1005*Q1005</f>
        <v>1607.151</v>
      </c>
      <c r="S1005" s="18" t="n">
        <f aca="false">L1005*INDEX(Parametros!$B$20:$B$22,MATCH($E1005,Parametros!$A$20:$A$22,0))</f>
        <v>66.3</v>
      </c>
      <c r="T1005" s="18" t="n">
        <f aca="false">P1005*INDEX(Parametros!$B$13:$B$16,MATCH($F1005,Parametros!$A$13:$A$16,0))</f>
        <v>101.57238</v>
      </c>
      <c r="U1005" s="21" t="n">
        <f aca="false">P1005-R1005-S1005-T1005</f>
        <v>1127.04462</v>
      </c>
      <c r="V1005" s="19" t="n">
        <f aca="false">IFERROR(U1005/P1005,0)</f>
        <v>0.388359135623287</v>
      </c>
      <c r="W1005" s="48" t="n">
        <f aca="false">B1005+INDEX(Parametros!$C$13:$C$16,MATCH($F1005,Parametros!$A$13:$A$16,0))</f>
        <v>46048</v>
      </c>
      <c r="X1005" s="31" t="s">
        <v>69</v>
      </c>
      <c r="Y1005" s="53" t="n">
        <f aca="false">IF(COUNTIF($A$2:$A1005,A1005)=1,1,0)</f>
        <v>0</v>
      </c>
    </row>
    <row r="1006" customFormat="false" ht="15" hidden="false" customHeight="false" outlineLevel="0" collapsed="false">
      <c r="A1006" s="31" t="s">
        <v>784</v>
      </c>
      <c r="B1006" s="36" t="n">
        <v>46003</v>
      </c>
      <c r="C1006" s="49" t="n">
        <f aca="false">DATE(YEAR(B1006),MONTH(B1006),1)</f>
        <v>45992</v>
      </c>
      <c r="D1006" s="31" t="s">
        <v>196</v>
      </c>
      <c r="E1006" s="31" t="s">
        <v>41</v>
      </c>
      <c r="F1006" s="31" t="s">
        <v>47</v>
      </c>
      <c r="G1006" s="31" t="s">
        <v>58</v>
      </c>
      <c r="H1006" s="31" t="s">
        <v>167</v>
      </c>
      <c r="I1006" s="32" t="str">
        <f aca="false">INDEX(Productos!$B$2:$B$13,MATCH($H1006,Productos!$A$2:$A$13,0))</f>
        <v>Tornillo DIN 912 M6x25 Allen zincado</v>
      </c>
      <c r="J1006" s="32" t="str">
        <f aca="false">INDEX(Productos!$C$2:$C$13,MATCH($H1006,Productos!$A$2:$A$13,0))</f>
        <v>Métrica</v>
      </c>
      <c r="K1006" s="31" t="s">
        <v>246</v>
      </c>
      <c r="L1006" s="46" t="n">
        <v>57</v>
      </c>
      <c r="M1006" s="50" t="n">
        <f aca="false">INDEX(Productos!$F$2:$F$13,MATCH($H1006,Productos!$A$2:$A$13,0))</f>
        <v>42</v>
      </c>
      <c r="N1006" s="51" t="n">
        <v>0.068</v>
      </c>
      <c r="O1006" s="52" t="n">
        <f aca="false">M1006*(1-N1006)</f>
        <v>39.144</v>
      </c>
      <c r="P1006" s="21" t="n">
        <f aca="false">L1006*O1006</f>
        <v>2231.208</v>
      </c>
      <c r="Q1006" s="50" t="n">
        <f aca="false">INDEX(Productos!$E$2:$E$13,MATCH($H1006,Productos!$A$2:$A$13,0))*INDEX(Parametros!$B$26:$B$43,MATCH($C1006,Parametros!$A$26:$A$43,0))</f>
        <v>22.127</v>
      </c>
      <c r="R1006" s="21" t="n">
        <f aca="false">L1006*Q1006</f>
        <v>1261.239</v>
      </c>
      <c r="S1006" s="18" t="n">
        <f aca="false">L1006*INDEX(Parametros!$B$20:$B$22,MATCH($E1006,Parametros!$A$20:$A$22,0))</f>
        <v>48.45</v>
      </c>
      <c r="T1006" s="18" t="n">
        <f aca="false">P1006*INDEX(Parametros!$B$13:$B$16,MATCH($F1006,Parametros!$A$13:$A$16,0))</f>
        <v>78.09228</v>
      </c>
      <c r="U1006" s="21" t="n">
        <f aca="false">P1006-R1006-S1006-T1006</f>
        <v>843.42672</v>
      </c>
      <c r="V1006" s="19" t="n">
        <f aca="false">IFERROR(U1006/P1006,0)</f>
        <v>0.378013488657265</v>
      </c>
      <c r="W1006" s="48" t="n">
        <f aca="false">B1006+INDEX(Parametros!$C$13:$C$16,MATCH($F1006,Parametros!$A$13:$A$16,0))</f>
        <v>46048</v>
      </c>
      <c r="X1006" s="31" t="s">
        <v>67</v>
      </c>
      <c r="Y1006" s="53" t="n">
        <f aca="false">IF(COUNTIF($A$2:$A1006,A1006)=1,1,0)</f>
        <v>0</v>
      </c>
    </row>
    <row r="1007" customFormat="false" ht="15" hidden="false" customHeight="false" outlineLevel="0" collapsed="false">
      <c r="A1007" s="31" t="s">
        <v>785</v>
      </c>
      <c r="B1007" s="36" t="n">
        <v>46003</v>
      </c>
      <c r="C1007" s="49" t="n">
        <f aca="false">DATE(YEAR(B1007),MONTH(B1007),1)</f>
        <v>45992</v>
      </c>
      <c r="D1007" s="31" t="s">
        <v>216</v>
      </c>
      <c r="E1007" s="31" t="s">
        <v>42</v>
      </c>
      <c r="F1007" s="31" t="s">
        <v>45</v>
      </c>
      <c r="G1007" s="31" t="s">
        <v>61</v>
      </c>
      <c r="H1007" s="31" t="s">
        <v>171</v>
      </c>
      <c r="I1007" s="32" t="str">
        <f aca="false">INDEX(Productos!$B$2:$B$13,MATCH($H1007,Productos!$A$2:$A$13,0))</f>
        <v>Tornillo DIN 7991 M8x30 avellanado inox A2</v>
      </c>
      <c r="J1007" s="32" t="str">
        <f aca="false">INDEX(Productos!$C$2:$C$13,MATCH($H1007,Productos!$A$2:$A$13,0))</f>
        <v>Inoxidable</v>
      </c>
      <c r="K1007" s="31" t="s">
        <v>246</v>
      </c>
      <c r="L1007" s="46" t="n">
        <v>96</v>
      </c>
      <c r="M1007" s="50" t="n">
        <f aca="false">INDEX(Productos!$F$2:$F$13,MATCH($H1007,Productos!$A$2:$A$13,0))</f>
        <v>88</v>
      </c>
      <c r="N1007" s="51" t="n">
        <v>0.181</v>
      </c>
      <c r="O1007" s="52" t="n">
        <f aca="false">M1007*(1-N1007)</f>
        <v>72.072</v>
      </c>
      <c r="P1007" s="21" t="n">
        <f aca="false">L1007*O1007</f>
        <v>6918.912</v>
      </c>
      <c r="Q1007" s="50" t="n">
        <f aca="false">INDEX(Productos!$E$2:$E$13,MATCH($H1007,Productos!$A$2:$A$13,0))*INDEX(Parametros!$B$26:$B$43,MATCH($C1007,Parametros!$A$26:$A$43,0))</f>
        <v>47.1975</v>
      </c>
      <c r="R1007" s="21" t="n">
        <f aca="false">L1007*Q1007</f>
        <v>4530.96</v>
      </c>
      <c r="S1007" s="18" t="n">
        <f aca="false">L1007*INDEX(Parametros!$B$20:$B$22,MATCH($E1007,Parametros!$A$20:$A$22,0))</f>
        <v>230.4</v>
      </c>
      <c r="T1007" s="18" t="n">
        <f aca="false">P1007*INDEX(Parametros!$B$13:$B$16,MATCH($F1007,Parametros!$A$13:$A$16,0))</f>
        <v>207.56736</v>
      </c>
      <c r="U1007" s="21" t="n">
        <f aca="false">P1007-R1007-S1007-T1007</f>
        <v>1949.98464</v>
      </c>
      <c r="V1007" s="19" t="n">
        <f aca="false">IFERROR(U1007/P1007,0)</f>
        <v>0.281833999333999</v>
      </c>
      <c r="W1007" s="48" t="n">
        <f aca="false">B1007+INDEX(Parametros!$C$13:$C$16,MATCH($F1007,Parametros!$A$13:$A$16,0))</f>
        <v>46063</v>
      </c>
      <c r="X1007" s="31" t="s">
        <v>67</v>
      </c>
      <c r="Y1007" s="53" t="n">
        <f aca="false">IF(COUNTIF($A$2:$A1007,A1007)=1,1,0)</f>
        <v>1</v>
      </c>
    </row>
    <row r="1008" customFormat="false" ht="15" hidden="false" customHeight="false" outlineLevel="0" collapsed="false">
      <c r="A1008" s="31" t="s">
        <v>785</v>
      </c>
      <c r="B1008" s="36" t="n">
        <v>46003</v>
      </c>
      <c r="C1008" s="49" t="n">
        <f aca="false">DATE(YEAR(B1008),MONTH(B1008),1)</f>
        <v>45992</v>
      </c>
      <c r="D1008" s="31" t="s">
        <v>216</v>
      </c>
      <c r="E1008" s="31" t="s">
        <v>42</v>
      </c>
      <c r="F1008" s="31" t="s">
        <v>45</v>
      </c>
      <c r="G1008" s="31" t="s">
        <v>61</v>
      </c>
      <c r="H1008" s="31" t="s">
        <v>169</v>
      </c>
      <c r="I1008" s="32" t="str">
        <f aca="false">INDEX(Productos!$B$2:$B$13,MATCH($H1008,Productos!$A$2:$A$13,0))</f>
        <v>Tornillo DIN 912 M10x60 Allen inox A2</v>
      </c>
      <c r="J1008" s="32" t="str">
        <f aca="false">INDEX(Productos!$C$2:$C$13,MATCH($H1008,Productos!$A$2:$A$13,0))</f>
        <v>Inoxidable</v>
      </c>
      <c r="K1008" s="31" t="s">
        <v>246</v>
      </c>
      <c r="L1008" s="46" t="n">
        <v>302</v>
      </c>
      <c r="M1008" s="50" t="n">
        <f aca="false">INDEX(Productos!$F$2:$F$13,MATCH($H1008,Productos!$A$2:$A$13,0))</f>
        <v>79</v>
      </c>
      <c r="N1008" s="51" t="n">
        <v>0.129</v>
      </c>
      <c r="O1008" s="52" t="n">
        <f aca="false">M1008*(1-N1008)</f>
        <v>68.809</v>
      </c>
      <c r="P1008" s="21" t="n">
        <f aca="false">L1008*O1008</f>
        <v>20780.318</v>
      </c>
      <c r="Q1008" s="50" t="n">
        <f aca="false">INDEX(Productos!$E$2:$E$13,MATCH($H1008,Productos!$A$2:$A$13,0))*INDEX(Parametros!$B$26:$B$43,MATCH($C1008,Parametros!$A$26:$A$43,0))</f>
        <v>42.63</v>
      </c>
      <c r="R1008" s="21" t="n">
        <f aca="false">L1008*Q1008</f>
        <v>12874.26</v>
      </c>
      <c r="S1008" s="18" t="n">
        <f aca="false">L1008*INDEX(Parametros!$B$20:$B$22,MATCH($E1008,Parametros!$A$20:$A$22,0))</f>
        <v>724.8</v>
      </c>
      <c r="T1008" s="18" t="n">
        <f aca="false">P1008*INDEX(Parametros!$B$13:$B$16,MATCH($F1008,Parametros!$A$13:$A$16,0))</f>
        <v>623.40954</v>
      </c>
      <c r="U1008" s="21" t="n">
        <f aca="false">P1008-R1008-S1008-T1008</f>
        <v>6557.84846</v>
      </c>
      <c r="V1008" s="19" t="n">
        <f aca="false">IFERROR(U1008/P1008,0)</f>
        <v>0.315579793340987</v>
      </c>
      <c r="W1008" s="48" t="n">
        <f aca="false">B1008+INDEX(Parametros!$C$13:$C$16,MATCH($F1008,Parametros!$A$13:$A$16,0))</f>
        <v>46063</v>
      </c>
      <c r="X1008" s="31" t="s">
        <v>67</v>
      </c>
      <c r="Y1008" s="53" t="n">
        <f aca="false">IF(COUNTIF($A$2:$A1008,A1008)=1,1,0)</f>
        <v>0</v>
      </c>
    </row>
    <row r="1009" customFormat="false" ht="15" hidden="false" customHeight="false" outlineLevel="0" collapsed="false">
      <c r="A1009" s="31" t="s">
        <v>786</v>
      </c>
      <c r="B1009" s="36" t="n">
        <v>46006</v>
      </c>
      <c r="C1009" s="49" t="n">
        <f aca="false">DATE(YEAR(B1009),MONTH(B1009),1)</f>
        <v>45992</v>
      </c>
      <c r="D1009" s="31" t="s">
        <v>199</v>
      </c>
      <c r="E1009" s="31" t="s">
        <v>41</v>
      </c>
      <c r="F1009" s="31" t="s">
        <v>45</v>
      </c>
      <c r="G1009" s="31" t="s">
        <v>58</v>
      </c>
      <c r="H1009" s="31" t="s">
        <v>179</v>
      </c>
      <c r="I1009" s="32" t="str">
        <f aca="false">INDEX(Productos!$B$2:$B$13,MATCH($H1009,Productos!$A$2:$A$13,0))</f>
        <v>Autotaladrante DIN 7504 4,8x38 zincado</v>
      </c>
      <c r="J1009" s="32" t="str">
        <f aca="false">INDEX(Productos!$C$2:$C$13,MATCH($H1009,Productos!$A$2:$A$13,0))</f>
        <v>Autotaladrante</v>
      </c>
      <c r="K1009" s="31" t="s">
        <v>246</v>
      </c>
      <c r="L1009" s="46" t="n">
        <v>117</v>
      </c>
      <c r="M1009" s="50" t="n">
        <f aca="false">INDEX(Productos!$F$2:$F$13,MATCH($H1009,Productos!$A$2:$A$13,0))</f>
        <v>29.5</v>
      </c>
      <c r="N1009" s="51" t="n">
        <v>0.161</v>
      </c>
      <c r="O1009" s="52" t="n">
        <f aca="false">M1009*(1-N1009)</f>
        <v>24.7505</v>
      </c>
      <c r="P1009" s="21" t="n">
        <f aca="false">L1009*O1009</f>
        <v>2895.8085</v>
      </c>
      <c r="Q1009" s="50" t="n">
        <f aca="false">INDEX(Productos!$E$2:$E$13,MATCH($H1009,Productos!$A$2:$A$13,0))*INDEX(Parametros!$B$26:$B$43,MATCH($C1009,Parametros!$A$26:$A$43,0))</f>
        <v>15.428</v>
      </c>
      <c r="R1009" s="21" t="n">
        <f aca="false">L1009*Q1009</f>
        <v>1805.076</v>
      </c>
      <c r="S1009" s="18" t="n">
        <f aca="false">L1009*INDEX(Parametros!$B$20:$B$22,MATCH($E1009,Parametros!$A$20:$A$22,0))</f>
        <v>99.45</v>
      </c>
      <c r="T1009" s="18" t="n">
        <f aca="false">P1009*INDEX(Parametros!$B$13:$B$16,MATCH($F1009,Parametros!$A$13:$A$16,0))</f>
        <v>86.874255</v>
      </c>
      <c r="U1009" s="21" t="n">
        <f aca="false">P1009-R1009-S1009-T1009</f>
        <v>904.408245</v>
      </c>
      <c r="V1009" s="19" t="n">
        <f aca="false">IFERROR(U1009/P1009,0)</f>
        <v>0.312316316842084</v>
      </c>
      <c r="W1009" s="48" t="n">
        <f aca="false">B1009+INDEX(Parametros!$C$13:$C$16,MATCH($F1009,Parametros!$A$13:$A$16,0))</f>
        <v>46066</v>
      </c>
      <c r="X1009" s="31" t="s">
        <v>67</v>
      </c>
      <c r="Y1009" s="53" t="n">
        <f aca="false">IF(COUNTIF($A$2:$A1009,A1009)=1,1,0)</f>
        <v>1</v>
      </c>
    </row>
    <row r="1010" customFormat="false" ht="15" hidden="false" customHeight="false" outlineLevel="0" collapsed="false">
      <c r="A1010" s="31" t="s">
        <v>787</v>
      </c>
      <c r="B1010" s="36" t="n">
        <v>46006</v>
      </c>
      <c r="C1010" s="49" t="n">
        <f aca="false">DATE(YEAR(B1010),MONTH(B1010),1)</f>
        <v>45992</v>
      </c>
      <c r="D1010" s="31" t="s">
        <v>216</v>
      </c>
      <c r="E1010" s="31" t="s">
        <v>42</v>
      </c>
      <c r="F1010" s="31" t="s">
        <v>45</v>
      </c>
      <c r="G1010" s="31" t="s">
        <v>61</v>
      </c>
      <c r="H1010" s="31" t="s">
        <v>179</v>
      </c>
      <c r="I1010" s="32" t="str">
        <f aca="false">INDEX(Productos!$B$2:$B$13,MATCH($H1010,Productos!$A$2:$A$13,0))</f>
        <v>Autotaladrante DIN 7504 4,8x38 zincado</v>
      </c>
      <c r="J1010" s="32" t="str">
        <f aca="false">INDEX(Productos!$C$2:$C$13,MATCH($H1010,Productos!$A$2:$A$13,0))</f>
        <v>Autotaladrante</v>
      </c>
      <c r="K1010" s="31" t="s">
        <v>246</v>
      </c>
      <c r="L1010" s="46" t="n">
        <v>116</v>
      </c>
      <c r="M1010" s="50" t="n">
        <f aca="false">INDEX(Productos!$F$2:$F$13,MATCH($H1010,Productos!$A$2:$A$13,0))</f>
        <v>29.5</v>
      </c>
      <c r="N1010" s="51" t="n">
        <v>0.203</v>
      </c>
      <c r="O1010" s="52" t="n">
        <f aca="false">M1010*(1-N1010)</f>
        <v>23.5115</v>
      </c>
      <c r="P1010" s="21" t="n">
        <f aca="false">L1010*O1010</f>
        <v>2727.334</v>
      </c>
      <c r="Q1010" s="50" t="n">
        <f aca="false">INDEX(Productos!$E$2:$E$13,MATCH($H1010,Productos!$A$2:$A$13,0))*INDEX(Parametros!$B$26:$B$43,MATCH($C1010,Parametros!$A$26:$A$43,0))</f>
        <v>15.428</v>
      </c>
      <c r="R1010" s="21" t="n">
        <f aca="false">L1010*Q1010</f>
        <v>1789.648</v>
      </c>
      <c r="S1010" s="18" t="n">
        <f aca="false">L1010*INDEX(Parametros!$B$20:$B$22,MATCH($E1010,Parametros!$A$20:$A$22,0))</f>
        <v>278.4</v>
      </c>
      <c r="T1010" s="18" t="n">
        <f aca="false">P1010*INDEX(Parametros!$B$13:$B$16,MATCH($F1010,Parametros!$A$13:$A$16,0))</f>
        <v>81.82002</v>
      </c>
      <c r="U1010" s="21" t="n">
        <f aca="false">P1010-R1010-S1010-T1010</f>
        <v>577.46598</v>
      </c>
      <c r="V1010" s="19" t="n">
        <f aca="false">IFERROR(U1010/P1010,0)</f>
        <v>0.211732769070455</v>
      </c>
      <c r="W1010" s="48" t="n">
        <f aca="false">B1010+INDEX(Parametros!$C$13:$C$16,MATCH($F1010,Parametros!$A$13:$A$16,0))</f>
        <v>46066</v>
      </c>
      <c r="X1010" s="31" t="s">
        <v>67</v>
      </c>
      <c r="Y1010" s="53" t="n">
        <f aca="false">IF(COUNTIF($A$2:$A1010,A1010)=1,1,0)</f>
        <v>1</v>
      </c>
    </row>
    <row r="1011" customFormat="false" ht="15" hidden="false" customHeight="false" outlineLevel="0" collapsed="false">
      <c r="A1011" s="31" t="s">
        <v>788</v>
      </c>
      <c r="B1011" s="36" t="n">
        <v>46006</v>
      </c>
      <c r="C1011" s="49" t="n">
        <f aca="false">DATE(YEAR(B1011),MONTH(B1011),1)</f>
        <v>45992</v>
      </c>
      <c r="D1011" s="31" t="s">
        <v>200</v>
      </c>
      <c r="E1011" s="31" t="s">
        <v>41</v>
      </c>
      <c r="F1011" s="31" t="s">
        <v>45</v>
      </c>
      <c r="G1011" s="31" t="s">
        <v>62</v>
      </c>
      <c r="H1011" s="31" t="s">
        <v>173</v>
      </c>
      <c r="I1011" s="32" t="str">
        <f aca="false">INDEX(Productos!$B$2:$B$13,MATCH($H1011,Productos!$A$2:$A$13,0))</f>
        <v>Tornillo DIN 933 M12x70 clase 8.8</v>
      </c>
      <c r="J1011" s="32" t="str">
        <f aca="false">INDEX(Productos!$C$2:$C$13,MATCH($H1011,Productos!$A$2:$A$13,0))</f>
        <v>Métrica</v>
      </c>
      <c r="K1011" s="31" t="s">
        <v>246</v>
      </c>
      <c r="L1011" s="46" t="n">
        <v>134</v>
      </c>
      <c r="M1011" s="50" t="n">
        <f aca="false">INDEX(Productos!$F$2:$F$13,MATCH($H1011,Productos!$A$2:$A$13,0))</f>
        <v>64</v>
      </c>
      <c r="N1011" s="51" t="n">
        <v>0.189</v>
      </c>
      <c r="O1011" s="52" t="n">
        <f aca="false">M1011*(1-N1011)</f>
        <v>51.904</v>
      </c>
      <c r="P1011" s="21" t="n">
        <f aca="false">L1011*O1011</f>
        <v>6955.136</v>
      </c>
      <c r="Q1011" s="50" t="n">
        <f aca="false">INDEX(Productos!$E$2:$E$13,MATCH($H1011,Productos!$A$2:$A$13,0))*INDEX(Parametros!$B$26:$B$43,MATCH($C1011,Parametros!$A$26:$A$43,0))</f>
        <v>34.0025</v>
      </c>
      <c r="R1011" s="21" t="n">
        <f aca="false">L1011*Q1011</f>
        <v>4556.335</v>
      </c>
      <c r="S1011" s="18" t="n">
        <f aca="false">L1011*INDEX(Parametros!$B$20:$B$22,MATCH($E1011,Parametros!$A$20:$A$22,0))</f>
        <v>113.9</v>
      </c>
      <c r="T1011" s="18" t="n">
        <f aca="false">P1011*INDEX(Parametros!$B$13:$B$16,MATCH($F1011,Parametros!$A$13:$A$16,0))</f>
        <v>208.65408</v>
      </c>
      <c r="U1011" s="21" t="n">
        <f aca="false">P1011-R1011-S1011-T1011</f>
        <v>2076.24692</v>
      </c>
      <c r="V1011" s="19" t="n">
        <f aca="false">IFERROR(U1011/P1011,0)</f>
        <v>0.298519959926017</v>
      </c>
      <c r="W1011" s="48" t="n">
        <f aca="false">B1011+INDEX(Parametros!$C$13:$C$16,MATCH($F1011,Parametros!$A$13:$A$16,0))</f>
        <v>46066</v>
      </c>
      <c r="X1011" s="31" t="s">
        <v>67</v>
      </c>
      <c r="Y1011" s="53" t="n">
        <f aca="false">IF(COUNTIF($A$2:$A1011,A1011)=1,1,0)</f>
        <v>1</v>
      </c>
    </row>
    <row r="1012" customFormat="false" ht="15" hidden="false" customHeight="false" outlineLevel="0" collapsed="false">
      <c r="A1012" s="31" t="s">
        <v>789</v>
      </c>
      <c r="B1012" s="36" t="n">
        <v>46007</v>
      </c>
      <c r="C1012" s="49" t="n">
        <f aca="false">DATE(YEAR(B1012),MONTH(B1012),1)</f>
        <v>45992</v>
      </c>
      <c r="D1012" s="31" t="s">
        <v>224</v>
      </c>
      <c r="E1012" s="31" t="s">
        <v>43</v>
      </c>
      <c r="F1012" s="31" t="s">
        <v>45</v>
      </c>
      <c r="G1012" s="31" t="s">
        <v>59</v>
      </c>
      <c r="H1012" s="31" t="s">
        <v>175</v>
      </c>
      <c r="I1012" s="32" t="str">
        <f aca="false">INDEX(Productos!$B$2:$B$13,MATCH($H1012,Productos!$A$2:$A$13,0))</f>
        <v>Tirafondo madera 5x60 cabeza plana Torx</v>
      </c>
      <c r="J1012" s="32" t="str">
        <f aca="false">INDEX(Productos!$C$2:$C$13,MATCH($H1012,Productos!$A$2:$A$13,0))</f>
        <v>Madera</v>
      </c>
      <c r="K1012" s="31" t="s">
        <v>246</v>
      </c>
      <c r="L1012" s="46" t="n">
        <v>110</v>
      </c>
      <c r="M1012" s="50" t="n">
        <f aca="false">INDEX(Productos!$F$2:$F$13,MATCH($H1012,Productos!$A$2:$A$13,0))</f>
        <v>26</v>
      </c>
      <c r="N1012" s="51" t="n">
        <v>0.183</v>
      </c>
      <c r="O1012" s="52" t="n">
        <f aca="false">M1012*(1-N1012)</f>
        <v>21.242</v>
      </c>
      <c r="P1012" s="21" t="n">
        <f aca="false">L1012*O1012</f>
        <v>2336.62</v>
      </c>
      <c r="Q1012" s="50" t="n">
        <f aca="false">INDEX(Productos!$E$2:$E$13,MATCH($H1012,Productos!$A$2:$A$13,0))*INDEX(Parametros!$B$26:$B$43,MATCH($C1012,Parametros!$A$26:$A$43,0))</f>
        <v>13.601</v>
      </c>
      <c r="R1012" s="21" t="n">
        <f aca="false">L1012*Q1012</f>
        <v>1496.11</v>
      </c>
      <c r="S1012" s="18" t="n">
        <f aca="false">L1012*INDEX(Parametros!$B$20:$B$22,MATCH($E1012,Parametros!$A$20:$A$22,0))</f>
        <v>209</v>
      </c>
      <c r="T1012" s="18" t="n">
        <f aca="false">P1012*INDEX(Parametros!$B$13:$B$16,MATCH($F1012,Parametros!$A$13:$A$16,0))</f>
        <v>70.0986</v>
      </c>
      <c r="U1012" s="21" t="n">
        <f aca="false">P1012-R1012-S1012-T1012</f>
        <v>561.4114</v>
      </c>
      <c r="V1012" s="19" t="n">
        <f aca="false">IFERROR(U1012/P1012,0)</f>
        <v>0.240266453252989</v>
      </c>
      <c r="W1012" s="48" t="n">
        <f aca="false">B1012+INDEX(Parametros!$C$13:$C$16,MATCH($F1012,Parametros!$A$13:$A$16,0))</f>
        <v>46067</v>
      </c>
      <c r="X1012" s="31" t="s">
        <v>67</v>
      </c>
      <c r="Y1012" s="53" t="n">
        <f aca="false">IF(COUNTIF($A$2:$A1012,A1012)=1,1,0)</f>
        <v>1</v>
      </c>
    </row>
    <row r="1013" customFormat="false" ht="15" hidden="false" customHeight="false" outlineLevel="0" collapsed="false">
      <c r="A1013" s="31" t="s">
        <v>789</v>
      </c>
      <c r="B1013" s="36" t="n">
        <v>46007</v>
      </c>
      <c r="C1013" s="49" t="n">
        <f aca="false">DATE(YEAR(B1013),MONTH(B1013),1)</f>
        <v>45992</v>
      </c>
      <c r="D1013" s="31" t="s">
        <v>224</v>
      </c>
      <c r="E1013" s="31" t="s">
        <v>43</v>
      </c>
      <c r="F1013" s="31" t="s">
        <v>45</v>
      </c>
      <c r="G1013" s="31" t="s">
        <v>59</v>
      </c>
      <c r="H1013" s="31" t="s">
        <v>163</v>
      </c>
      <c r="I1013" s="32" t="str">
        <f aca="false">INDEX(Productos!$B$2:$B$13,MATCH($H1013,Productos!$A$2:$A$13,0))</f>
        <v>Tornillo DIN 933 M6x30 rosca completa zincado</v>
      </c>
      <c r="J1013" s="32" t="str">
        <f aca="false">INDEX(Productos!$C$2:$C$13,MATCH($H1013,Productos!$A$2:$A$13,0))</f>
        <v>Métrica</v>
      </c>
      <c r="K1013" s="31" t="s">
        <v>246</v>
      </c>
      <c r="L1013" s="46" t="n">
        <v>99</v>
      </c>
      <c r="M1013" s="50" t="n">
        <f aca="false">INDEX(Productos!$F$2:$F$13,MATCH($H1013,Productos!$A$2:$A$13,0))</f>
        <v>32</v>
      </c>
      <c r="N1013" s="51" t="n">
        <v>0.177</v>
      </c>
      <c r="O1013" s="52" t="n">
        <f aca="false">M1013*(1-N1013)</f>
        <v>26.336</v>
      </c>
      <c r="P1013" s="21" t="n">
        <f aca="false">L1013*O1013</f>
        <v>2607.264</v>
      </c>
      <c r="Q1013" s="50" t="n">
        <f aca="false">INDEX(Productos!$E$2:$E$13,MATCH($H1013,Productos!$A$2:$A$13,0))*INDEX(Parametros!$B$26:$B$43,MATCH($C1013,Parametros!$A$26:$A$43,0))</f>
        <v>16.849</v>
      </c>
      <c r="R1013" s="21" t="n">
        <f aca="false">L1013*Q1013</f>
        <v>1668.051</v>
      </c>
      <c r="S1013" s="18" t="n">
        <f aca="false">L1013*INDEX(Parametros!$B$20:$B$22,MATCH($E1013,Parametros!$A$20:$A$22,0))</f>
        <v>188.1</v>
      </c>
      <c r="T1013" s="18" t="n">
        <f aca="false">P1013*INDEX(Parametros!$B$13:$B$16,MATCH($F1013,Parametros!$A$13:$A$16,0))</f>
        <v>78.21792</v>
      </c>
      <c r="U1013" s="21" t="n">
        <f aca="false">P1013-R1013-S1013-T1013</f>
        <v>672.89508</v>
      </c>
      <c r="V1013" s="19" t="n">
        <f aca="false">IFERROR(U1013/P1013,0)</f>
        <v>0.2580847509113</v>
      </c>
      <c r="W1013" s="48" t="n">
        <f aca="false">B1013+INDEX(Parametros!$C$13:$C$16,MATCH($F1013,Parametros!$A$13:$A$16,0))</f>
        <v>46067</v>
      </c>
      <c r="X1013" s="31" t="s">
        <v>67</v>
      </c>
      <c r="Y1013" s="53" t="n">
        <f aca="false">IF(COUNTIF($A$2:$A1013,A1013)=1,1,0)</f>
        <v>0</v>
      </c>
    </row>
    <row r="1014" customFormat="false" ht="15" hidden="false" customHeight="false" outlineLevel="0" collapsed="false">
      <c r="A1014" s="31" t="s">
        <v>789</v>
      </c>
      <c r="B1014" s="36" t="n">
        <v>46007</v>
      </c>
      <c r="C1014" s="49" t="n">
        <f aca="false">DATE(YEAR(B1014),MONTH(B1014),1)</f>
        <v>45992</v>
      </c>
      <c r="D1014" s="31" t="s">
        <v>224</v>
      </c>
      <c r="E1014" s="31" t="s">
        <v>43</v>
      </c>
      <c r="F1014" s="31" t="s">
        <v>45</v>
      </c>
      <c r="G1014" s="31" t="s">
        <v>59</v>
      </c>
      <c r="H1014" s="31" t="s">
        <v>167</v>
      </c>
      <c r="I1014" s="32" t="str">
        <f aca="false">INDEX(Productos!$B$2:$B$13,MATCH($H1014,Productos!$A$2:$A$13,0))</f>
        <v>Tornillo DIN 912 M6x25 Allen zincado</v>
      </c>
      <c r="J1014" s="32" t="str">
        <f aca="false">INDEX(Productos!$C$2:$C$13,MATCH($H1014,Productos!$A$2:$A$13,0))</f>
        <v>Métrica</v>
      </c>
      <c r="K1014" s="31" t="s">
        <v>246</v>
      </c>
      <c r="L1014" s="46" t="n">
        <v>57</v>
      </c>
      <c r="M1014" s="50" t="n">
        <f aca="false">INDEX(Productos!$F$2:$F$13,MATCH($H1014,Productos!$A$2:$A$13,0))</f>
        <v>42</v>
      </c>
      <c r="N1014" s="51" t="n">
        <v>0.165</v>
      </c>
      <c r="O1014" s="52" t="n">
        <f aca="false">M1014*(1-N1014)</f>
        <v>35.07</v>
      </c>
      <c r="P1014" s="21" t="n">
        <f aca="false">L1014*O1014</f>
        <v>1998.99</v>
      </c>
      <c r="Q1014" s="50" t="n">
        <f aca="false">INDEX(Productos!$E$2:$E$13,MATCH($H1014,Productos!$A$2:$A$13,0))*INDEX(Parametros!$B$26:$B$43,MATCH($C1014,Parametros!$A$26:$A$43,0))</f>
        <v>22.127</v>
      </c>
      <c r="R1014" s="21" t="n">
        <f aca="false">L1014*Q1014</f>
        <v>1261.239</v>
      </c>
      <c r="S1014" s="18" t="n">
        <f aca="false">L1014*INDEX(Parametros!$B$20:$B$22,MATCH($E1014,Parametros!$A$20:$A$22,0))</f>
        <v>108.3</v>
      </c>
      <c r="T1014" s="18" t="n">
        <f aca="false">P1014*INDEX(Parametros!$B$13:$B$16,MATCH($F1014,Parametros!$A$13:$A$16,0))</f>
        <v>59.9697</v>
      </c>
      <c r="U1014" s="21" t="n">
        <f aca="false">P1014-R1014-S1014-T1014</f>
        <v>569.4813</v>
      </c>
      <c r="V1014" s="19" t="n">
        <f aca="false">IFERROR(U1014/P1014,0)</f>
        <v>0.284884516680924</v>
      </c>
      <c r="W1014" s="48" t="n">
        <f aca="false">B1014+INDEX(Parametros!$C$13:$C$16,MATCH($F1014,Parametros!$A$13:$A$16,0))</f>
        <v>46067</v>
      </c>
      <c r="X1014" s="31" t="s">
        <v>67</v>
      </c>
      <c r="Y1014" s="53" t="n">
        <f aca="false">IF(COUNTIF($A$2:$A1014,A1014)=1,1,0)</f>
        <v>0</v>
      </c>
    </row>
    <row r="1015" customFormat="false" ht="15" hidden="false" customHeight="false" outlineLevel="0" collapsed="false">
      <c r="A1015" s="31" t="s">
        <v>789</v>
      </c>
      <c r="B1015" s="36" t="n">
        <v>46007</v>
      </c>
      <c r="C1015" s="49" t="n">
        <f aca="false">DATE(YEAR(B1015),MONTH(B1015),1)</f>
        <v>45992</v>
      </c>
      <c r="D1015" s="31" t="s">
        <v>224</v>
      </c>
      <c r="E1015" s="31" t="s">
        <v>43</v>
      </c>
      <c r="F1015" s="31" t="s">
        <v>45</v>
      </c>
      <c r="G1015" s="31" t="s">
        <v>59</v>
      </c>
      <c r="H1015" s="31" t="s">
        <v>177</v>
      </c>
      <c r="I1015" s="32" t="str">
        <f aca="false">INDEX(Productos!$B$2:$B$13,MATCH($H1015,Productos!$A$2:$A$13,0))</f>
        <v>Tirafondo madera 6x100 cabeza plana Torx</v>
      </c>
      <c r="J1015" s="32" t="str">
        <f aca="false">INDEX(Productos!$C$2:$C$13,MATCH($H1015,Productos!$A$2:$A$13,0))</f>
        <v>Madera</v>
      </c>
      <c r="K1015" s="31" t="s">
        <v>246</v>
      </c>
      <c r="L1015" s="46" t="n">
        <v>311</v>
      </c>
      <c r="M1015" s="50" t="n">
        <f aca="false">INDEX(Productos!$F$2:$F$13,MATCH($H1015,Productos!$A$2:$A$13,0))</f>
        <v>34</v>
      </c>
      <c r="N1015" s="51" t="n">
        <v>0.198</v>
      </c>
      <c r="O1015" s="52" t="n">
        <f aca="false">M1015*(1-N1015)</f>
        <v>27.268</v>
      </c>
      <c r="P1015" s="21" t="n">
        <f aca="false">L1015*O1015</f>
        <v>8480.348</v>
      </c>
      <c r="Q1015" s="50" t="n">
        <f aca="false">INDEX(Productos!$E$2:$E$13,MATCH($H1015,Productos!$A$2:$A$13,0))*INDEX(Parametros!$B$26:$B$43,MATCH($C1015,Parametros!$A$26:$A$43,0))</f>
        <v>18.067</v>
      </c>
      <c r="R1015" s="21" t="n">
        <f aca="false">L1015*Q1015</f>
        <v>5618.837</v>
      </c>
      <c r="S1015" s="18" t="n">
        <f aca="false">L1015*INDEX(Parametros!$B$20:$B$22,MATCH($E1015,Parametros!$A$20:$A$22,0))</f>
        <v>590.9</v>
      </c>
      <c r="T1015" s="18" t="n">
        <f aca="false">P1015*INDEX(Parametros!$B$13:$B$16,MATCH($F1015,Parametros!$A$13:$A$16,0))</f>
        <v>254.41044</v>
      </c>
      <c r="U1015" s="21" t="n">
        <f aca="false">P1015-R1015-S1015-T1015</f>
        <v>2016.20056</v>
      </c>
      <c r="V1015" s="19" t="n">
        <f aca="false">IFERROR(U1015/P1015,0)</f>
        <v>0.237749743288837</v>
      </c>
      <c r="W1015" s="48" t="n">
        <f aca="false">B1015+INDEX(Parametros!$C$13:$C$16,MATCH($F1015,Parametros!$A$13:$A$16,0))</f>
        <v>46067</v>
      </c>
      <c r="X1015" s="31" t="s">
        <v>67</v>
      </c>
      <c r="Y1015" s="53" t="n">
        <f aca="false">IF(COUNTIF($A$2:$A1015,A1015)=1,1,0)</f>
        <v>0</v>
      </c>
    </row>
    <row r="1016" customFormat="false" ht="15" hidden="false" customHeight="false" outlineLevel="0" collapsed="false">
      <c r="A1016" s="31" t="s">
        <v>790</v>
      </c>
      <c r="B1016" s="36" t="n">
        <v>46009</v>
      </c>
      <c r="C1016" s="49" t="n">
        <f aca="false">DATE(YEAR(B1016),MONTH(B1016),1)</f>
        <v>45992</v>
      </c>
      <c r="D1016" s="31" t="s">
        <v>223</v>
      </c>
      <c r="E1016" s="31" t="s">
        <v>43</v>
      </c>
      <c r="F1016" s="31" t="s">
        <v>46</v>
      </c>
      <c r="G1016" s="31" t="s">
        <v>59</v>
      </c>
      <c r="H1016" s="31" t="s">
        <v>175</v>
      </c>
      <c r="I1016" s="32" t="str">
        <f aca="false">INDEX(Productos!$B$2:$B$13,MATCH($H1016,Productos!$A$2:$A$13,0))</f>
        <v>Tirafondo madera 5x60 cabeza plana Torx</v>
      </c>
      <c r="J1016" s="32" t="str">
        <f aca="false">INDEX(Productos!$C$2:$C$13,MATCH($H1016,Productos!$A$2:$A$13,0))</f>
        <v>Madera</v>
      </c>
      <c r="K1016" s="31" t="s">
        <v>246</v>
      </c>
      <c r="L1016" s="46" t="n">
        <v>170</v>
      </c>
      <c r="M1016" s="50" t="n">
        <f aca="false">INDEX(Productos!$F$2:$F$13,MATCH($H1016,Productos!$A$2:$A$13,0))</f>
        <v>26</v>
      </c>
      <c r="N1016" s="51" t="n">
        <v>0.12</v>
      </c>
      <c r="O1016" s="52" t="n">
        <f aca="false">M1016*(1-N1016)</f>
        <v>22.88</v>
      </c>
      <c r="P1016" s="21" t="n">
        <f aca="false">L1016*O1016</f>
        <v>3889.6</v>
      </c>
      <c r="Q1016" s="50" t="n">
        <f aca="false">INDEX(Productos!$E$2:$E$13,MATCH($H1016,Productos!$A$2:$A$13,0))*INDEX(Parametros!$B$26:$B$43,MATCH($C1016,Parametros!$A$26:$A$43,0))</f>
        <v>13.601</v>
      </c>
      <c r="R1016" s="21" t="n">
        <f aca="false">L1016*Q1016</f>
        <v>2312.17</v>
      </c>
      <c r="S1016" s="18" t="n">
        <f aca="false">L1016*INDEX(Parametros!$B$20:$B$22,MATCH($E1016,Parametros!$A$20:$A$22,0))</f>
        <v>323</v>
      </c>
      <c r="T1016" s="18" t="n">
        <f aca="false">P1016*INDEX(Parametros!$B$13:$B$16,MATCH($F1016,Parametros!$A$13:$A$16,0))</f>
        <v>155.584</v>
      </c>
      <c r="U1016" s="21" t="n">
        <f aca="false">P1016-R1016-S1016-T1016</f>
        <v>1098.846</v>
      </c>
      <c r="V1016" s="19" t="n">
        <f aca="false">IFERROR(U1016/P1016,0)</f>
        <v>0.282508741258741</v>
      </c>
      <c r="W1016" s="48" t="n">
        <f aca="false">B1016+INDEX(Parametros!$C$13:$C$16,MATCH($F1016,Parametros!$A$13:$A$16,0))</f>
        <v>46084</v>
      </c>
      <c r="X1016" s="31" t="s">
        <v>67</v>
      </c>
      <c r="Y1016" s="53" t="n">
        <f aca="false">IF(COUNTIF($A$2:$A1016,A1016)=1,1,0)</f>
        <v>1</v>
      </c>
    </row>
    <row r="1017" customFormat="false" ht="15" hidden="false" customHeight="false" outlineLevel="0" collapsed="false">
      <c r="A1017" s="31" t="s">
        <v>790</v>
      </c>
      <c r="B1017" s="36" t="n">
        <v>46009</v>
      </c>
      <c r="C1017" s="49" t="n">
        <f aca="false">DATE(YEAR(B1017),MONTH(B1017),1)</f>
        <v>45992</v>
      </c>
      <c r="D1017" s="31" t="s">
        <v>223</v>
      </c>
      <c r="E1017" s="31" t="s">
        <v>43</v>
      </c>
      <c r="F1017" s="31" t="s">
        <v>46</v>
      </c>
      <c r="G1017" s="31" t="s">
        <v>59</v>
      </c>
      <c r="H1017" s="31" t="s">
        <v>183</v>
      </c>
      <c r="I1017" s="32" t="str">
        <f aca="false">INDEX(Productos!$B$2:$B$13,MATCH($H1017,Productos!$A$2:$A$13,0))</f>
        <v>Tornillo estructural M16x90 clase 10.9</v>
      </c>
      <c r="J1017" s="32" t="str">
        <f aca="false">INDEX(Productos!$C$2:$C$13,MATCH($H1017,Productos!$A$2:$A$13,0))</f>
        <v>Especial</v>
      </c>
      <c r="K1017" s="31" t="s">
        <v>246</v>
      </c>
      <c r="L1017" s="46" t="n">
        <v>226</v>
      </c>
      <c r="M1017" s="50" t="n">
        <f aca="false">INDEX(Productos!$F$2:$F$13,MATCH($H1017,Productos!$A$2:$A$13,0))</f>
        <v>112</v>
      </c>
      <c r="N1017" s="51" t="n">
        <v>0.161</v>
      </c>
      <c r="O1017" s="52" t="n">
        <f aca="false">M1017*(1-N1017)</f>
        <v>93.968</v>
      </c>
      <c r="P1017" s="21" t="n">
        <f aca="false">L1017*O1017</f>
        <v>21236.768</v>
      </c>
      <c r="Q1017" s="50" t="n">
        <f aca="false">INDEX(Productos!$E$2:$E$13,MATCH($H1017,Productos!$A$2:$A$13,0))*INDEX(Parametros!$B$26:$B$43,MATCH($C1017,Parametros!$A$26:$A$43,0))</f>
        <v>60.9</v>
      </c>
      <c r="R1017" s="21" t="n">
        <f aca="false">L1017*Q1017</f>
        <v>13763.4</v>
      </c>
      <c r="S1017" s="18" t="n">
        <f aca="false">L1017*INDEX(Parametros!$B$20:$B$22,MATCH($E1017,Parametros!$A$20:$A$22,0))</f>
        <v>429.4</v>
      </c>
      <c r="T1017" s="18" t="n">
        <f aca="false">P1017*INDEX(Parametros!$B$13:$B$16,MATCH($F1017,Parametros!$A$13:$A$16,0))</f>
        <v>849.47072</v>
      </c>
      <c r="U1017" s="21" t="n">
        <f aca="false">P1017-R1017-S1017-T1017</f>
        <v>6194.49728</v>
      </c>
      <c r="V1017" s="19" t="n">
        <f aca="false">IFERROR(U1017/P1017,0)</f>
        <v>0.291687382938873</v>
      </c>
      <c r="W1017" s="48" t="n">
        <f aca="false">B1017+INDEX(Parametros!$C$13:$C$16,MATCH($F1017,Parametros!$A$13:$A$16,0))</f>
        <v>46084</v>
      </c>
      <c r="X1017" s="31" t="s">
        <v>67</v>
      </c>
      <c r="Y1017" s="53" t="n">
        <f aca="false">IF(COUNTIF($A$2:$A1017,A1017)=1,1,0)</f>
        <v>0</v>
      </c>
    </row>
    <row r="1018" customFormat="false" ht="15" hidden="false" customHeight="false" outlineLevel="0" collapsed="false">
      <c r="A1018" s="31" t="s">
        <v>791</v>
      </c>
      <c r="B1018" s="36" t="n">
        <v>46009</v>
      </c>
      <c r="C1018" s="49" t="n">
        <f aca="false">DATE(YEAR(B1018),MONTH(B1018),1)</f>
        <v>45992</v>
      </c>
      <c r="D1018" s="31" t="s">
        <v>191</v>
      </c>
      <c r="E1018" s="31" t="s">
        <v>41</v>
      </c>
      <c r="F1018" s="31" t="s">
        <v>47</v>
      </c>
      <c r="G1018" s="31" t="s">
        <v>58</v>
      </c>
      <c r="H1018" s="31" t="s">
        <v>171</v>
      </c>
      <c r="I1018" s="32" t="str">
        <f aca="false">INDEX(Productos!$B$2:$B$13,MATCH($H1018,Productos!$A$2:$A$13,0))</f>
        <v>Tornillo DIN 7991 M8x30 avellanado inox A2</v>
      </c>
      <c r="J1018" s="32" t="str">
        <f aca="false">INDEX(Productos!$C$2:$C$13,MATCH($H1018,Productos!$A$2:$A$13,0))</f>
        <v>Inoxidable</v>
      </c>
      <c r="K1018" s="31" t="s">
        <v>246</v>
      </c>
      <c r="L1018" s="46" t="n">
        <v>22</v>
      </c>
      <c r="M1018" s="50" t="n">
        <f aca="false">INDEX(Productos!$F$2:$F$13,MATCH($H1018,Productos!$A$2:$A$13,0))</f>
        <v>88</v>
      </c>
      <c r="N1018" s="51" t="n">
        <v>0.07</v>
      </c>
      <c r="O1018" s="52" t="n">
        <f aca="false">M1018*(1-N1018)</f>
        <v>81.84</v>
      </c>
      <c r="P1018" s="21" t="n">
        <f aca="false">L1018*O1018</f>
        <v>1800.48</v>
      </c>
      <c r="Q1018" s="50" t="n">
        <f aca="false">INDEX(Productos!$E$2:$E$13,MATCH($H1018,Productos!$A$2:$A$13,0))*INDEX(Parametros!$B$26:$B$43,MATCH($C1018,Parametros!$A$26:$A$43,0))</f>
        <v>47.1975</v>
      </c>
      <c r="R1018" s="21" t="n">
        <f aca="false">L1018*Q1018</f>
        <v>1038.345</v>
      </c>
      <c r="S1018" s="18" t="n">
        <f aca="false">L1018*INDEX(Parametros!$B$20:$B$22,MATCH($E1018,Parametros!$A$20:$A$22,0))</f>
        <v>18.7</v>
      </c>
      <c r="T1018" s="18" t="n">
        <f aca="false">P1018*INDEX(Parametros!$B$13:$B$16,MATCH($F1018,Parametros!$A$13:$A$16,0))</f>
        <v>63.0168</v>
      </c>
      <c r="U1018" s="21" t="n">
        <f aca="false">P1018-R1018-S1018-T1018</f>
        <v>680.4182</v>
      </c>
      <c r="V1018" s="19" t="n">
        <f aca="false">IFERROR(U1018/P1018,0)</f>
        <v>0.377909335288367</v>
      </c>
      <c r="W1018" s="48" t="n">
        <f aca="false">B1018+INDEX(Parametros!$C$13:$C$16,MATCH($F1018,Parametros!$A$13:$A$16,0))</f>
        <v>46054</v>
      </c>
      <c r="X1018" s="31" t="s">
        <v>67</v>
      </c>
      <c r="Y1018" s="53" t="n">
        <f aca="false">IF(COUNTIF($A$2:$A1018,A1018)=1,1,0)</f>
        <v>1</v>
      </c>
    </row>
    <row r="1019" customFormat="false" ht="15" hidden="false" customHeight="false" outlineLevel="0" collapsed="false">
      <c r="A1019" s="31" t="s">
        <v>791</v>
      </c>
      <c r="B1019" s="36" t="n">
        <v>46009</v>
      </c>
      <c r="C1019" s="49" t="n">
        <f aca="false">DATE(YEAR(B1019),MONTH(B1019),1)</f>
        <v>45992</v>
      </c>
      <c r="D1019" s="31" t="s">
        <v>191</v>
      </c>
      <c r="E1019" s="31" t="s">
        <v>41</v>
      </c>
      <c r="F1019" s="31" t="s">
        <v>47</v>
      </c>
      <c r="G1019" s="31" t="s">
        <v>58</v>
      </c>
      <c r="H1019" s="31" t="s">
        <v>185</v>
      </c>
      <c r="I1019" s="32" t="str">
        <f aca="false">INDEX(Productos!$B$2:$B$13,MATCH($H1019,Productos!$A$2:$A$13,0))</f>
        <v>Varilla roscada M10 x 1 m zincada</v>
      </c>
      <c r="J1019" s="32" t="str">
        <f aca="false">INDEX(Productos!$C$2:$C$13,MATCH($H1019,Productos!$A$2:$A$13,0))</f>
        <v>Especial</v>
      </c>
      <c r="K1019" s="31" t="s">
        <v>246</v>
      </c>
      <c r="L1019" s="46" t="n">
        <v>16</v>
      </c>
      <c r="M1019" s="50" t="n">
        <f aca="false">INDEX(Productos!$F$2:$F$13,MATCH($H1019,Productos!$A$2:$A$13,0))</f>
        <v>54</v>
      </c>
      <c r="N1019" s="51" t="n">
        <v>0.062</v>
      </c>
      <c r="O1019" s="52" t="n">
        <f aca="false">M1019*(1-N1019)</f>
        <v>50.652</v>
      </c>
      <c r="P1019" s="21" t="n">
        <f aca="false">L1019*O1019</f>
        <v>810.432</v>
      </c>
      <c r="Q1019" s="50" t="n">
        <f aca="false">INDEX(Productos!$E$2:$E$13,MATCH($H1019,Productos!$A$2:$A$13,0))*INDEX(Parametros!$B$26:$B$43,MATCH($C1019,Parametros!$A$26:$A$43,0))</f>
        <v>28.9275</v>
      </c>
      <c r="R1019" s="21" t="n">
        <f aca="false">L1019*Q1019</f>
        <v>462.84</v>
      </c>
      <c r="S1019" s="18" t="n">
        <f aca="false">L1019*INDEX(Parametros!$B$20:$B$22,MATCH($E1019,Parametros!$A$20:$A$22,0))</f>
        <v>13.6</v>
      </c>
      <c r="T1019" s="18" t="n">
        <f aca="false">P1019*INDEX(Parametros!$B$13:$B$16,MATCH($F1019,Parametros!$A$13:$A$16,0))</f>
        <v>28.36512</v>
      </c>
      <c r="U1019" s="21" t="n">
        <f aca="false">P1019-R1019-S1019-T1019</f>
        <v>305.62688</v>
      </c>
      <c r="V1019" s="19" t="n">
        <f aca="false">IFERROR(U1019/P1019,0)</f>
        <v>0.377116007265261</v>
      </c>
      <c r="W1019" s="48" t="n">
        <f aca="false">B1019+INDEX(Parametros!$C$13:$C$16,MATCH($F1019,Parametros!$A$13:$A$16,0))</f>
        <v>46054</v>
      </c>
      <c r="X1019" s="31" t="s">
        <v>67</v>
      </c>
      <c r="Y1019" s="53" t="n">
        <f aca="false">IF(COUNTIF($A$2:$A1019,A1019)=1,1,0)</f>
        <v>0</v>
      </c>
    </row>
    <row r="1020" customFormat="false" ht="15" hidden="false" customHeight="false" outlineLevel="0" collapsed="false">
      <c r="A1020" s="31" t="s">
        <v>791</v>
      </c>
      <c r="B1020" s="36" t="n">
        <v>46009</v>
      </c>
      <c r="C1020" s="49" t="n">
        <f aca="false">DATE(YEAR(B1020),MONTH(B1020),1)</f>
        <v>45992</v>
      </c>
      <c r="D1020" s="31" t="s">
        <v>191</v>
      </c>
      <c r="E1020" s="31" t="s">
        <v>41</v>
      </c>
      <c r="F1020" s="31" t="s">
        <v>47</v>
      </c>
      <c r="G1020" s="31" t="s">
        <v>58</v>
      </c>
      <c r="H1020" s="31" t="s">
        <v>181</v>
      </c>
      <c r="I1020" s="32" t="str">
        <f aca="false">INDEX(Productos!$B$2:$B$13,MATCH($H1020,Productos!$A$2:$A$13,0))</f>
        <v>Autotaladrante 5,5x55 punta broca</v>
      </c>
      <c r="J1020" s="32" t="str">
        <f aca="false">INDEX(Productos!$C$2:$C$13,MATCH($H1020,Productos!$A$2:$A$13,0))</f>
        <v>Autotaladrante</v>
      </c>
      <c r="K1020" s="31" t="s">
        <v>246</v>
      </c>
      <c r="L1020" s="46" t="n">
        <v>169</v>
      </c>
      <c r="M1020" s="50" t="n">
        <f aca="false">INDEX(Productos!$F$2:$F$13,MATCH($H1020,Productos!$A$2:$A$13,0))</f>
        <v>39</v>
      </c>
      <c r="N1020" s="51" t="n">
        <v>0.095</v>
      </c>
      <c r="O1020" s="52" t="n">
        <f aca="false">M1020*(1-N1020)</f>
        <v>35.295</v>
      </c>
      <c r="P1020" s="21" t="n">
        <f aca="false">L1020*O1020</f>
        <v>5964.855</v>
      </c>
      <c r="Q1020" s="50" t="n">
        <f aca="false">INDEX(Productos!$E$2:$E$13,MATCH($H1020,Productos!$A$2:$A$13,0))*INDEX(Parametros!$B$26:$B$43,MATCH($C1020,Parametros!$A$26:$A$43,0))</f>
        <v>20.6045</v>
      </c>
      <c r="R1020" s="21" t="n">
        <f aca="false">L1020*Q1020</f>
        <v>3482.1605</v>
      </c>
      <c r="S1020" s="18" t="n">
        <f aca="false">L1020*INDEX(Parametros!$B$20:$B$22,MATCH($E1020,Parametros!$A$20:$A$22,0))</f>
        <v>143.65</v>
      </c>
      <c r="T1020" s="18" t="n">
        <f aca="false">P1020*INDEX(Parametros!$B$13:$B$16,MATCH($F1020,Parametros!$A$13:$A$16,0))</f>
        <v>208.769925</v>
      </c>
      <c r="U1020" s="21" t="n">
        <f aca="false">P1020-R1020-S1020-T1020</f>
        <v>2130.274575</v>
      </c>
      <c r="V1020" s="19" t="n">
        <f aca="false">IFERROR(U1020/P1020,0)</f>
        <v>0.357137696557586</v>
      </c>
      <c r="W1020" s="48" t="n">
        <f aca="false">B1020+INDEX(Parametros!$C$13:$C$16,MATCH($F1020,Parametros!$A$13:$A$16,0))</f>
        <v>46054</v>
      </c>
      <c r="X1020" s="31" t="s">
        <v>69</v>
      </c>
      <c r="Y1020" s="53" t="n">
        <f aca="false">IF(COUNTIF($A$2:$A1020,A1020)=1,1,0)</f>
        <v>0</v>
      </c>
    </row>
    <row r="1021" customFormat="false" ht="15" hidden="false" customHeight="false" outlineLevel="0" collapsed="false">
      <c r="A1021" s="31" t="s">
        <v>792</v>
      </c>
      <c r="B1021" s="36" t="n">
        <v>46010</v>
      </c>
      <c r="C1021" s="49" t="n">
        <f aca="false">DATE(YEAR(B1021),MONTH(B1021),1)</f>
        <v>45992</v>
      </c>
      <c r="D1021" s="31" t="s">
        <v>205</v>
      </c>
      <c r="E1021" s="31" t="s">
        <v>41</v>
      </c>
      <c r="F1021" s="31" t="s">
        <v>45</v>
      </c>
      <c r="G1021" s="31" t="s">
        <v>62</v>
      </c>
      <c r="H1021" s="31" t="s">
        <v>163</v>
      </c>
      <c r="I1021" s="32" t="str">
        <f aca="false">INDEX(Productos!$B$2:$B$13,MATCH($H1021,Productos!$A$2:$A$13,0))</f>
        <v>Tornillo DIN 933 M6x30 rosca completa zincado</v>
      </c>
      <c r="J1021" s="32" t="str">
        <f aca="false">INDEX(Productos!$C$2:$C$13,MATCH($H1021,Productos!$A$2:$A$13,0))</f>
        <v>Métrica</v>
      </c>
      <c r="K1021" s="31" t="s">
        <v>246</v>
      </c>
      <c r="L1021" s="46" t="n">
        <v>61</v>
      </c>
      <c r="M1021" s="50" t="n">
        <f aca="false">INDEX(Productos!$F$2:$F$13,MATCH($H1021,Productos!$A$2:$A$13,0))</f>
        <v>32</v>
      </c>
      <c r="N1021" s="51" t="n">
        <v>0.215</v>
      </c>
      <c r="O1021" s="52" t="n">
        <f aca="false">M1021*(1-N1021)</f>
        <v>25.12</v>
      </c>
      <c r="P1021" s="21" t="n">
        <f aca="false">L1021*O1021</f>
        <v>1532.32</v>
      </c>
      <c r="Q1021" s="50" t="n">
        <f aca="false">INDEX(Productos!$E$2:$E$13,MATCH($H1021,Productos!$A$2:$A$13,0))*INDEX(Parametros!$B$26:$B$43,MATCH($C1021,Parametros!$A$26:$A$43,0))</f>
        <v>16.849</v>
      </c>
      <c r="R1021" s="21" t="n">
        <f aca="false">L1021*Q1021</f>
        <v>1027.789</v>
      </c>
      <c r="S1021" s="18" t="n">
        <f aca="false">L1021*INDEX(Parametros!$B$20:$B$22,MATCH($E1021,Parametros!$A$20:$A$22,0))</f>
        <v>51.85</v>
      </c>
      <c r="T1021" s="18" t="n">
        <f aca="false">P1021*INDEX(Parametros!$B$13:$B$16,MATCH($F1021,Parametros!$A$13:$A$16,0))</f>
        <v>45.9696</v>
      </c>
      <c r="U1021" s="21" t="n">
        <f aca="false">P1021-R1021-S1021-T1021</f>
        <v>406.7114</v>
      </c>
      <c r="V1021" s="19" t="n">
        <f aca="false">IFERROR(U1021/P1021,0)</f>
        <v>0.265421974522293</v>
      </c>
      <c r="W1021" s="48" t="n">
        <f aca="false">B1021+INDEX(Parametros!$C$13:$C$16,MATCH($F1021,Parametros!$A$13:$A$16,0))</f>
        <v>46070</v>
      </c>
      <c r="X1021" s="31" t="s">
        <v>67</v>
      </c>
      <c r="Y1021" s="53" t="n">
        <f aca="false">IF(COUNTIF($A$2:$A1021,A1021)=1,1,0)</f>
        <v>1</v>
      </c>
    </row>
    <row r="1022" customFormat="false" ht="15" hidden="false" customHeight="false" outlineLevel="0" collapsed="false">
      <c r="A1022" s="31" t="s">
        <v>793</v>
      </c>
      <c r="B1022" s="36" t="n">
        <v>46013</v>
      </c>
      <c r="C1022" s="49" t="n">
        <f aca="false">DATE(YEAR(B1022),MONTH(B1022),1)</f>
        <v>45992</v>
      </c>
      <c r="D1022" s="31" t="s">
        <v>212</v>
      </c>
      <c r="E1022" s="31" t="s">
        <v>42</v>
      </c>
      <c r="F1022" s="31" t="s">
        <v>45</v>
      </c>
      <c r="G1022" s="31" t="s">
        <v>61</v>
      </c>
      <c r="H1022" s="31" t="s">
        <v>173</v>
      </c>
      <c r="I1022" s="32" t="str">
        <f aca="false">INDEX(Productos!$B$2:$B$13,MATCH($H1022,Productos!$A$2:$A$13,0))</f>
        <v>Tornillo DIN 933 M12x70 clase 8.8</v>
      </c>
      <c r="J1022" s="32" t="str">
        <f aca="false">INDEX(Productos!$C$2:$C$13,MATCH($H1022,Productos!$A$2:$A$13,0))</f>
        <v>Métrica</v>
      </c>
      <c r="K1022" s="31" t="s">
        <v>246</v>
      </c>
      <c r="L1022" s="46" t="n">
        <v>128</v>
      </c>
      <c r="M1022" s="50" t="n">
        <f aca="false">INDEX(Productos!$F$2:$F$13,MATCH($H1022,Productos!$A$2:$A$13,0))</f>
        <v>64</v>
      </c>
      <c r="N1022" s="51" t="n">
        <v>0.179</v>
      </c>
      <c r="O1022" s="52" t="n">
        <f aca="false">M1022*(1-N1022)</f>
        <v>52.544</v>
      </c>
      <c r="P1022" s="21" t="n">
        <f aca="false">L1022*O1022</f>
        <v>6725.632</v>
      </c>
      <c r="Q1022" s="50" t="n">
        <f aca="false">INDEX(Productos!$E$2:$E$13,MATCH($H1022,Productos!$A$2:$A$13,0))*INDEX(Parametros!$B$26:$B$43,MATCH($C1022,Parametros!$A$26:$A$43,0))</f>
        <v>34.0025</v>
      </c>
      <c r="R1022" s="21" t="n">
        <f aca="false">L1022*Q1022</f>
        <v>4352.32</v>
      </c>
      <c r="S1022" s="18" t="n">
        <f aca="false">L1022*INDEX(Parametros!$B$20:$B$22,MATCH($E1022,Parametros!$A$20:$A$22,0))</f>
        <v>307.2</v>
      </c>
      <c r="T1022" s="18" t="n">
        <f aca="false">P1022*INDEX(Parametros!$B$13:$B$16,MATCH($F1022,Parametros!$A$13:$A$16,0))</f>
        <v>201.76896</v>
      </c>
      <c r="U1022" s="21" t="n">
        <f aca="false">P1022-R1022-S1022-T1022</f>
        <v>1864.34304</v>
      </c>
      <c r="V1022" s="19" t="n">
        <f aca="false">IFERROR(U1022/P1022,0)</f>
        <v>0.277199680267966</v>
      </c>
      <c r="W1022" s="48" t="n">
        <f aca="false">B1022+INDEX(Parametros!$C$13:$C$16,MATCH($F1022,Parametros!$A$13:$A$16,0))</f>
        <v>46073</v>
      </c>
      <c r="X1022" s="31" t="s">
        <v>69</v>
      </c>
      <c r="Y1022" s="53" t="n">
        <f aca="false">IF(COUNTIF($A$2:$A1022,A1022)=1,1,0)</f>
        <v>1</v>
      </c>
    </row>
    <row r="1023" customFormat="false" ht="15" hidden="false" customHeight="false" outlineLevel="0" collapsed="false">
      <c r="A1023" s="31" t="s">
        <v>793</v>
      </c>
      <c r="B1023" s="36" t="n">
        <v>46013</v>
      </c>
      <c r="C1023" s="49" t="n">
        <f aca="false">DATE(YEAR(B1023),MONTH(B1023),1)</f>
        <v>45992</v>
      </c>
      <c r="D1023" s="31" t="s">
        <v>212</v>
      </c>
      <c r="E1023" s="31" t="s">
        <v>42</v>
      </c>
      <c r="F1023" s="31" t="s">
        <v>45</v>
      </c>
      <c r="G1023" s="31" t="s">
        <v>61</v>
      </c>
      <c r="H1023" s="31" t="s">
        <v>183</v>
      </c>
      <c r="I1023" s="32" t="str">
        <f aca="false">INDEX(Productos!$B$2:$B$13,MATCH($H1023,Productos!$A$2:$A$13,0))</f>
        <v>Tornillo estructural M16x90 clase 10.9</v>
      </c>
      <c r="J1023" s="32" t="str">
        <f aca="false">INDEX(Productos!$C$2:$C$13,MATCH($H1023,Productos!$A$2:$A$13,0))</f>
        <v>Especial</v>
      </c>
      <c r="K1023" s="31" t="s">
        <v>246</v>
      </c>
      <c r="L1023" s="46" t="n">
        <v>94</v>
      </c>
      <c r="M1023" s="50" t="n">
        <f aca="false">INDEX(Productos!$F$2:$F$13,MATCH($H1023,Productos!$A$2:$A$13,0))</f>
        <v>112</v>
      </c>
      <c r="N1023" s="51" t="n">
        <v>0.136</v>
      </c>
      <c r="O1023" s="52" t="n">
        <f aca="false">M1023*(1-N1023)</f>
        <v>96.768</v>
      </c>
      <c r="P1023" s="21" t="n">
        <f aca="false">L1023*O1023</f>
        <v>9096.192</v>
      </c>
      <c r="Q1023" s="50" t="n">
        <f aca="false">INDEX(Productos!$E$2:$E$13,MATCH($H1023,Productos!$A$2:$A$13,0))*INDEX(Parametros!$B$26:$B$43,MATCH($C1023,Parametros!$A$26:$A$43,0))</f>
        <v>60.9</v>
      </c>
      <c r="R1023" s="21" t="n">
        <f aca="false">L1023*Q1023</f>
        <v>5724.6</v>
      </c>
      <c r="S1023" s="18" t="n">
        <f aca="false">L1023*INDEX(Parametros!$B$20:$B$22,MATCH($E1023,Parametros!$A$20:$A$22,0))</f>
        <v>225.6</v>
      </c>
      <c r="T1023" s="18" t="n">
        <f aca="false">P1023*INDEX(Parametros!$B$13:$B$16,MATCH($F1023,Parametros!$A$13:$A$16,0))</f>
        <v>272.88576</v>
      </c>
      <c r="U1023" s="21" t="n">
        <f aca="false">P1023-R1023-S1023-T1023</f>
        <v>2873.10624</v>
      </c>
      <c r="V1023" s="19" t="n">
        <f aca="false">IFERROR(U1023/P1023,0)</f>
        <v>0.315858134920635</v>
      </c>
      <c r="W1023" s="48" t="n">
        <f aca="false">B1023+INDEX(Parametros!$C$13:$C$16,MATCH($F1023,Parametros!$A$13:$A$16,0))</f>
        <v>46073</v>
      </c>
      <c r="X1023" s="31" t="s">
        <v>67</v>
      </c>
      <c r="Y1023" s="53" t="n">
        <f aca="false">IF(COUNTIF($A$2:$A1023,A1023)=1,1,0)</f>
        <v>0</v>
      </c>
    </row>
    <row r="1024" customFormat="false" ht="15" hidden="false" customHeight="false" outlineLevel="0" collapsed="false">
      <c r="A1024" s="31" t="s">
        <v>794</v>
      </c>
      <c r="B1024" s="36" t="n">
        <v>46013</v>
      </c>
      <c r="C1024" s="49" t="n">
        <f aca="false">DATE(YEAR(B1024),MONTH(B1024),1)</f>
        <v>45992</v>
      </c>
      <c r="D1024" s="31" t="s">
        <v>216</v>
      </c>
      <c r="E1024" s="31" t="s">
        <v>42</v>
      </c>
      <c r="F1024" s="31" t="s">
        <v>45</v>
      </c>
      <c r="G1024" s="31" t="s">
        <v>61</v>
      </c>
      <c r="H1024" s="31" t="s">
        <v>171</v>
      </c>
      <c r="I1024" s="32" t="str">
        <f aca="false">INDEX(Productos!$B$2:$B$13,MATCH($H1024,Productos!$A$2:$A$13,0))</f>
        <v>Tornillo DIN 7991 M8x30 avellanado inox A2</v>
      </c>
      <c r="J1024" s="32" t="str">
        <f aca="false">INDEX(Productos!$C$2:$C$13,MATCH($H1024,Productos!$A$2:$A$13,0))</f>
        <v>Inoxidable</v>
      </c>
      <c r="K1024" s="31" t="s">
        <v>246</v>
      </c>
      <c r="L1024" s="46" t="n">
        <v>38</v>
      </c>
      <c r="M1024" s="50" t="n">
        <f aca="false">INDEX(Productos!$F$2:$F$13,MATCH($H1024,Productos!$A$2:$A$13,0))</f>
        <v>88</v>
      </c>
      <c r="N1024" s="51" t="n">
        <v>0.209</v>
      </c>
      <c r="O1024" s="52" t="n">
        <f aca="false">M1024*(1-N1024)</f>
        <v>69.608</v>
      </c>
      <c r="P1024" s="21" t="n">
        <f aca="false">L1024*O1024</f>
        <v>2645.104</v>
      </c>
      <c r="Q1024" s="50" t="n">
        <f aca="false">INDEX(Productos!$E$2:$E$13,MATCH($H1024,Productos!$A$2:$A$13,0))*INDEX(Parametros!$B$26:$B$43,MATCH($C1024,Parametros!$A$26:$A$43,0))</f>
        <v>47.1975</v>
      </c>
      <c r="R1024" s="21" t="n">
        <f aca="false">L1024*Q1024</f>
        <v>1793.505</v>
      </c>
      <c r="S1024" s="18" t="n">
        <f aca="false">L1024*INDEX(Parametros!$B$20:$B$22,MATCH($E1024,Parametros!$A$20:$A$22,0))</f>
        <v>91.2</v>
      </c>
      <c r="T1024" s="18" t="n">
        <f aca="false">P1024*INDEX(Parametros!$B$13:$B$16,MATCH($F1024,Parametros!$A$13:$A$16,0))</f>
        <v>79.35312</v>
      </c>
      <c r="U1024" s="21" t="n">
        <f aca="false">P1024-R1024-S1024-T1024</f>
        <v>681.04588</v>
      </c>
      <c r="V1024" s="19" t="n">
        <f aca="false">IFERROR(U1024/P1024,0)</f>
        <v>0.257474140903345</v>
      </c>
      <c r="W1024" s="48" t="n">
        <f aca="false">B1024+INDEX(Parametros!$C$13:$C$16,MATCH($F1024,Parametros!$A$13:$A$16,0))</f>
        <v>46073</v>
      </c>
      <c r="X1024" s="31" t="s">
        <v>67</v>
      </c>
      <c r="Y1024" s="53" t="n">
        <f aca="false">IF(COUNTIF($A$2:$A1024,A1024)=1,1,0)</f>
        <v>1</v>
      </c>
    </row>
    <row r="1025" customFormat="false" ht="15" hidden="false" customHeight="false" outlineLevel="0" collapsed="false">
      <c r="A1025" s="31" t="s">
        <v>794</v>
      </c>
      <c r="B1025" s="36" t="n">
        <v>46013</v>
      </c>
      <c r="C1025" s="49" t="n">
        <f aca="false">DATE(YEAR(B1025),MONTH(B1025),1)</f>
        <v>45992</v>
      </c>
      <c r="D1025" s="31" t="s">
        <v>216</v>
      </c>
      <c r="E1025" s="31" t="s">
        <v>42</v>
      </c>
      <c r="F1025" s="31" t="s">
        <v>45</v>
      </c>
      <c r="G1025" s="31" t="s">
        <v>61</v>
      </c>
      <c r="H1025" s="31" t="s">
        <v>167</v>
      </c>
      <c r="I1025" s="32" t="str">
        <f aca="false">INDEX(Productos!$B$2:$B$13,MATCH($H1025,Productos!$A$2:$A$13,0))</f>
        <v>Tornillo DIN 912 M6x25 Allen zincado</v>
      </c>
      <c r="J1025" s="32" t="str">
        <f aca="false">INDEX(Productos!$C$2:$C$13,MATCH($H1025,Productos!$A$2:$A$13,0))</f>
        <v>Métrica</v>
      </c>
      <c r="K1025" s="31" t="s">
        <v>246</v>
      </c>
      <c r="L1025" s="46" t="n">
        <v>38</v>
      </c>
      <c r="M1025" s="50" t="n">
        <f aca="false">INDEX(Productos!$F$2:$F$13,MATCH($H1025,Productos!$A$2:$A$13,0))</f>
        <v>42</v>
      </c>
      <c r="N1025" s="51" t="n">
        <v>0.143</v>
      </c>
      <c r="O1025" s="52" t="n">
        <f aca="false">M1025*(1-N1025)</f>
        <v>35.994</v>
      </c>
      <c r="P1025" s="21" t="n">
        <f aca="false">L1025*O1025</f>
        <v>1367.772</v>
      </c>
      <c r="Q1025" s="50" t="n">
        <f aca="false">INDEX(Productos!$E$2:$E$13,MATCH($H1025,Productos!$A$2:$A$13,0))*INDEX(Parametros!$B$26:$B$43,MATCH($C1025,Parametros!$A$26:$A$43,0))</f>
        <v>22.127</v>
      </c>
      <c r="R1025" s="21" t="n">
        <f aca="false">L1025*Q1025</f>
        <v>840.826</v>
      </c>
      <c r="S1025" s="18" t="n">
        <f aca="false">L1025*INDEX(Parametros!$B$20:$B$22,MATCH($E1025,Parametros!$A$20:$A$22,0))</f>
        <v>91.2</v>
      </c>
      <c r="T1025" s="18" t="n">
        <f aca="false">P1025*INDEX(Parametros!$B$13:$B$16,MATCH($F1025,Parametros!$A$13:$A$16,0))</f>
        <v>41.03316</v>
      </c>
      <c r="U1025" s="21" t="n">
        <f aca="false">P1025-R1025-S1025-T1025</f>
        <v>394.71284</v>
      </c>
      <c r="V1025" s="19" t="n">
        <f aca="false">IFERROR(U1025/P1025,0)</f>
        <v>0.28858087459021</v>
      </c>
      <c r="W1025" s="48" t="n">
        <f aca="false">B1025+INDEX(Parametros!$C$13:$C$16,MATCH($F1025,Parametros!$A$13:$A$16,0))</f>
        <v>46073</v>
      </c>
      <c r="X1025" s="31" t="s">
        <v>67</v>
      </c>
      <c r="Y1025" s="53" t="n">
        <f aca="false">IF(COUNTIF($A$2:$A1025,A1025)=1,1,0)</f>
        <v>0</v>
      </c>
    </row>
    <row r="1026" customFormat="false" ht="15" hidden="false" customHeight="false" outlineLevel="0" collapsed="false">
      <c r="A1026" s="31" t="s">
        <v>794</v>
      </c>
      <c r="B1026" s="36" t="n">
        <v>46013</v>
      </c>
      <c r="C1026" s="49" t="n">
        <f aca="false">DATE(YEAR(B1026),MONTH(B1026),1)</f>
        <v>45992</v>
      </c>
      <c r="D1026" s="31" t="s">
        <v>216</v>
      </c>
      <c r="E1026" s="31" t="s">
        <v>42</v>
      </c>
      <c r="F1026" s="31" t="s">
        <v>45</v>
      </c>
      <c r="G1026" s="31" t="s">
        <v>61</v>
      </c>
      <c r="H1026" s="31" t="s">
        <v>181</v>
      </c>
      <c r="I1026" s="32" t="str">
        <f aca="false">INDEX(Productos!$B$2:$B$13,MATCH($H1026,Productos!$A$2:$A$13,0))</f>
        <v>Autotaladrante 5,5x55 punta broca</v>
      </c>
      <c r="J1026" s="32" t="str">
        <f aca="false">INDEX(Productos!$C$2:$C$13,MATCH($H1026,Productos!$A$2:$A$13,0))</f>
        <v>Autotaladrante</v>
      </c>
      <c r="K1026" s="31" t="s">
        <v>246</v>
      </c>
      <c r="L1026" s="46" t="n">
        <v>161</v>
      </c>
      <c r="M1026" s="50" t="n">
        <f aca="false">INDEX(Productos!$F$2:$F$13,MATCH($H1026,Productos!$A$2:$A$13,0))</f>
        <v>39</v>
      </c>
      <c r="N1026" s="51" t="n">
        <v>0.149</v>
      </c>
      <c r="O1026" s="52" t="n">
        <f aca="false">M1026*(1-N1026)</f>
        <v>33.189</v>
      </c>
      <c r="P1026" s="21" t="n">
        <f aca="false">L1026*O1026</f>
        <v>5343.429</v>
      </c>
      <c r="Q1026" s="50" t="n">
        <f aca="false">INDEX(Productos!$E$2:$E$13,MATCH($H1026,Productos!$A$2:$A$13,0))*INDEX(Parametros!$B$26:$B$43,MATCH($C1026,Parametros!$A$26:$A$43,0))</f>
        <v>20.6045</v>
      </c>
      <c r="R1026" s="21" t="n">
        <f aca="false">L1026*Q1026</f>
        <v>3317.3245</v>
      </c>
      <c r="S1026" s="18" t="n">
        <f aca="false">L1026*INDEX(Parametros!$B$20:$B$22,MATCH($E1026,Parametros!$A$20:$A$22,0))</f>
        <v>386.4</v>
      </c>
      <c r="T1026" s="18" t="n">
        <f aca="false">P1026*INDEX(Parametros!$B$13:$B$16,MATCH($F1026,Parametros!$A$13:$A$16,0))</f>
        <v>160.30287</v>
      </c>
      <c r="U1026" s="21" t="n">
        <f aca="false">P1026-R1026-S1026-T1026</f>
        <v>1479.40163</v>
      </c>
      <c r="V1026" s="19" t="n">
        <f aca="false">IFERROR(U1026/P1026,0)</f>
        <v>0.276863719907198</v>
      </c>
      <c r="W1026" s="48" t="n">
        <f aca="false">B1026+INDEX(Parametros!$C$13:$C$16,MATCH($F1026,Parametros!$A$13:$A$16,0))</f>
        <v>46073</v>
      </c>
      <c r="X1026" s="31" t="s">
        <v>69</v>
      </c>
      <c r="Y1026" s="53" t="n">
        <f aca="false">IF(COUNTIF($A$2:$A1026,A1026)=1,1,0)</f>
        <v>0</v>
      </c>
    </row>
    <row r="1027" customFormat="false" ht="15" hidden="false" customHeight="false" outlineLevel="0" collapsed="false">
      <c r="A1027" s="31" t="s">
        <v>795</v>
      </c>
      <c r="B1027" s="36" t="n">
        <v>46013</v>
      </c>
      <c r="C1027" s="49" t="n">
        <f aca="false">DATE(YEAR(B1027),MONTH(B1027),1)</f>
        <v>45992</v>
      </c>
      <c r="D1027" s="31" t="s">
        <v>225</v>
      </c>
      <c r="E1027" s="31" t="s">
        <v>43</v>
      </c>
      <c r="F1027" s="31" t="s">
        <v>47</v>
      </c>
      <c r="G1027" s="31" t="s">
        <v>59</v>
      </c>
      <c r="H1027" s="31" t="s">
        <v>173</v>
      </c>
      <c r="I1027" s="32" t="str">
        <f aca="false">INDEX(Productos!$B$2:$B$13,MATCH($H1027,Productos!$A$2:$A$13,0))</f>
        <v>Tornillo DIN 933 M12x70 clase 8.8</v>
      </c>
      <c r="J1027" s="32" t="str">
        <f aca="false">INDEX(Productos!$C$2:$C$13,MATCH($H1027,Productos!$A$2:$A$13,0))</f>
        <v>Métrica</v>
      </c>
      <c r="K1027" s="31" t="s">
        <v>246</v>
      </c>
      <c r="L1027" s="46" t="n">
        <v>14</v>
      </c>
      <c r="M1027" s="50" t="n">
        <f aca="false">INDEX(Productos!$F$2:$F$13,MATCH($H1027,Productos!$A$2:$A$13,0))</f>
        <v>64</v>
      </c>
      <c r="N1027" s="51" t="n">
        <v>0.084</v>
      </c>
      <c r="O1027" s="52" t="n">
        <f aca="false">M1027*(1-N1027)</f>
        <v>58.624</v>
      </c>
      <c r="P1027" s="21" t="n">
        <f aca="false">L1027*O1027</f>
        <v>820.736</v>
      </c>
      <c r="Q1027" s="50" t="n">
        <f aca="false">INDEX(Productos!$E$2:$E$13,MATCH($H1027,Productos!$A$2:$A$13,0))*INDEX(Parametros!$B$26:$B$43,MATCH($C1027,Parametros!$A$26:$A$43,0))</f>
        <v>34.0025</v>
      </c>
      <c r="R1027" s="21" t="n">
        <f aca="false">L1027*Q1027</f>
        <v>476.035</v>
      </c>
      <c r="S1027" s="18" t="n">
        <f aca="false">L1027*INDEX(Parametros!$B$20:$B$22,MATCH($E1027,Parametros!$A$20:$A$22,0))</f>
        <v>26.6</v>
      </c>
      <c r="T1027" s="18" t="n">
        <f aca="false">P1027*INDEX(Parametros!$B$13:$B$16,MATCH($F1027,Parametros!$A$13:$A$16,0))</f>
        <v>28.72576</v>
      </c>
      <c r="U1027" s="21" t="n">
        <f aca="false">P1027-R1027-S1027-T1027</f>
        <v>289.37524</v>
      </c>
      <c r="V1027" s="19" t="n">
        <f aca="false">IFERROR(U1027/P1027,0)</f>
        <v>0.352580171943232</v>
      </c>
      <c r="W1027" s="48" t="n">
        <f aca="false">B1027+INDEX(Parametros!$C$13:$C$16,MATCH($F1027,Parametros!$A$13:$A$16,0))</f>
        <v>46058</v>
      </c>
      <c r="X1027" s="31" t="s">
        <v>67</v>
      </c>
      <c r="Y1027" s="53" t="n">
        <f aca="false">IF(COUNTIF($A$2:$A1027,A1027)=1,1,0)</f>
        <v>1</v>
      </c>
    </row>
    <row r="1028" customFormat="false" ht="15" hidden="false" customHeight="false" outlineLevel="0" collapsed="false">
      <c r="A1028" s="31" t="s">
        <v>796</v>
      </c>
      <c r="B1028" s="36" t="n">
        <v>46013</v>
      </c>
      <c r="C1028" s="49" t="n">
        <f aca="false">DATE(YEAR(B1028),MONTH(B1028),1)</f>
        <v>45992</v>
      </c>
      <c r="D1028" s="31" t="s">
        <v>213</v>
      </c>
      <c r="E1028" s="31" t="s">
        <v>42</v>
      </c>
      <c r="F1028" s="31" t="s">
        <v>46</v>
      </c>
      <c r="G1028" s="31" t="s">
        <v>61</v>
      </c>
      <c r="H1028" s="31" t="s">
        <v>169</v>
      </c>
      <c r="I1028" s="32" t="str">
        <f aca="false">INDEX(Productos!$B$2:$B$13,MATCH($H1028,Productos!$A$2:$A$13,0))</f>
        <v>Tornillo DIN 912 M10x60 Allen inox A2</v>
      </c>
      <c r="J1028" s="32" t="str">
        <f aca="false">INDEX(Productos!$C$2:$C$13,MATCH($H1028,Productos!$A$2:$A$13,0))</f>
        <v>Inoxidable</v>
      </c>
      <c r="K1028" s="31" t="s">
        <v>246</v>
      </c>
      <c r="L1028" s="46" t="n">
        <v>140</v>
      </c>
      <c r="M1028" s="50" t="n">
        <f aca="false">INDEX(Productos!$F$2:$F$13,MATCH($H1028,Productos!$A$2:$A$13,0))</f>
        <v>79</v>
      </c>
      <c r="N1028" s="51" t="n">
        <v>0.126</v>
      </c>
      <c r="O1028" s="52" t="n">
        <f aca="false">M1028*(1-N1028)</f>
        <v>69.046</v>
      </c>
      <c r="P1028" s="21" t="n">
        <f aca="false">L1028*O1028</f>
        <v>9666.44</v>
      </c>
      <c r="Q1028" s="50" t="n">
        <f aca="false">INDEX(Productos!$E$2:$E$13,MATCH($H1028,Productos!$A$2:$A$13,0))*INDEX(Parametros!$B$26:$B$43,MATCH($C1028,Parametros!$A$26:$A$43,0))</f>
        <v>42.63</v>
      </c>
      <c r="R1028" s="21" t="n">
        <f aca="false">L1028*Q1028</f>
        <v>5968.2</v>
      </c>
      <c r="S1028" s="18" t="n">
        <f aca="false">L1028*INDEX(Parametros!$B$20:$B$22,MATCH($E1028,Parametros!$A$20:$A$22,0))</f>
        <v>336</v>
      </c>
      <c r="T1028" s="18" t="n">
        <f aca="false">P1028*INDEX(Parametros!$B$13:$B$16,MATCH($F1028,Parametros!$A$13:$A$16,0))</f>
        <v>386.6576</v>
      </c>
      <c r="U1028" s="21" t="n">
        <f aca="false">P1028-R1028-S1028-T1028</f>
        <v>2975.5824</v>
      </c>
      <c r="V1028" s="19" t="n">
        <f aca="false">IFERROR(U1028/P1028,0)</f>
        <v>0.307826086956522</v>
      </c>
      <c r="W1028" s="48" t="n">
        <f aca="false">B1028+INDEX(Parametros!$C$13:$C$16,MATCH($F1028,Parametros!$A$13:$A$16,0))</f>
        <v>46088</v>
      </c>
      <c r="X1028" s="31" t="s">
        <v>67</v>
      </c>
      <c r="Y1028" s="53" t="n">
        <f aca="false">IF(COUNTIF($A$2:$A1028,A1028)=1,1,0)</f>
        <v>1</v>
      </c>
    </row>
    <row r="1029" customFormat="false" ht="15" hidden="false" customHeight="false" outlineLevel="0" collapsed="false">
      <c r="A1029" s="31" t="s">
        <v>796</v>
      </c>
      <c r="B1029" s="36" t="n">
        <v>46013</v>
      </c>
      <c r="C1029" s="49" t="n">
        <f aca="false">DATE(YEAR(B1029),MONTH(B1029),1)</f>
        <v>45992</v>
      </c>
      <c r="D1029" s="31" t="s">
        <v>213</v>
      </c>
      <c r="E1029" s="31" t="s">
        <v>42</v>
      </c>
      <c r="F1029" s="31" t="s">
        <v>46</v>
      </c>
      <c r="G1029" s="31" t="s">
        <v>61</v>
      </c>
      <c r="H1029" s="31" t="s">
        <v>185</v>
      </c>
      <c r="I1029" s="32" t="str">
        <f aca="false">INDEX(Productos!$B$2:$B$13,MATCH($H1029,Productos!$A$2:$A$13,0))</f>
        <v>Varilla roscada M10 x 1 m zincada</v>
      </c>
      <c r="J1029" s="32" t="str">
        <f aca="false">INDEX(Productos!$C$2:$C$13,MATCH($H1029,Productos!$A$2:$A$13,0))</f>
        <v>Especial</v>
      </c>
      <c r="K1029" s="31" t="s">
        <v>246</v>
      </c>
      <c r="L1029" s="46" t="n">
        <v>164</v>
      </c>
      <c r="M1029" s="50" t="n">
        <f aca="false">INDEX(Productos!$F$2:$F$13,MATCH($H1029,Productos!$A$2:$A$13,0))</f>
        <v>54</v>
      </c>
      <c r="N1029" s="51" t="n">
        <v>0.14</v>
      </c>
      <c r="O1029" s="52" t="n">
        <f aca="false">M1029*(1-N1029)</f>
        <v>46.44</v>
      </c>
      <c r="P1029" s="21" t="n">
        <f aca="false">L1029*O1029</f>
        <v>7616.16</v>
      </c>
      <c r="Q1029" s="50" t="n">
        <f aca="false">INDEX(Productos!$E$2:$E$13,MATCH($H1029,Productos!$A$2:$A$13,0))*INDEX(Parametros!$B$26:$B$43,MATCH($C1029,Parametros!$A$26:$A$43,0))</f>
        <v>28.9275</v>
      </c>
      <c r="R1029" s="21" t="n">
        <f aca="false">L1029*Q1029</f>
        <v>4744.11</v>
      </c>
      <c r="S1029" s="18" t="n">
        <f aca="false">L1029*INDEX(Parametros!$B$20:$B$22,MATCH($E1029,Parametros!$A$20:$A$22,0))</f>
        <v>393.6</v>
      </c>
      <c r="T1029" s="18" t="n">
        <f aca="false">P1029*INDEX(Parametros!$B$13:$B$16,MATCH($F1029,Parametros!$A$13:$A$16,0))</f>
        <v>304.6464</v>
      </c>
      <c r="U1029" s="21" t="n">
        <f aca="false">P1029-R1029-S1029-T1029</f>
        <v>2173.8036</v>
      </c>
      <c r="V1029" s="19" t="n">
        <f aca="false">IFERROR(U1029/P1029,0)</f>
        <v>0.285419896640827</v>
      </c>
      <c r="W1029" s="48" t="n">
        <f aca="false">B1029+INDEX(Parametros!$C$13:$C$16,MATCH($F1029,Parametros!$A$13:$A$16,0))</f>
        <v>46088</v>
      </c>
      <c r="X1029" s="31" t="s">
        <v>67</v>
      </c>
      <c r="Y1029" s="53" t="n">
        <f aca="false">IF(COUNTIF($A$2:$A1029,A1029)=1,1,0)</f>
        <v>0</v>
      </c>
    </row>
    <row r="1030" customFormat="false" ht="15" hidden="false" customHeight="false" outlineLevel="0" collapsed="false">
      <c r="A1030" s="31" t="s">
        <v>796</v>
      </c>
      <c r="B1030" s="36" t="n">
        <v>46013</v>
      </c>
      <c r="C1030" s="49" t="n">
        <f aca="false">DATE(YEAR(B1030),MONTH(B1030),1)</f>
        <v>45992</v>
      </c>
      <c r="D1030" s="31" t="s">
        <v>213</v>
      </c>
      <c r="E1030" s="31" t="s">
        <v>42</v>
      </c>
      <c r="F1030" s="31" t="s">
        <v>46</v>
      </c>
      <c r="G1030" s="31" t="s">
        <v>61</v>
      </c>
      <c r="H1030" s="31" t="s">
        <v>165</v>
      </c>
      <c r="I1030" s="32" t="str">
        <f aca="false">INDEX(Productos!$B$2:$B$13,MATCH($H1030,Productos!$A$2:$A$13,0))</f>
        <v>Tornillo DIN 933 M8x40 rosca completa zincado</v>
      </c>
      <c r="J1030" s="32" t="str">
        <f aca="false">INDEX(Productos!$C$2:$C$13,MATCH($H1030,Productos!$A$2:$A$13,0))</f>
        <v>Métrica</v>
      </c>
      <c r="K1030" s="31" t="s">
        <v>246</v>
      </c>
      <c r="L1030" s="46" t="n">
        <v>49</v>
      </c>
      <c r="M1030" s="50" t="n">
        <f aca="false">INDEX(Productos!$F$2:$F$13,MATCH($H1030,Productos!$A$2:$A$13,0))</f>
        <v>37.5</v>
      </c>
      <c r="N1030" s="51" t="n">
        <v>0.101</v>
      </c>
      <c r="O1030" s="52" t="n">
        <f aca="false">M1030*(1-N1030)</f>
        <v>33.7125</v>
      </c>
      <c r="P1030" s="21" t="n">
        <f aca="false">L1030*O1030</f>
        <v>1651.9125</v>
      </c>
      <c r="Q1030" s="50" t="n">
        <f aca="false">INDEX(Productos!$E$2:$E$13,MATCH($H1030,Productos!$A$2:$A$13,0))*INDEX(Parametros!$B$26:$B$43,MATCH($C1030,Parametros!$A$26:$A$43,0))</f>
        <v>19.691</v>
      </c>
      <c r="R1030" s="21" t="n">
        <f aca="false">L1030*Q1030</f>
        <v>964.859</v>
      </c>
      <c r="S1030" s="18" t="n">
        <f aca="false">L1030*INDEX(Parametros!$B$20:$B$22,MATCH($E1030,Parametros!$A$20:$A$22,0))</f>
        <v>117.6</v>
      </c>
      <c r="T1030" s="18" t="n">
        <f aca="false">P1030*INDEX(Parametros!$B$13:$B$16,MATCH($F1030,Parametros!$A$13:$A$16,0))</f>
        <v>66.0765</v>
      </c>
      <c r="U1030" s="21" t="n">
        <f aca="false">P1030-R1030-S1030-T1030</f>
        <v>503.377</v>
      </c>
      <c r="V1030" s="19" t="n">
        <f aca="false">IFERROR(U1030/P1030,0)</f>
        <v>0.304723767148684</v>
      </c>
      <c r="W1030" s="48" t="n">
        <f aca="false">B1030+INDEX(Parametros!$C$13:$C$16,MATCH($F1030,Parametros!$A$13:$A$16,0))</f>
        <v>46088</v>
      </c>
      <c r="X1030" s="31" t="s">
        <v>67</v>
      </c>
      <c r="Y1030" s="53" t="n">
        <f aca="false">IF(COUNTIF($A$2:$A1030,A1030)=1,1,0)</f>
        <v>0</v>
      </c>
    </row>
    <row r="1031" customFormat="false" ht="15" hidden="false" customHeight="false" outlineLevel="0" collapsed="false">
      <c r="A1031" s="31" t="s">
        <v>796</v>
      </c>
      <c r="B1031" s="36" t="n">
        <v>46013</v>
      </c>
      <c r="C1031" s="49" t="n">
        <f aca="false">DATE(YEAR(B1031),MONTH(B1031),1)</f>
        <v>45992</v>
      </c>
      <c r="D1031" s="31" t="s">
        <v>213</v>
      </c>
      <c r="E1031" s="31" t="s">
        <v>42</v>
      </c>
      <c r="F1031" s="31" t="s">
        <v>46</v>
      </c>
      <c r="G1031" s="31" t="s">
        <v>61</v>
      </c>
      <c r="H1031" s="31" t="s">
        <v>163</v>
      </c>
      <c r="I1031" s="32" t="str">
        <f aca="false">INDEX(Productos!$B$2:$B$13,MATCH($H1031,Productos!$A$2:$A$13,0))</f>
        <v>Tornillo DIN 933 M6x30 rosca completa zincado</v>
      </c>
      <c r="J1031" s="32" t="str">
        <f aca="false">INDEX(Productos!$C$2:$C$13,MATCH($H1031,Productos!$A$2:$A$13,0))</f>
        <v>Métrica</v>
      </c>
      <c r="K1031" s="31" t="s">
        <v>246</v>
      </c>
      <c r="L1031" s="46" t="n">
        <v>90</v>
      </c>
      <c r="M1031" s="50" t="n">
        <f aca="false">INDEX(Productos!$F$2:$F$13,MATCH($H1031,Productos!$A$2:$A$13,0))</f>
        <v>32</v>
      </c>
      <c r="N1031" s="51" t="n">
        <v>0.173</v>
      </c>
      <c r="O1031" s="52" t="n">
        <f aca="false">M1031*(1-N1031)</f>
        <v>26.464</v>
      </c>
      <c r="P1031" s="21" t="n">
        <f aca="false">L1031*O1031</f>
        <v>2381.76</v>
      </c>
      <c r="Q1031" s="50" t="n">
        <f aca="false">INDEX(Productos!$E$2:$E$13,MATCH($H1031,Productos!$A$2:$A$13,0))*INDEX(Parametros!$B$26:$B$43,MATCH($C1031,Parametros!$A$26:$A$43,0))</f>
        <v>16.849</v>
      </c>
      <c r="R1031" s="21" t="n">
        <f aca="false">L1031*Q1031</f>
        <v>1516.41</v>
      </c>
      <c r="S1031" s="18" t="n">
        <f aca="false">L1031*INDEX(Parametros!$B$20:$B$22,MATCH($E1031,Parametros!$A$20:$A$22,0))</f>
        <v>216</v>
      </c>
      <c r="T1031" s="18" t="n">
        <f aca="false">P1031*INDEX(Parametros!$B$13:$B$16,MATCH($F1031,Parametros!$A$13:$A$16,0))</f>
        <v>95.2704</v>
      </c>
      <c r="U1031" s="21" t="n">
        <f aca="false">P1031-R1031-S1031-T1031</f>
        <v>554.0796</v>
      </c>
      <c r="V1031" s="19" t="n">
        <f aca="false">IFERROR(U1031/P1031,0)</f>
        <v>0.232634522370012</v>
      </c>
      <c r="W1031" s="48" t="n">
        <f aca="false">B1031+INDEX(Parametros!$C$13:$C$16,MATCH($F1031,Parametros!$A$13:$A$16,0))</f>
        <v>46088</v>
      </c>
      <c r="X1031" s="31" t="s">
        <v>69</v>
      </c>
      <c r="Y1031" s="53" t="n">
        <f aca="false">IF(COUNTIF($A$2:$A1031,A1031)=1,1,0)</f>
        <v>0</v>
      </c>
    </row>
    <row r="1032" customFormat="false" ht="15" hidden="false" customHeight="false" outlineLevel="0" collapsed="false">
      <c r="A1032" s="31" t="s">
        <v>797</v>
      </c>
      <c r="B1032" s="36" t="n">
        <v>46013</v>
      </c>
      <c r="C1032" s="49" t="n">
        <f aca="false">DATE(YEAR(B1032),MONTH(B1032),1)</f>
        <v>45992</v>
      </c>
      <c r="D1032" s="31" t="s">
        <v>224</v>
      </c>
      <c r="E1032" s="31" t="s">
        <v>43</v>
      </c>
      <c r="F1032" s="31" t="s">
        <v>45</v>
      </c>
      <c r="G1032" s="31" t="s">
        <v>59</v>
      </c>
      <c r="H1032" s="31" t="s">
        <v>173</v>
      </c>
      <c r="I1032" s="32" t="str">
        <f aca="false">INDEX(Productos!$B$2:$B$13,MATCH($H1032,Productos!$A$2:$A$13,0))</f>
        <v>Tornillo DIN 933 M12x70 clase 8.8</v>
      </c>
      <c r="J1032" s="32" t="str">
        <f aca="false">INDEX(Productos!$C$2:$C$13,MATCH($H1032,Productos!$A$2:$A$13,0))</f>
        <v>Métrica</v>
      </c>
      <c r="K1032" s="31" t="s">
        <v>246</v>
      </c>
      <c r="L1032" s="46" t="n">
        <v>196</v>
      </c>
      <c r="M1032" s="50" t="n">
        <f aca="false">INDEX(Productos!$F$2:$F$13,MATCH($H1032,Productos!$A$2:$A$13,0))</f>
        <v>64</v>
      </c>
      <c r="N1032" s="51" t="n">
        <v>0.156</v>
      </c>
      <c r="O1032" s="52" t="n">
        <f aca="false">M1032*(1-N1032)</f>
        <v>54.016</v>
      </c>
      <c r="P1032" s="21" t="n">
        <f aca="false">L1032*O1032</f>
        <v>10587.136</v>
      </c>
      <c r="Q1032" s="50" t="n">
        <f aca="false">INDEX(Productos!$E$2:$E$13,MATCH($H1032,Productos!$A$2:$A$13,0))*INDEX(Parametros!$B$26:$B$43,MATCH($C1032,Parametros!$A$26:$A$43,0))</f>
        <v>34.0025</v>
      </c>
      <c r="R1032" s="21" t="n">
        <f aca="false">L1032*Q1032</f>
        <v>6664.49</v>
      </c>
      <c r="S1032" s="18" t="n">
        <f aca="false">L1032*INDEX(Parametros!$B$20:$B$22,MATCH($E1032,Parametros!$A$20:$A$22,0))</f>
        <v>372.4</v>
      </c>
      <c r="T1032" s="18" t="n">
        <f aca="false">P1032*INDEX(Parametros!$B$13:$B$16,MATCH($F1032,Parametros!$A$13:$A$16,0))</f>
        <v>317.61408</v>
      </c>
      <c r="U1032" s="21" t="n">
        <f aca="false">P1032-R1032-S1032-T1032</f>
        <v>3232.63192</v>
      </c>
      <c r="V1032" s="19" t="n">
        <f aca="false">IFERROR(U1032/P1032,0)</f>
        <v>0.305335826421801</v>
      </c>
      <c r="W1032" s="48" t="n">
        <f aca="false">B1032+INDEX(Parametros!$C$13:$C$16,MATCH($F1032,Parametros!$A$13:$A$16,0))</f>
        <v>46073</v>
      </c>
      <c r="X1032" s="31" t="s">
        <v>67</v>
      </c>
      <c r="Y1032" s="53" t="n">
        <f aca="false">IF(COUNTIF($A$2:$A1032,A1032)=1,1,0)</f>
        <v>1</v>
      </c>
    </row>
    <row r="1033" customFormat="false" ht="15" hidden="false" customHeight="false" outlineLevel="0" collapsed="false">
      <c r="A1033" s="31" t="s">
        <v>798</v>
      </c>
      <c r="B1033" s="36" t="n">
        <v>46013</v>
      </c>
      <c r="C1033" s="49" t="n">
        <f aca="false">DATE(YEAR(B1033),MONTH(B1033),1)</f>
        <v>45992</v>
      </c>
      <c r="D1033" s="31" t="s">
        <v>218</v>
      </c>
      <c r="E1033" s="31" t="s">
        <v>42</v>
      </c>
      <c r="F1033" s="31" t="s">
        <v>45</v>
      </c>
      <c r="G1033" s="31" t="s">
        <v>61</v>
      </c>
      <c r="H1033" s="31" t="s">
        <v>165</v>
      </c>
      <c r="I1033" s="32" t="str">
        <f aca="false">INDEX(Productos!$B$2:$B$13,MATCH($H1033,Productos!$A$2:$A$13,0))</f>
        <v>Tornillo DIN 933 M8x40 rosca completa zincado</v>
      </c>
      <c r="J1033" s="32" t="str">
        <f aca="false">INDEX(Productos!$C$2:$C$13,MATCH($H1033,Productos!$A$2:$A$13,0))</f>
        <v>Métrica</v>
      </c>
      <c r="K1033" s="31" t="s">
        <v>246</v>
      </c>
      <c r="L1033" s="46" t="n">
        <v>98</v>
      </c>
      <c r="M1033" s="50" t="n">
        <f aca="false">INDEX(Productos!$F$2:$F$13,MATCH($H1033,Productos!$A$2:$A$13,0))</f>
        <v>37.5</v>
      </c>
      <c r="N1033" s="51" t="n">
        <v>0.173</v>
      </c>
      <c r="O1033" s="52" t="n">
        <f aca="false">M1033*(1-N1033)</f>
        <v>31.0125</v>
      </c>
      <c r="P1033" s="21" t="n">
        <f aca="false">L1033*O1033</f>
        <v>3039.225</v>
      </c>
      <c r="Q1033" s="50" t="n">
        <f aca="false">INDEX(Productos!$E$2:$E$13,MATCH($H1033,Productos!$A$2:$A$13,0))*INDEX(Parametros!$B$26:$B$43,MATCH($C1033,Parametros!$A$26:$A$43,0))</f>
        <v>19.691</v>
      </c>
      <c r="R1033" s="21" t="n">
        <f aca="false">L1033*Q1033</f>
        <v>1929.718</v>
      </c>
      <c r="S1033" s="18" t="n">
        <f aca="false">L1033*INDEX(Parametros!$B$20:$B$22,MATCH($E1033,Parametros!$A$20:$A$22,0))</f>
        <v>235.2</v>
      </c>
      <c r="T1033" s="18" t="n">
        <f aca="false">P1033*INDEX(Parametros!$B$13:$B$16,MATCH($F1033,Parametros!$A$13:$A$16,0))</f>
        <v>91.17675</v>
      </c>
      <c r="U1033" s="21" t="n">
        <f aca="false">P1033-R1033-S1033-T1033</f>
        <v>783.13025</v>
      </c>
      <c r="V1033" s="19" t="n">
        <f aca="false">IFERROR(U1033/P1033,0)</f>
        <v>0.257674324869005</v>
      </c>
      <c r="W1033" s="48" t="n">
        <f aca="false">B1033+INDEX(Parametros!$C$13:$C$16,MATCH($F1033,Parametros!$A$13:$A$16,0))</f>
        <v>46073</v>
      </c>
      <c r="X1033" s="31" t="s">
        <v>67</v>
      </c>
      <c r="Y1033" s="53" t="n">
        <f aca="false">IF(COUNTIF($A$2:$A1033,A1033)=1,1,0)</f>
        <v>1</v>
      </c>
    </row>
    <row r="1034" customFormat="false" ht="15" hidden="false" customHeight="false" outlineLevel="0" collapsed="false">
      <c r="A1034" s="31" t="s">
        <v>798</v>
      </c>
      <c r="B1034" s="36" t="n">
        <v>46013</v>
      </c>
      <c r="C1034" s="49" t="n">
        <f aca="false">DATE(YEAR(B1034),MONTH(B1034),1)</f>
        <v>45992</v>
      </c>
      <c r="D1034" s="31" t="s">
        <v>218</v>
      </c>
      <c r="E1034" s="31" t="s">
        <v>42</v>
      </c>
      <c r="F1034" s="31" t="s">
        <v>45</v>
      </c>
      <c r="G1034" s="31" t="s">
        <v>61</v>
      </c>
      <c r="H1034" s="31" t="s">
        <v>167</v>
      </c>
      <c r="I1034" s="32" t="str">
        <f aca="false">INDEX(Productos!$B$2:$B$13,MATCH($H1034,Productos!$A$2:$A$13,0))</f>
        <v>Tornillo DIN 912 M6x25 Allen zincado</v>
      </c>
      <c r="J1034" s="32" t="str">
        <f aca="false">INDEX(Productos!$C$2:$C$13,MATCH($H1034,Productos!$A$2:$A$13,0))</f>
        <v>Métrica</v>
      </c>
      <c r="K1034" s="31" t="s">
        <v>246</v>
      </c>
      <c r="L1034" s="46" t="n">
        <v>147</v>
      </c>
      <c r="M1034" s="50" t="n">
        <f aca="false">INDEX(Productos!$F$2:$F$13,MATCH($H1034,Productos!$A$2:$A$13,0))</f>
        <v>42</v>
      </c>
      <c r="N1034" s="51" t="n">
        <v>0.18</v>
      </c>
      <c r="O1034" s="52" t="n">
        <f aca="false">M1034*(1-N1034)</f>
        <v>34.44</v>
      </c>
      <c r="P1034" s="21" t="n">
        <f aca="false">L1034*O1034</f>
        <v>5062.68</v>
      </c>
      <c r="Q1034" s="50" t="n">
        <f aca="false">INDEX(Productos!$E$2:$E$13,MATCH($H1034,Productos!$A$2:$A$13,0))*INDEX(Parametros!$B$26:$B$43,MATCH($C1034,Parametros!$A$26:$A$43,0))</f>
        <v>22.127</v>
      </c>
      <c r="R1034" s="21" t="n">
        <f aca="false">L1034*Q1034</f>
        <v>3252.669</v>
      </c>
      <c r="S1034" s="18" t="n">
        <f aca="false">L1034*INDEX(Parametros!$B$20:$B$22,MATCH($E1034,Parametros!$A$20:$A$22,0))</f>
        <v>352.8</v>
      </c>
      <c r="T1034" s="18" t="n">
        <f aca="false">P1034*INDEX(Parametros!$B$13:$B$16,MATCH($F1034,Parametros!$A$13:$A$16,0))</f>
        <v>151.8804</v>
      </c>
      <c r="U1034" s="21" t="n">
        <f aca="false">P1034-R1034-S1034-T1034</f>
        <v>1305.3306</v>
      </c>
      <c r="V1034" s="19" t="n">
        <f aca="false">IFERROR(U1034/P1034,0)</f>
        <v>0.257833914053426</v>
      </c>
      <c r="W1034" s="48" t="n">
        <f aca="false">B1034+INDEX(Parametros!$C$13:$C$16,MATCH($F1034,Parametros!$A$13:$A$16,0))</f>
        <v>46073</v>
      </c>
      <c r="X1034" s="31" t="s">
        <v>67</v>
      </c>
      <c r="Y1034" s="53" t="n">
        <f aca="false">IF(COUNTIF($A$2:$A1034,A1034)=1,1,0)</f>
        <v>0</v>
      </c>
    </row>
    <row r="1035" customFormat="false" ht="15" hidden="false" customHeight="false" outlineLevel="0" collapsed="false">
      <c r="A1035" s="31" t="s">
        <v>798</v>
      </c>
      <c r="B1035" s="36" t="n">
        <v>46013</v>
      </c>
      <c r="C1035" s="49" t="n">
        <f aca="false">DATE(YEAR(B1035),MONTH(B1035),1)</f>
        <v>45992</v>
      </c>
      <c r="D1035" s="31" t="s">
        <v>218</v>
      </c>
      <c r="E1035" s="31" t="s">
        <v>42</v>
      </c>
      <c r="F1035" s="31" t="s">
        <v>45</v>
      </c>
      <c r="G1035" s="31" t="s">
        <v>61</v>
      </c>
      <c r="H1035" s="31" t="s">
        <v>163</v>
      </c>
      <c r="I1035" s="32" t="str">
        <f aca="false">INDEX(Productos!$B$2:$B$13,MATCH($H1035,Productos!$A$2:$A$13,0))</f>
        <v>Tornillo DIN 933 M6x30 rosca completa zincado</v>
      </c>
      <c r="J1035" s="32" t="str">
        <f aca="false">INDEX(Productos!$C$2:$C$13,MATCH($H1035,Productos!$A$2:$A$13,0))</f>
        <v>Métrica</v>
      </c>
      <c r="K1035" s="31" t="s">
        <v>246</v>
      </c>
      <c r="L1035" s="46" t="n">
        <v>125</v>
      </c>
      <c r="M1035" s="50" t="n">
        <f aca="false">INDEX(Productos!$F$2:$F$13,MATCH($H1035,Productos!$A$2:$A$13,0))</f>
        <v>32</v>
      </c>
      <c r="N1035" s="51" t="n">
        <v>0.21</v>
      </c>
      <c r="O1035" s="52" t="n">
        <f aca="false">M1035*(1-N1035)</f>
        <v>25.28</v>
      </c>
      <c r="P1035" s="21" t="n">
        <f aca="false">L1035*O1035</f>
        <v>3160</v>
      </c>
      <c r="Q1035" s="50" t="n">
        <f aca="false">INDEX(Productos!$E$2:$E$13,MATCH($H1035,Productos!$A$2:$A$13,0))*INDEX(Parametros!$B$26:$B$43,MATCH($C1035,Parametros!$A$26:$A$43,0))</f>
        <v>16.849</v>
      </c>
      <c r="R1035" s="21" t="n">
        <f aca="false">L1035*Q1035</f>
        <v>2106.125</v>
      </c>
      <c r="S1035" s="18" t="n">
        <f aca="false">L1035*INDEX(Parametros!$B$20:$B$22,MATCH($E1035,Parametros!$A$20:$A$22,0))</f>
        <v>300</v>
      </c>
      <c r="T1035" s="18" t="n">
        <f aca="false">P1035*INDEX(Parametros!$B$13:$B$16,MATCH($F1035,Parametros!$A$13:$A$16,0))</f>
        <v>94.8</v>
      </c>
      <c r="U1035" s="21" t="n">
        <f aca="false">P1035-R1035-S1035-T1035</f>
        <v>659.075</v>
      </c>
      <c r="V1035" s="19" t="n">
        <f aca="false">IFERROR(U1035/P1035,0)</f>
        <v>0.208568037974684</v>
      </c>
      <c r="W1035" s="48" t="n">
        <f aca="false">B1035+INDEX(Parametros!$C$13:$C$16,MATCH($F1035,Parametros!$A$13:$A$16,0))</f>
        <v>46073</v>
      </c>
      <c r="X1035" s="31" t="s">
        <v>67</v>
      </c>
      <c r="Y1035" s="53" t="n">
        <f aca="false">IF(COUNTIF($A$2:$A1035,A1035)=1,1,0)</f>
        <v>0</v>
      </c>
    </row>
    <row r="1036" customFormat="false" ht="15" hidden="false" customHeight="false" outlineLevel="0" collapsed="false">
      <c r="A1036" s="31" t="s">
        <v>799</v>
      </c>
      <c r="B1036" s="36" t="n">
        <v>46013</v>
      </c>
      <c r="C1036" s="49" t="n">
        <f aca="false">DATE(YEAR(B1036),MONTH(B1036),1)</f>
        <v>45992</v>
      </c>
      <c r="D1036" s="31" t="s">
        <v>222</v>
      </c>
      <c r="E1036" s="31" t="s">
        <v>43</v>
      </c>
      <c r="F1036" s="31" t="s">
        <v>45</v>
      </c>
      <c r="G1036" s="31" t="s">
        <v>59</v>
      </c>
      <c r="H1036" s="31" t="s">
        <v>179</v>
      </c>
      <c r="I1036" s="32" t="str">
        <f aca="false">INDEX(Productos!$B$2:$B$13,MATCH($H1036,Productos!$A$2:$A$13,0))</f>
        <v>Autotaladrante DIN 7504 4,8x38 zincado</v>
      </c>
      <c r="J1036" s="32" t="str">
        <f aca="false">INDEX(Productos!$C$2:$C$13,MATCH($H1036,Productos!$A$2:$A$13,0))</f>
        <v>Autotaladrante</v>
      </c>
      <c r="K1036" s="31" t="s">
        <v>246</v>
      </c>
      <c r="L1036" s="46" t="n">
        <v>86</v>
      </c>
      <c r="M1036" s="50" t="n">
        <f aca="false">INDEX(Productos!$F$2:$F$13,MATCH($H1036,Productos!$A$2:$A$13,0))</f>
        <v>29.5</v>
      </c>
      <c r="N1036" s="51" t="n">
        <v>0.134</v>
      </c>
      <c r="O1036" s="52" t="n">
        <f aca="false">M1036*(1-N1036)</f>
        <v>25.547</v>
      </c>
      <c r="P1036" s="21" t="n">
        <f aca="false">L1036*O1036</f>
        <v>2197.042</v>
      </c>
      <c r="Q1036" s="50" t="n">
        <f aca="false">INDEX(Productos!$E$2:$E$13,MATCH($H1036,Productos!$A$2:$A$13,0))*INDEX(Parametros!$B$26:$B$43,MATCH($C1036,Parametros!$A$26:$A$43,0))</f>
        <v>15.428</v>
      </c>
      <c r="R1036" s="21" t="n">
        <f aca="false">L1036*Q1036</f>
        <v>1326.808</v>
      </c>
      <c r="S1036" s="18" t="n">
        <f aca="false">L1036*INDEX(Parametros!$B$20:$B$22,MATCH($E1036,Parametros!$A$20:$A$22,0))</f>
        <v>163.4</v>
      </c>
      <c r="T1036" s="18" t="n">
        <f aca="false">P1036*INDEX(Parametros!$B$13:$B$16,MATCH($F1036,Parametros!$A$13:$A$16,0))</f>
        <v>65.91126</v>
      </c>
      <c r="U1036" s="21" t="n">
        <f aca="false">P1036-R1036-S1036-T1036</f>
        <v>640.92274</v>
      </c>
      <c r="V1036" s="19" t="n">
        <f aca="false">IFERROR(U1036/P1036,0)</f>
        <v>0.291720749990214</v>
      </c>
      <c r="W1036" s="48" t="n">
        <f aca="false">B1036+INDEX(Parametros!$C$13:$C$16,MATCH($F1036,Parametros!$A$13:$A$16,0))</f>
        <v>46073</v>
      </c>
      <c r="X1036" s="31" t="s">
        <v>67</v>
      </c>
      <c r="Y1036" s="53" t="n">
        <f aca="false">IF(COUNTIF($A$2:$A1036,A1036)=1,1,0)</f>
        <v>1</v>
      </c>
    </row>
    <row r="1037" customFormat="false" ht="15" hidden="false" customHeight="false" outlineLevel="0" collapsed="false">
      <c r="A1037" s="31" t="s">
        <v>800</v>
      </c>
      <c r="B1037" s="36" t="n">
        <v>46015</v>
      </c>
      <c r="C1037" s="49" t="n">
        <f aca="false">DATE(YEAR(B1037),MONTH(B1037),1)</f>
        <v>45992</v>
      </c>
      <c r="D1037" s="31" t="s">
        <v>223</v>
      </c>
      <c r="E1037" s="31" t="s">
        <v>43</v>
      </c>
      <c r="F1037" s="31" t="s">
        <v>46</v>
      </c>
      <c r="G1037" s="31" t="s">
        <v>59</v>
      </c>
      <c r="H1037" s="31" t="s">
        <v>177</v>
      </c>
      <c r="I1037" s="32" t="str">
        <f aca="false">INDEX(Productos!$B$2:$B$13,MATCH($H1037,Productos!$A$2:$A$13,0))</f>
        <v>Tirafondo madera 6x100 cabeza plana Torx</v>
      </c>
      <c r="J1037" s="32" t="str">
        <f aca="false">INDEX(Productos!$C$2:$C$13,MATCH($H1037,Productos!$A$2:$A$13,0))</f>
        <v>Madera</v>
      </c>
      <c r="K1037" s="31" t="s">
        <v>246</v>
      </c>
      <c r="L1037" s="46" t="n">
        <v>42</v>
      </c>
      <c r="M1037" s="50" t="n">
        <f aca="false">INDEX(Productos!$F$2:$F$13,MATCH($H1037,Productos!$A$2:$A$13,0))</f>
        <v>34</v>
      </c>
      <c r="N1037" s="51" t="n">
        <v>0.088</v>
      </c>
      <c r="O1037" s="52" t="n">
        <f aca="false">M1037*(1-N1037)</f>
        <v>31.008</v>
      </c>
      <c r="P1037" s="21" t="n">
        <f aca="false">L1037*O1037</f>
        <v>1302.336</v>
      </c>
      <c r="Q1037" s="50" t="n">
        <f aca="false">INDEX(Productos!$E$2:$E$13,MATCH($H1037,Productos!$A$2:$A$13,0))*INDEX(Parametros!$B$26:$B$43,MATCH($C1037,Parametros!$A$26:$A$43,0))</f>
        <v>18.067</v>
      </c>
      <c r="R1037" s="21" t="n">
        <f aca="false">L1037*Q1037</f>
        <v>758.814</v>
      </c>
      <c r="S1037" s="18" t="n">
        <f aca="false">L1037*INDEX(Parametros!$B$20:$B$22,MATCH($E1037,Parametros!$A$20:$A$22,0))</f>
        <v>79.8</v>
      </c>
      <c r="T1037" s="18" t="n">
        <f aca="false">P1037*INDEX(Parametros!$B$13:$B$16,MATCH($F1037,Parametros!$A$13:$A$16,0))</f>
        <v>52.09344</v>
      </c>
      <c r="U1037" s="21" t="n">
        <f aca="false">P1037-R1037-S1037-T1037</f>
        <v>411.62856</v>
      </c>
      <c r="V1037" s="19" t="n">
        <f aca="false">IFERROR(U1037/P1037,0)</f>
        <v>0.316069401444788</v>
      </c>
      <c r="W1037" s="48" t="n">
        <f aca="false">B1037+INDEX(Parametros!$C$13:$C$16,MATCH($F1037,Parametros!$A$13:$A$16,0))</f>
        <v>46090</v>
      </c>
      <c r="X1037" s="31" t="s">
        <v>67</v>
      </c>
      <c r="Y1037" s="53" t="n">
        <f aca="false">IF(COUNTIF($A$2:$A1037,A1037)=1,1,0)</f>
        <v>1</v>
      </c>
    </row>
    <row r="1038" customFormat="false" ht="15" hidden="false" customHeight="false" outlineLevel="0" collapsed="false">
      <c r="A1038" s="31" t="s">
        <v>800</v>
      </c>
      <c r="B1038" s="36" t="n">
        <v>46015</v>
      </c>
      <c r="C1038" s="49" t="n">
        <f aca="false">DATE(YEAR(B1038),MONTH(B1038),1)</f>
        <v>45992</v>
      </c>
      <c r="D1038" s="31" t="s">
        <v>223</v>
      </c>
      <c r="E1038" s="31" t="s">
        <v>43</v>
      </c>
      <c r="F1038" s="31" t="s">
        <v>46</v>
      </c>
      <c r="G1038" s="31" t="s">
        <v>59</v>
      </c>
      <c r="H1038" s="31" t="s">
        <v>171</v>
      </c>
      <c r="I1038" s="32" t="str">
        <f aca="false">INDEX(Productos!$B$2:$B$13,MATCH($H1038,Productos!$A$2:$A$13,0))</f>
        <v>Tornillo DIN 7991 M8x30 avellanado inox A2</v>
      </c>
      <c r="J1038" s="32" t="str">
        <f aca="false">INDEX(Productos!$C$2:$C$13,MATCH($H1038,Productos!$A$2:$A$13,0))</f>
        <v>Inoxidable</v>
      </c>
      <c r="K1038" s="31" t="s">
        <v>246</v>
      </c>
      <c r="L1038" s="46" t="n">
        <v>26</v>
      </c>
      <c r="M1038" s="50" t="n">
        <f aca="false">INDEX(Productos!$F$2:$F$13,MATCH($H1038,Productos!$A$2:$A$13,0))</f>
        <v>88</v>
      </c>
      <c r="N1038" s="51" t="n">
        <v>0.118</v>
      </c>
      <c r="O1038" s="52" t="n">
        <f aca="false">M1038*(1-N1038)</f>
        <v>77.616</v>
      </c>
      <c r="P1038" s="21" t="n">
        <f aca="false">L1038*O1038</f>
        <v>2018.016</v>
      </c>
      <c r="Q1038" s="50" t="n">
        <f aca="false">INDEX(Productos!$E$2:$E$13,MATCH($H1038,Productos!$A$2:$A$13,0))*INDEX(Parametros!$B$26:$B$43,MATCH($C1038,Parametros!$A$26:$A$43,0))</f>
        <v>47.1975</v>
      </c>
      <c r="R1038" s="21" t="n">
        <f aca="false">L1038*Q1038</f>
        <v>1227.135</v>
      </c>
      <c r="S1038" s="18" t="n">
        <f aca="false">L1038*INDEX(Parametros!$B$20:$B$22,MATCH($E1038,Parametros!$A$20:$A$22,0))</f>
        <v>49.4</v>
      </c>
      <c r="T1038" s="18" t="n">
        <f aca="false">P1038*INDEX(Parametros!$B$13:$B$16,MATCH($F1038,Parametros!$A$13:$A$16,0))</f>
        <v>80.72064</v>
      </c>
      <c r="U1038" s="21" t="n">
        <f aca="false">P1038-R1038-S1038-T1038</f>
        <v>660.76036</v>
      </c>
      <c r="V1038" s="19" t="n">
        <f aca="false">IFERROR(U1038/P1038,0)</f>
        <v>0.32743068439497</v>
      </c>
      <c r="W1038" s="48" t="n">
        <f aca="false">B1038+INDEX(Parametros!$C$13:$C$16,MATCH($F1038,Parametros!$A$13:$A$16,0))</f>
        <v>46090</v>
      </c>
      <c r="X1038" s="31" t="s">
        <v>67</v>
      </c>
      <c r="Y1038" s="53" t="n">
        <f aca="false">IF(COUNTIF($A$2:$A1038,A1038)=1,1,0)</f>
        <v>0</v>
      </c>
    </row>
    <row r="1039" customFormat="false" ht="15" hidden="false" customHeight="false" outlineLevel="0" collapsed="false">
      <c r="A1039" s="31" t="s">
        <v>801</v>
      </c>
      <c r="B1039" s="36" t="n">
        <v>46015</v>
      </c>
      <c r="C1039" s="49" t="n">
        <f aca="false">DATE(YEAR(B1039),MONTH(B1039),1)</f>
        <v>45992</v>
      </c>
      <c r="D1039" s="31" t="s">
        <v>197</v>
      </c>
      <c r="E1039" s="31" t="s">
        <v>41</v>
      </c>
      <c r="F1039" s="31" t="s">
        <v>46</v>
      </c>
      <c r="G1039" s="31" t="s">
        <v>58</v>
      </c>
      <c r="H1039" s="31" t="s">
        <v>165</v>
      </c>
      <c r="I1039" s="32" t="str">
        <f aca="false">INDEX(Productos!$B$2:$B$13,MATCH($H1039,Productos!$A$2:$A$13,0))</f>
        <v>Tornillo DIN 933 M8x40 rosca completa zincado</v>
      </c>
      <c r="J1039" s="32" t="str">
        <f aca="false">INDEX(Productos!$C$2:$C$13,MATCH($H1039,Productos!$A$2:$A$13,0))</f>
        <v>Métrica</v>
      </c>
      <c r="K1039" s="31" t="s">
        <v>246</v>
      </c>
      <c r="L1039" s="46" t="n">
        <v>207</v>
      </c>
      <c r="M1039" s="50" t="n">
        <f aca="false">INDEX(Productos!$F$2:$F$13,MATCH($H1039,Productos!$A$2:$A$13,0))</f>
        <v>37.5</v>
      </c>
      <c r="N1039" s="51" t="n">
        <v>0.094</v>
      </c>
      <c r="O1039" s="52" t="n">
        <f aca="false">M1039*(1-N1039)</f>
        <v>33.975</v>
      </c>
      <c r="P1039" s="21" t="n">
        <f aca="false">L1039*O1039</f>
        <v>7032.825</v>
      </c>
      <c r="Q1039" s="50" t="n">
        <f aca="false">INDEX(Productos!$E$2:$E$13,MATCH($H1039,Productos!$A$2:$A$13,0))*INDEX(Parametros!$B$26:$B$43,MATCH($C1039,Parametros!$A$26:$A$43,0))</f>
        <v>19.691</v>
      </c>
      <c r="R1039" s="21" t="n">
        <f aca="false">L1039*Q1039</f>
        <v>4076.037</v>
      </c>
      <c r="S1039" s="18" t="n">
        <f aca="false">L1039*INDEX(Parametros!$B$20:$B$22,MATCH($E1039,Parametros!$A$20:$A$22,0))</f>
        <v>175.95</v>
      </c>
      <c r="T1039" s="18" t="n">
        <f aca="false">P1039*INDEX(Parametros!$B$13:$B$16,MATCH($F1039,Parametros!$A$13:$A$16,0))</f>
        <v>281.313</v>
      </c>
      <c r="U1039" s="21" t="n">
        <f aca="false">P1039-R1039-S1039-T1039</f>
        <v>2499.525</v>
      </c>
      <c r="V1039" s="19" t="n">
        <f aca="false">IFERROR(U1039/P1039,0)</f>
        <v>0.355408388520972</v>
      </c>
      <c r="W1039" s="48" t="n">
        <f aca="false">B1039+INDEX(Parametros!$C$13:$C$16,MATCH($F1039,Parametros!$A$13:$A$16,0))</f>
        <v>46090</v>
      </c>
      <c r="X1039" s="31" t="s">
        <v>67</v>
      </c>
      <c r="Y1039" s="53" t="n">
        <f aca="false">IF(COUNTIF($A$2:$A1039,A1039)=1,1,0)</f>
        <v>1</v>
      </c>
    </row>
    <row r="1040" customFormat="false" ht="15" hidden="false" customHeight="false" outlineLevel="0" collapsed="false">
      <c r="A1040" s="31" t="s">
        <v>801</v>
      </c>
      <c r="B1040" s="36" t="n">
        <v>46015</v>
      </c>
      <c r="C1040" s="49" t="n">
        <f aca="false">DATE(YEAR(B1040),MONTH(B1040),1)</f>
        <v>45992</v>
      </c>
      <c r="D1040" s="31" t="s">
        <v>197</v>
      </c>
      <c r="E1040" s="31" t="s">
        <v>41</v>
      </c>
      <c r="F1040" s="31" t="s">
        <v>46</v>
      </c>
      <c r="G1040" s="31" t="s">
        <v>58</v>
      </c>
      <c r="H1040" s="31" t="s">
        <v>175</v>
      </c>
      <c r="I1040" s="32" t="str">
        <f aca="false">INDEX(Productos!$B$2:$B$13,MATCH($H1040,Productos!$A$2:$A$13,0))</f>
        <v>Tirafondo madera 5x60 cabeza plana Torx</v>
      </c>
      <c r="J1040" s="32" t="str">
        <f aca="false">INDEX(Productos!$C$2:$C$13,MATCH($H1040,Productos!$A$2:$A$13,0))</f>
        <v>Madera</v>
      </c>
      <c r="K1040" s="31" t="s">
        <v>246</v>
      </c>
      <c r="L1040" s="46" t="n">
        <v>122</v>
      </c>
      <c r="M1040" s="50" t="n">
        <f aca="false">INDEX(Productos!$F$2:$F$13,MATCH($H1040,Productos!$A$2:$A$13,0))</f>
        <v>26</v>
      </c>
      <c r="N1040" s="51" t="n">
        <v>0.088</v>
      </c>
      <c r="O1040" s="52" t="n">
        <f aca="false">M1040*(1-N1040)</f>
        <v>23.712</v>
      </c>
      <c r="P1040" s="21" t="n">
        <f aca="false">L1040*O1040</f>
        <v>2892.864</v>
      </c>
      <c r="Q1040" s="50" t="n">
        <f aca="false">INDEX(Productos!$E$2:$E$13,MATCH($H1040,Productos!$A$2:$A$13,0))*INDEX(Parametros!$B$26:$B$43,MATCH($C1040,Parametros!$A$26:$A$43,0))</f>
        <v>13.601</v>
      </c>
      <c r="R1040" s="21" t="n">
        <f aca="false">L1040*Q1040</f>
        <v>1659.322</v>
      </c>
      <c r="S1040" s="18" t="n">
        <f aca="false">L1040*INDEX(Parametros!$B$20:$B$22,MATCH($E1040,Parametros!$A$20:$A$22,0))</f>
        <v>103.7</v>
      </c>
      <c r="T1040" s="18" t="n">
        <f aca="false">P1040*INDEX(Parametros!$B$13:$B$16,MATCH($F1040,Parametros!$A$13:$A$16,0))</f>
        <v>115.71456</v>
      </c>
      <c r="U1040" s="21" t="n">
        <f aca="false">P1040-R1040-S1040-T1040</f>
        <v>1014.12744</v>
      </c>
      <c r="V1040" s="19" t="n">
        <f aca="false">IFERROR(U1040/P1040,0)</f>
        <v>0.350561740890688</v>
      </c>
      <c r="W1040" s="48" t="n">
        <f aca="false">B1040+INDEX(Parametros!$C$13:$C$16,MATCH($F1040,Parametros!$A$13:$A$16,0))</f>
        <v>46090</v>
      </c>
      <c r="X1040" s="31" t="s">
        <v>67</v>
      </c>
      <c r="Y1040" s="53" t="n">
        <f aca="false">IF(COUNTIF($A$2:$A1040,A1040)=1,1,0)</f>
        <v>0</v>
      </c>
    </row>
    <row r="1041" customFormat="false" ht="15" hidden="false" customHeight="false" outlineLevel="0" collapsed="false">
      <c r="A1041" s="31" t="s">
        <v>802</v>
      </c>
      <c r="B1041" s="36" t="n">
        <v>46015</v>
      </c>
      <c r="C1041" s="49" t="n">
        <f aca="false">DATE(YEAR(B1041),MONTH(B1041),1)</f>
        <v>45992</v>
      </c>
      <c r="D1041" s="31" t="s">
        <v>219</v>
      </c>
      <c r="E1041" s="31" t="s">
        <v>42</v>
      </c>
      <c r="F1041" s="31" t="s">
        <v>45</v>
      </c>
      <c r="G1041" s="31" t="s">
        <v>61</v>
      </c>
      <c r="H1041" s="31" t="s">
        <v>167</v>
      </c>
      <c r="I1041" s="32" t="str">
        <f aca="false">INDEX(Productos!$B$2:$B$13,MATCH($H1041,Productos!$A$2:$A$13,0))</f>
        <v>Tornillo DIN 912 M6x25 Allen zincado</v>
      </c>
      <c r="J1041" s="32" t="str">
        <f aca="false">INDEX(Productos!$C$2:$C$13,MATCH($H1041,Productos!$A$2:$A$13,0))</f>
        <v>Métrica</v>
      </c>
      <c r="K1041" s="31" t="s">
        <v>246</v>
      </c>
      <c r="L1041" s="46" t="n">
        <v>56</v>
      </c>
      <c r="M1041" s="50" t="n">
        <f aca="false">INDEX(Productos!$F$2:$F$13,MATCH($H1041,Productos!$A$2:$A$13,0))</f>
        <v>42</v>
      </c>
      <c r="N1041" s="51" t="n">
        <v>0.155</v>
      </c>
      <c r="O1041" s="52" t="n">
        <f aca="false">M1041*(1-N1041)</f>
        <v>35.49</v>
      </c>
      <c r="P1041" s="21" t="n">
        <f aca="false">L1041*O1041</f>
        <v>1987.44</v>
      </c>
      <c r="Q1041" s="50" t="n">
        <f aca="false">INDEX(Productos!$E$2:$E$13,MATCH($H1041,Productos!$A$2:$A$13,0))*INDEX(Parametros!$B$26:$B$43,MATCH($C1041,Parametros!$A$26:$A$43,0))</f>
        <v>22.127</v>
      </c>
      <c r="R1041" s="21" t="n">
        <f aca="false">L1041*Q1041</f>
        <v>1239.112</v>
      </c>
      <c r="S1041" s="18" t="n">
        <f aca="false">L1041*INDEX(Parametros!$B$20:$B$22,MATCH($E1041,Parametros!$A$20:$A$22,0))</f>
        <v>134.4</v>
      </c>
      <c r="T1041" s="18" t="n">
        <f aca="false">P1041*INDEX(Parametros!$B$13:$B$16,MATCH($F1041,Parametros!$A$13:$A$16,0))</f>
        <v>59.6232</v>
      </c>
      <c r="U1041" s="21" t="n">
        <f aca="false">P1041-R1041-S1041-T1041</f>
        <v>554.3048</v>
      </c>
      <c r="V1041" s="19" t="n">
        <f aca="false">IFERROR(U1041/P1041,0)</f>
        <v>0.278903916596224</v>
      </c>
      <c r="W1041" s="48" t="n">
        <f aca="false">B1041+INDEX(Parametros!$C$13:$C$16,MATCH($F1041,Parametros!$A$13:$A$16,0))</f>
        <v>46075</v>
      </c>
      <c r="X1041" s="31" t="s">
        <v>67</v>
      </c>
      <c r="Y1041" s="53" t="n">
        <f aca="false">IF(COUNTIF($A$2:$A1041,A1041)=1,1,0)</f>
        <v>1</v>
      </c>
    </row>
    <row r="1042" customFormat="false" ht="15" hidden="false" customHeight="false" outlineLevel="0" collapsed="false">
      <c r="A1042" s="31" t="s">
        <v>802</v>
      </c>
      <c r="B1042" s="36" t="n">
        <v>46015</v>
      </c>
      <c r="C1042" s="49" t="n">
        <f aca="false">DATE(YEAR(B1042),MONTH(B1042),1)</f>
        <v>45992</v>
      </c>
      <c r="D1042" s="31" t="s">
        <v>219</v>
      </c>
      <c r="E1042" s="31" t="s">
        <v>42</v>
      </c>
      <c r="F1042" s="31" t="s">
        <v>45</v>
      </c>
      <c r="G1042" s="31" t="s">
        <v>61</v>
      </c>
      <c r="H1042" s="31" t="s">
        <v>185</v>
      </c>
      <c r="I1042" s="32" t="str">
        <f aca="false">INDEX(Productos!$B$2:$B$13,MATCH($H1042,Productos!$A$2:$A$13,0))</f>
        <v>Varilla roscada M10 x 1 m zincada</v>
      </c>
      <c r="J1042" s="32" t="str">
        <f aca="false">INDEX(Productos!$C$2:$C$13,MATCH($H1042,Productos!$A$2:$A$13,0))</f>
        <v>Especial</v>
      </c>
      <c r="K1042" s="31" t="s">
        <v>246</v>
      </c>
      <c r="L1042" s="46" t="n">
        <v>295</v>
      </c>
      <c r="M1042" s="50" t="n">
        <f aca="false">INDEX(Productos!$F$2:$F$13,MATCH($H1042,Productos!$A$2:$A$13,0))</f>
        <v>54</v>
      </c>
      <c r="N1042" s="51" t="n">
        <v>0.209</v>
      </c>
      <c r="O1042" s="52" t="n">
        <f aca="false">M1042*(1-N1042)</f>
        <v>42.714</v>
      </c>
      <c r="P1042" s="21" t="n">
        <f aca="false">L1042*O1042</f>
        <v>12600.63</v>
      </c>
      <c r="Q1042" s="50" t="n">
        <f aca="false">INDEX(Productos!$E$2:$E$13,MATCH($H1042,Productos!$A$2:$A$13,0))*INDEX(Parametros!$B$26:$B$43,MATCH($C1042,Parametros!$A$26:$A$43,0))</f>
        <v>28.9275</v>
      </c>
      <c r="R1042" s="21" t="n">
        <f aca="false">L1042*Q1042</f>
        <v>8533.6125</v>
      </c>
      <c r="S1042" s="18" t="n">
        <f aca="false">L1042*INDEX(Parametros!$B$20:$B$22,MATCH($E1042,Parametros!$A$20:$A$22,0))</f>
        <v>708</v>
      </c>
      <c r="T1042" s="18" t="n">
        <f aca="false">P1042*INDEX(Parametros!$B$13:$B$16,MATCH($F1042,Parametros!$A$13:$A$16,0))</f>
        <v>378.0189</v>
      </c>
      <c r="U1042" s="21" t="n">
        <f aca="false">P1042-R1042-S1042-T1042</f>
        <v>2980.9986</v>
      </c>
      <c r="V1042" s="19" t="n">
        <f aca="false">IFERROR(U1042/P1042,0)</f>
        <v>0.236575361708105</v>
      </c>
      <c r="W1042" s="48" t="n">
        <f aca="false">B1042+INDEX(Parametros!$C$13:$C$16,MATCH($F1042,Parametros!$A$13:$A$16,0))</f>
        <v>46075</v>
      </c>
      <c r="X1042" s="31" t="s">
        <v>67</v>
      </c>
      <c r="Y1042" s="53" t="n">
        <f aca="false">IF(COUNTIF($A$2:$A1042,A1042)=1,1,0)</f>
        <v>0</v>
      </c>
    </row>
    <row r="1043" customFormat="false" ht="15" hidden="false" customHeight="false" outlineLevel="0" collapsed="false">
      <c r="A1043" s="31" t="s">
        <v>803</v>
      </c>
      <c r="B1043" s="36" t="n">
        <v>46016</v>
      </c>
      <c r="C1043" s="49" t="n">
        <f aca="false">DATE(YEAR(B1043),MONTH(B1043),1)</f>
        <v>45992</v>
      </c>
      <c r="D1043" s="31" t="s">
        <v>207</v>
      </c>
      <c r="E1043" s="31" t="s">
        <v>41</v>
      </c>
      <c r="F1043" s="31" t="s">
        <v>47</v>
      </c>
      <c r="G1043" s="31" t="s">
        <v>62</v>
      </c>
      <c r="H1043" s="31" t="s">
        <v>165</v>
      </c>
      <c r="I1043" s="32" t="str">
        <f aca="false">INDEX(Productos!$B$2:$B$13,MATCH($H1043,Productos!$A$2:$A$13,0))</f>
        <v>Tornillo DIN 933 M8x40 rosca completa zincado</v>
      </c>
      <c r="J1043" s="32" t="str">
        <f aca="false">INDEX(Productos!$C$2:$C$13,MATCH($H1043,Productos!$A$2:$A$13,0))</f>
        <v>Métrica</v>
      </c>
      <c r="K1043" s="31" t="s">
        <v>246</v>
      </c>
      <c r="L1043" s="46" t="n">
        <v>97</v>
      </c>
      <c r="M1043" s="50" t="n">
        <f aca="false">INDEX(Productos!$F$2:$F$13,MATCH($H1043,Productos!$A$2:$A$13,0))</f>
        <v>37.5</v>
      </c>
      <c r="N1043" s="51" t="n">
        <v>0.048</v>
      </c>
      <c r="O1043" s="52" t="n">
        <f aca="false">M1043*(1-N1043)</f>
        <v>35.7</v>
      </c>
      <c r="P1043" s="21" t="n">
        <f aca="false">L1043*O1043</f>
        <v>3462.9</v>
      </c>
      <c r="Q1043" s="50" t="n">
        <f aca="false">INDEX(Productos!$E$2:$E$13,MATCH($H1043,Productos!$A$2:$A$13,0))*INDEX(Parametros!$B$26:$B$43,MATCH($C1043,Parametros!$A$26:$A$43,0))</f>
        <v>19.691</v>
      </c>
      <c r="R1043" s="21" t="n">
        <f aca="false">L1043*Q1043</f>
        <v>1910.027</v>
      </c>
      <c r="S1043" s="18" t="n">
        <f aca="false">L1043*INDEX(Parametros!$B$20:$B$22,MATCH($E1043,Parametros!$A$20:$A$22,0))</f>
        <v>82.45</v>
      </c>
      <c r="T1043" s="18" t="n">
        <f aca="false">P1043*INDEX(Parametros!$B$13:$B$16,MATCH($F1043,Parametros!$A$13:$A$16,0))</f>
        <v>121.2015</v>
      </c>
      <c r="U1043" s="21" t="n">
        <f aca="false">P1043-R1043-S1043-T1043</f>
        <v>1349.2215</v>
      </c>
      <c r="V1043" s="19" t="n">
        <f aca="false">IFERROR(U1043/P1043,0)</f>
        <v>0.389621848739496</v>
      </c>
      <c r="W1043" s="48" t="n">
        <f aca="false">B1043+INDEX(Parametros!$C$13:$C$16,MATCH($F1043,Parametros!$A$13:$A$16,0))</f>
        <v>46061</v>
      </c>
      <c r="X1043" s="31" t="s">
        <v>67</v>
      </c>
      <c r="Y1043" s="53" t="n">
        <f aca="false">IF(COUNTIF($A$2:$A1043,A1043)=1,1,0)</f>
        <v>1</v>
      </c>
    </row>
    <row r="1044" customFormat="false" ht="15" hidden="false" customHeight="false" outlineLevel="0" collapsed="false">
      <c r="A1044" s="31" t="s">
        <v>803</v>
      </c>
      <c r="B1044" s="36" t="n">
        <v>46016</v>
      </c>
      <c r="C1044" s="49" t="n">
        <f aca="false">DATE(YEAR(B1044),MONTH(B1044),1)</f>
        <v>45992</v>
      </c>
      <c r="D1044" s="31" t="s">
        <v>207</v>
      </c>
      <c r="E1044" s="31" t="s">
        <v>41</v>
      </c>
      <c r="F1044" s="31" t="s">
        <v>47</v>
      </c>
      <c r="G1044" s="31" t="s">
        <v>62</v>
      </c>
      <c r="H1044" s="31" t="s">
        <v>163</v>
      </c>
      <c r="I1044" s="32" t="str">
        <f aca="false">INDEX(Productos!$B$2:$B$13,MATCH($H1044,Productos!$A$2:$A$13,0))</f>
        <v>Tornillo DIN 933 M6x30 rosca completa zincado</v>
      </c>
      <c r="J1044" s="32" t="str">
        <f aca="false">INDEX(Productos!$C$2:$C$13,MATCH($H1044,Productos!$A$2:$A$13,0))</f>
        <v>Métrica</v>
      </c>
      <c r="K1044" s="31" t="s">
        <v>246</v>
      </c>
      <c r="L1044" s="46" t="n">
        <v>77</v>
      </c>
      <c r="M1044" s="50" t="n">
        <f aca="false">INDEX(Productos!$F$2:$F$13,MATCH($H1044,Productos!$A$2:$A$13,0))</f>
        <v>32</v>
      </c>
      <c r="N1044" s="51" t="n">
        <v>0.047</v>
      </c>
      <c r="O1044" s="52" t="n">
        <f aca="false">M1044*(1-N1044)</f>
        <v>30.496</v>
      </c>
      <c r="P1044" s="21" t="n">
        <f aca="false">L1044*O1044</f>
        <v>2348.192</v>
      </c>
      <c r="Q1044" s="50" t="n">
        <f aca="false">INDEX(Productos!$E$2:$E$13,MATCH($H1044,Productos!$A$2:$A$13,0))*INDEX(Parametros!$B$26:$B$43,MATCH($C1044,Parametros!$A$26:$A$43,0))</f>
        <v>16.849</v>
      </c>
      <c r="R1044" s="21" t="n">
        <f aca="false">L1044*Q1044</f>
        <v>1297.373</v>
      </c>
      <c r="S1044" s="18" t="n">
        <f aca="false">L1044*INDEX(Parametros!$B$20:$B$22,MATCH($E1044,Parametros!$A$20:$A$22,0))</f>
        <v>65.45</v>
      </c>
      <c r="T1044" s="18" t="n">
        <f aca="false">P1044*INDEX(Parametros!$B$13:$B$16,MATCH($F1044,Parametros!$A$13:$A$16,0))</f>
        <v>82.18672</v>
      </c>
      <c r="U1044" s="21" t="n">
        <f aca="false">P1044-R1044-S1044-T1044</f>
        <v>903.18228</v>
      </c>
      <c r="V1044" s="19" t="n">
        <f aca="false">IFERROR(U1044/P1044,0)</f>
        <v>0.384628803777545</v>
      </c>
      <c r="W1044" s="48" t="n">
        <f aca="false">B1044+INDEX(Parametros!$C$13:$C$16,MATCH($F1044,Parametros!$A$13:$A$16,0))</f>
        <v>46061</v>
      </c>
      <c r="X1044" s="31" t="s">
        <v>67</v>
      </c>
      <c r="Y1044" s="53" t="n">
        <f aca="false">IF(COUNTIF($A$2:$A1044,A1044)=1,1,0)</f>
        <v>0</v>
      </c>
    </row>
    <row r="1045" customFormat="false" ht="15" hidden="false" customHeight="false" outlineLevel="0" collapsed="false">
      <c r="A1045" s="31" t="s">
        <v>803</v>
      </c>
      <c r="B1045" s="36" t="n">
        <v>46016</v>
      </c>
      <c r="C1045" s="49" t="n">
        <f aca="false">DATE(YEAR(B1045),MONTH(B1045),1)</f>
        <v>45992</v>
      </c>
      <c r="D1045" s="31" t="s">
        <v>207</v>
      </c>
      <c r="E1045" s="31" t="s">
        <v>41</v>
      </c>
      <c r="F1045" s="31" t="s">
        <v>47</v>
      </c>
      <c r="G1045" s="31" t="s">
        <v>62</v>
      </c>
      <c r="H1045" s="31" t="s">
        <v>179</v>
      </c>
      <c r="I1045" s="32" t="str">
        <f aca="false">INDEX(Productos!$B$2:$B$13,MATCH($H1045,Productos!$A$2:$A$13,0))</f>
        <v>Autotaladrante DIN 7504 4,8x38 zincado</v>
      </c>
      <c r="J1045" s="32" t="str">
        <f aca="false">INDEX(Productos!$C$2:$C$13,MATCH($H1045,Productos!$A$2:$A$13,0))</f>
        <v>Autotaladrante</v>
      </c>
      <c r="K1045" s="31" t="s">
        <v>246</v>
      </c>
      <c r="L1045" s="46" t="n">
        <v>13</v>
      </c>
      <c r="M1045" s="50" t="n">
        <f aca="false">INDEX(Productos!$F$2:$F$13,MATCH($H1045,Productos!$A$2:$A$13,0))</f>
        <v>29.5</v>
      </c>
      <c r="N1045" s="51" t="n">
        <v>0.054</v>
      </c>
      <c r="O1045" s="52" t="n">
        <f aca="false">M1045*(1-N1045)</f>
        <v>27.907</v>
      </c>
      <c r="P1045" s="21" t="n">
        <f aca="false">L1045*O1045</f>
        <v>362.791</v>
      </c>
      <c r="Q1045" s="50" t="n">
        <f aca="false">INDEX(Productos!$E$2:$E$13,MATCH($H1045,Productos!$A$2:$A$13,0))*INDEX(Parametros!$B$26:$B$43,MATCH($C1045,Parametros!$A$26:$A$43,0))</f>
        <v>15.428</v>
      </c>
      <c r="R1045" s="21" t="n">
        <f aca="false">L1045*Q1045</f>
        <v>200.564</v>
      </c>
      <c r="S1045" s="18" t="n">
        <f aca="false">L1045*INDEX(Parametros!$B$20:$B$22,MATCH($E1045,Parametros!$A$20:$A$22,0))</f>
        <v>11.05</v>
      </c>
      <c r="T1045" s="18" t="n">
        <f aca="false">P1045*INDEX(Parametros!$B$13:$B$16,MATCH($F1045,Parametros!$A$13:$A$16,0))</f>
        <v>12.697685</v>
      </c>
      <c r="U1045" s="21" t="n">
        <f aca="false">P1045-R1045-S1045-T1045</f>
        <v>138.479315</v>
      </c>
      <c r="V1045" s="19" t="n">
        <f aca="false">IFERROR(U1045/P1045,0)</f>
        <v>0.381705486078762</v>
      </c>
      <c r="W1045" s="48" t="n">
        <f aca="false">B1045+INDEX(Parametros!$C$13:$C$16,MATCH($F1045,Parametros!$A$13:$A$16,0))</f>
        <v>46061</v>
      </c>
      <c r="X1045" s="31" t="s">
        <v>67</v>
      </c>
      <c r="Y1045" s="53" t="n">
        <f aca="false">IF(COUNTIF($A$2:$A1045,A1045)=1,1,0)</f>
        <v>0</v>
      </c>
    </row>
    <row r="1046" customFormat="false" ht="15" hidden="false" customHeight="false" outlineLevel="0" collapsed="false">
      <c r="A1046" s="31" t="s">
        <v>804</v>
      </c>
      <c r="B1046" s="36" t="n">
        <v>46016</v>
      </c>
      <c r="C1046" s="49" t="n">
        <f aca="false">DATE(YEAR(B1046),MONTH(B1046),1)</f>
        <v>45992</v>
      </c>
      <c r="D1046" s="31" t="s">
        <v>216</v>
      </c>
      <c r="E1046" s="31" t="s">
        <v>42</v>
      </c>
      <c r="F1046" s="31" t="s">
        <v>45</v>
      </c>
      <c r="G1046" s="31" t="s">
        <v>61</v>
      </c>
      <c r="H1046" s="31" t="s">
        <v>173</v>
      </c>
      <c r="I1046" s="32" t="str">
        <f aca="false">INDEX(Productos!$B$2:$B$13,MATCH($H1046,Productos!$A$2:$A$13,0))</f>
        <v>Tornillo DIN 933 M12x70 clase 8.8</v>
      </c>
      <c r="J1046" s="32" t="str">
        <f aca="false">INDEX(Productos!$C$2:$C$13,MATCH($H1046,Productos!$A$2:$A$13,0))</f>
        <v>Métrica</v>
      </c>
      <c r="K1046" s="31" t="s">
        <v>246</v>
      </c>
      <c r="L1046" s="46" t="n">
        <v>250</v>
      </c>
      <c r="M1046" s="50" t="n">
        <f aca="false">INDEX(Productos!$F$2:$F$13,MATCH($H1046,Productos!$A$2:$A$13,0))</f>
        <v>64</v>
      </c>
      <c r="N1046" s="51" t="n">
        <v>0.137</v>
      </c>
      <c r="O1046" s="52" t="n">
        <f aca="false">M1046*(1-N1046)</f>
        <v>55.232</v>
      </c>
      <c r="P1046" s="21" t="n">
        <f aca="false">L1046*O1046</f>
        <v>13808</v>
      </c>
      <c r="Q1046" s="50" t="n">
        <f aca="false">INDEX(Productos!$E$2:$E$13,MATCH($H1046,Productos!$A$2:$A$13,0))*INDEX(Parametros!$B$26:$B$43,MATCH($C1046,Parametros!$A$26:$A$43,0))</f>
        <v>34.0025</v>
      </c>
      <c r="R1046" s="21" t="n">
        <f aca="false">L1046*Q1046</f>
        <v>8500.625</v>
      </c>
      <c r="S1046" s="18" t="n">
        <f aca="false">L1046*INDEX(Parametros!$B$20:$B$22,MATCH($E1046,Parametros!$A$20:$A$22,0))</f>
        <v>600</v>
      </c>
      <c r="T1046" s="18" t="n">
        <f aca="false">P1046*INDEX(Parametros!$B$13:$B$16,MATCH($F1046,Parametros!$A$13:$A$16,0))</f>
        <v>414.24</v>
      </c>
      <c r="U1046" s="21" t="n">
        <f aca="false">P1046-R1046-S1046-T1046</f>
        <v>4293.135</v>
      </c>
      <c r="V1046" s="19" t="n">
        <f aca="false">IFERROR(U1046/P1046,0)</f>
        <v>0.310916497682503</v>
      </c>
      <c r="W1046" s="48" t="n">
        <f aca="false">B1046+INDEX(Parametros!$C$13:$C$16,MATCH($F1046,Parametros!$A$13:$A$16,0))</f>
        <v>46076</v>
      </c>
      <c r="X1046" s="31" t="s">
        <v>67</v>
      </c>
      <c r="Y1046" s="53" t="n">
        <f aca="false">IF(COUNTIF($A$2:$A1046,A1046)=1,1,0)</f>
        <v>1</v>
      </c>
    </row>
    <row r="1047" customFormat="false" ht="15" hidden="false" customHeight="false" outlineLevel="0" collapsed="false">
      <c r="A1047" s="31" t="s">
        <v>805</v>
      </c>
      <c r="B1047" s="36" t="n">
        <v>46016</v>
      </c>
      <c r="C1047" s="49" t="n">
        <f aca="false">DATE(YEAR(B1047),MONTH(B1047),1)</f>
        <v>45992</v>
      </c>
      <c r="D1047" s="31" t="s">
        <v>198</v>
      </c>
      <c r="E1047" s="31" t="s">
        <v>41</v>
      </c>
      <c r="F1047" s="31" t="s">
        <v>46</v>
      </c>
      <c r="G1047" s="31" t="s">
        <v>58</v>
      </c>
      <c r="H1047" s="31" t="s">
        <v>177</v>
      </c>
      <c r="I1047" s="32" t="str">
        <f aca="false">INDEX(Productos!$B$2:$B$13,MATCH($H1047,Productos!$A$2:$A$13,0))</f>
        <v>Tirafondo madera 6x100 cabeza plana Torx</v>
      </c>
      <c r="J1047" s="32" t="str">
        <f aca="false">INDEX(Productos!$C$2:$C$13,MATCH($H1047,Productos!$A$2:$A$13,0))</f>
        <v>Madera</v>
      </c>
      <c r="K1047" s="31" t="s">
        <v>246</v>
      </c>
      <c r="L1047" s="46" t="n">
        <v>71</v>
      </c>
      <c r="M1047" s="50" t="n">
        <f aca="false">INDEX(Productos!$F$2:$F$13,MATCH($H1047,Productos!$A$2:$A$13,0))</f>
        <v>34</v>
      </c>
      <c r="N1047" s="51" t="n">
        <v>0.117</v>
      </c>
      <c r="O1047" s="52" t="n">
        <f aca="false">M1047*(1-N1047)</f>
        <v>30.022</v>
      </c>
      <c r="P1047" s="21" t="n">
        <f aca="false">L1047*O1047</f>
        <v>2131.562</v>
      </c>
      <c r="Q1047" s="50" t="n">
        <f aca="false">INDEX(Productos!$E$2:$E$13,MATCH($H1047,Productos!$A$2:$A$13,0))*INDEX(Parametros!$B$26:$B$43,MATCH($C1047,Parametros!$A$26:$A$43,0))</f>
        <v>18.067</v>
      </c>
      <c r="R1047" s="21" t="n">
        <f aca="false">L1047*Q1047</f>
        <v>1282.757</v>
      </c>
      <c r="S1047" s="18" t="n">
        <f aca="false">L1047*INDEX(Parametros!$B$20:$B$22,MATCH($E1047,Parametros!$A$20:$A$22,0))</f>
        <v>60.35</v>
      </c>
      <c r="T1047" s="18" t="n">
        <f aca="false">P1047*INDEX(Parametros!$B$13:$B$16,MATCH($F1047,Parametros!$A$13:$A$16,0))</f>
        <v>85.26248</v>
      </c>
      <c r="U1047" s="21" t="n">
        <f aca="false">P1047-R1047-S1047-T1047</f>
        <v>703.19252</v>
      </c>
      <c r="V1047" s="19" t="n">
        <f aca="false">IFERROR(U1047/P1047,0)</f>
        <v>0.329895410032643</v>
      </c>
      <c r="W1047" s="48" t="n">
        <f aca="false">B1047+INDEX(Parametros!$C$13:$C$16,MATCH($F1047,Parametros!$A$13:$A$16,0))</f>
        <v>46091</v>
      </c>
      <c r="X1047" s="31" t="s">
        <v>67</v>
      </c>
      <c r="Y1047" s="53" t="n">
        <f aca="false">IF(COUNTIF($A$2:$A1047,A1047)=1,1,0)</f>
        <v>1</v>
      </c>
    </row>
    <row r="1048" customFormat="false" ht="15" hidden="false" customHeight="false" outlineLevel="0" collapsed="false">
      <c r="A1048" s="31" t="s">
        <v>805</v>
      </c>
      <c r="B1048" s="36" t="n">
        <v>46016</v>
      </c>
      <c r="C1048" s="49" t="n">
        <f aca="false">DATE(YEAR(B1048),MONTH(B1048),1)</f>
        <v>45992</v>
      </c>
      <c r="D1048" s="31" t="s">
        <v>198</v>
      </c>
      <c r="E1048" s="31" t="s">
        <v>41</v>
      </c>
      <c r="F1048" s="31" t="s">
        <v>46</v>
      </c>
      <c r="G1048" s="31" t="s">
        <v>58</v>
      </c>
      <c r="H1048" s="31" t="s">
        <v>175</v>
      </c>
      <c r="I1048" s="32" t="str">
        <f aca="false">INDEX(Productos!$B$2:$B$13,MATCH($H1048,Productos!$A$2:$A$13,0))</f>
        <v>Tirafondo madera 5x60 cabeza plana Torx</v>
      </c>
      <c r="J1048" s="32" t="str">
        <f aca="false">INDEX(Productos!$C$2:$C$13,MATCH($H1048,Productos!$A$2:$A$13,0))</f>
        <v>Madera</v>
      </c>
      <c r="K1048" s="31" t="s">
        <v>246</v>
      </c>
      <c r="L1048" s="46" t="n">
        <v>212</v>
      </c>
      <c r="M1048" s="50" t="n">
        <f aca="false">INDEX(Productos!$F$2:$F$13,MATCH($H1048,Productos!$A$2:$A$13,0))</f>
        <v>26</v>
      </c>
      <c r="N1048" s="51" t="n">
        <v>0.164</v>
      </c>
      <c r="O1048" s="52" t="n">
        <f aca="false">M1048*(1-N1048)</f>
        <v>21.736</v>
      </c>
      <c r="P1048" s="21" t="n">
        <f aca="false">L1048*O1048</f>
        <v>4608.032</v>
      </c>
      <c r="Q1048" s="50" t="n">
        <f aca="false">INDEX(Productos!$E$2:$E$13,MATCH($H1048,Productos!$A$2:$A$13,0))*INDEX(Parametros!$B$26:$B$43,MATCH($C1048,Parametros!$A$26:$A$43,0))</f>
        <v>13.601</v>
      </c>
      <c r="R1048" s="21" t="n">
        <f aca="false">L1048*Q1048</f>
        <v>2883.412</v>
      </c>
      <c r="S1048" s="18" t="n">
        <f aca="false">L1048*INDEX(Parametros!$B$20:$B$22,MATCH($E1048,Parametros!$A$20:$A$22,0))</f>
        <v>180.2</v>
      </c>
      <c r="T1048" s="18" t="n">
        <f aca="false">P1048*INDEX(Parametros!$B$13:$B$16,MATCH($F1048,Parametros!$A$13:$A$16,0))</f>
        <v>184.32128</v>
      </c>
      <c r="U1048" s="21" t="n">
        <f aca="false">P1048-R1048-S1048-T1048</f>
        <v>1360.09872</v>
      </c>
      <c r="V1048" s="19" t="n">
        <f aca="false">IFERROR(U1048/P1048,0)</f>
        <v>0.295158262789842</v>
      </c>
      <c r="W1048" s="48" t="n">
        <f aca="false">B1048+INDEX(Parametros!$C$13:$C$16,MATCH($F1048,Parametros!$A$13:$A$16,0))</f>
        <v>46091</v>
      </c>
      <c r="X1048" s="31" t="s">
        <v>67</v>
      </c>
      <c r="Y1048" s="53" t="n">
        <f aca="false">IF(COUNTIF($A$2:$A1048,A1048)=1,1,0)</f>
        <v>0</v>
      </c>
    </row>
    <row r="1049" customFormat="false" ht="15" hidden="false" customHeight="false" outlineLevel="0" collapsed="false">
      <c r="A1049" s="31" t="s">
        <v>806</v>
      </c>
      <c r="B1049" s="36" t="n">
        <v>46016</v>
      </c>
      <c r="C1049" s="49" t="n">
        <f aca="false">DATE(YEAR(B1049),MONTH(B1049),1)</f>
        <v>45992</v>
      </c>
      <c r="D1049" s="31" t="s">
        <v>203</v>
      </c>
      <c r="E1049" s="31" t="s">
        <v>41</v>
      </c>
      <c r="F1049" s="31" t="s">
        <v>46</v>
      </c>
      <c r="G1049" s="31" t="s">
        <v>58</v>
      </c>
      <c r="H1049" s="31" t="s">
        <v>179</v>
      </c>
      <c r="I1049" s="32" t="str">
        <f aca="false">INDEX(Productos!$B$2:$B$13,MATCH($H1049,Productos!$A$2:$A$13,0))</f>
        <v>Autotaladrante DIN 7504 4,8x38 zincado</v>
      </c>
      <c r="J1049" s="32" t="str">
        <f aca="false">INDEX(Productos!$C$2:$C$13,MATCH($H1049,Productos!$A$2:$A$13,0))</f>
        <v>Autotaladrante</v>
      </c>
      <c r="K1049" s="31" t="s">
        <v>246</v>
      </c>
      <c r="L1049" s="46" t="n">
        <v>141</v>
      </c>
      <c r="M1049" s="50" t="n">
        <f aca="false">INDEX(Productos!$F$2:$F$13,MATCH($H1049,Productos!$A$2:$A$13,0))</f>
        <v>29.5</v>
      </c>
      <c r="N1049" s="51" t="n">
        <v>0.097</v>
      </c>
      <c r="O1049" s="52" t="n">
        <f aca="false">M1049*(1-N1049)</f>
        <v>26.6385</v>
      </c>
      <c r="P1049" s="21" t="n">
        <f aca="false">L1049*O1049</f>
        <v>3756.0285</v>
      </c>
      <c r="Q1049" s="50" t="n">
        <f aca="false">INDEX(Productos!$E$2:$E$13,MATCH($H1049,Productos!$A$2:$A$13,0))*INDEX(Parametros!$B$26:$B$43,MATCH($C1049,Parametros!$A$26:$A$43,0))</f>
        <v>15.428</v>
      </c>
      <c r="R1049" s="21" t="n">
        <f aca="false">L1049*Q1049</f>
        <v>2175.348</v>
      </c>
      <c r="S1049" s="18" t="n">
        <f aca="false">L1049*INDEX(Parametros!$B$20:$B$22,MATCH($E1049,Parametros!$A$20:$A$22,0))</f>
        <v>119.85</v>
      </c>
      <c r="T1049" s="18" t="n">
        <f aca="false">P1049*INDEX(Parametros!$B$13:$B$16,MATCH($F1049,Parametros!$A$13:$A$16,0))</f>
        <v>150.24114</v>
      </c>
      <c r="U1049" s="21" t="n">
        <f aca="false">P1049-R1049-S1049-T1049</f>
        <v>1310.58936</v>
      </c>
      <c r="V1049" s="19" t="n">
        <f aca="false">IFERROR(U1049/P1049,0)</f>
        <v>0.348929556844417</v>
      </c>
      <c r="W1049" s="48" t="n">
        <f aca="false">B1049+INDEX(Parametros!$C$13:$C$16,MATCH($F1049,Parametros!$A$13:$A$16,0))</f>
        <v>46091</v>
      </c>
      <c r="X1049" s="31" t="s">
        <v>67</v>
      </c>
      <c r="Y1049" s="53" t="n">
        <f aca="false">IF(COUNTIF($A$2:$A1049,A1049)=1,1,0)</f>
        <v>1</v>
      </c>
    </row>
    <row r="1050" customFormat="false" ht="15" hidden="false" customHeight="false" outlineLevel="0" collapsed="false">
      <c r="A1050" s="31" t="s">
        <v>806</v>
      </c>
      <c r="B1050" s="36" t="n">
        <v>46016</v>
      </c>
      <c r="C1050" s="49" t="n">
        <f aca="false">DATE(YEAR(B1050),MONTH(B1050),1)</f>
        <v>45992</v>
      </c>
      <c r="D1050" s="31" t="s">
        <v>203</v>
      </c>
      <c r="E1050" s="31" t="s">
        <v>41</v>
      </c>
      <c r="F1050" s="31" t="s">
        <v>46</v>
      </c>
      <c r="G1050" s="31" t="s">
        <v>58</v>
      </c>
      <c r="H1050" s="31" t="s">
        <v>183</v>
      </c>
      <c r="I1050" s="32" t="str">
        <f aca="false">INDEX(Productos!$B$2:$B$13,MATCH($H1050,Productos!$A$2:$A$13,0))</f>
        <v>Tornillo estructural M16x90 clase 10.9</v>
      </c>
      <c r="J1050" s="32" t="str">
        <f aca="false">INDEX(Productos!$C$2:$C$13,MATCH($H1050,Productos!$A$2:$A$13,0))</f>
        <v>Especial</v>
      </c>
      <c r="K1050" s="31" t="s">
        <v>246</v>
      </c>
      <c r="L1050" s="46" t="n">
        <v>102</v>
      </c>
      <c r="M1050" s="50" t="n">
        <f aca="false">INDEX(Productos!$F$2:$F$13,MATCH($H1050,Productos!$A$2:$A$13,0))</f>
        <v>112</v>
      </c>
      <c r="N1050" s="51" t="n">
        <v>0.122</v>
      </c>
      <c r="O1050" s="52" t="n">
        <f aca="false">M1050*(1-N1050)</f>
        <v>98.336</v>
      </c>
      <c r="P1050" s="21" t="n">
        <f aca="false">L1050*O1050</f>
        <v>10030.272</v>
      </c>
      <c r="Q1050" s="50" t="n">
        <f aca="false">INDEX(Productos!$E$2:$E$13,MATCH($H1050,Productos!$A$2:$A$13,0))*INDEX(Parametros!$B$26:$B$43,MATCH($C1050,Parametros!$A$26:$A$43,0))</f>
        <v>60.9</v>
      </c>
      <c r="R1050" s="21" t="n">
        <f aca="false">L1050*Q1050</f>
        <v>6211.8</v>
      </c>
      <c r="S1050" s="18" t="n">
        <f aca="false">L1050*INDEX(Parametros!$B$20:$B$22,MATCH($E1050,Parametros!$A$20:$A$22,0))</f>
        <v>86.7</v>
      </c>
      <c r="T1050" s="18" t="n">
        <f aca="false">P1050*INDEX(Parametros!$B$13:$B$16,MATCH($F1050,Parametros!$A$13:$A$16,0))</f>
        <v>401.21088</v>
      </c>
      <c r="U1050" s="21" t="n">
        <f aca="false">P1050-R1050-S1050-T1050</f>
        <v>3330.56112</v>
      </c>
      <c r="V1050" s="19" t="n">
        <f aca="false">IFERROR(U1050/P1050,0)</f>
        <v>0.332050927432476</v>
      </c>
      <c r="W1050" s="48" t="n">
        <f aca="false">B1050+INDEX(Parametros!$C$13:$C$16,MATCH($F1050,Parametros!$A$13:$A$16,0))</f>
        <v>46091</v>
      </c>
      <c r="X1050" s="31" t="s">
        <v>67</v>
      </c>
      <c r="Y1050" s="53" t="n">
        <f aca="false">IF(COUNTIF($A$2:$A1050,A1050)=1,1,0)</f>
        <v>0</v>
      </c>
    </row>
    <row r="1051" customFormat="false" ht="15" hidden="false" customHeight="false" outlineLevel="0" collapsed="false">
      <c r="A1051" s="31" t="s">
        <v>807</v>
      </c>
      <c r="B1051" s="36" t="n">
        <v>46017</v>
      </c>
      <c r="C1051" s="49" t="n">
        <f aca="false">DATE(YEAR(B1051),MONTH(B1051),1)</f>
        <v>45992</v>
      </c>
      <c r="D1051" s="31" t="s">
        <v>228</v>
      </c>
      <c r="E1051" s="31" t="s">
        <v>43</v>
      </c>
      <c r="F1051" s="31" t="s">
        <v>47</v>
      </c>
      <c r="G1051" s="31" t="s">
        <v>59</v>
      </c>
      <c r="H1051" s="31" t="s">
        <v>179</v>
      </c>
      <c r="I1051" s="32" t="str">
        <f aca="false">INDEX(Productos!$B$2:$B$13,MATCH($H1051,Productos!$A$2:$A$13,0))</f>
        <v>Autotaladrante DIN 7504 4,8x38 zincado</v>
      </c>
      <c r="J1051" s="32" t="str">
        <f aca="false">INDEX(Productos!$C$2:$C$13,MATCH($H1051,Productos!$A$2:$A$13,0))</f>
        <v>Autotaladrante</v>
      </c>
      <c r="K1051" s="31" t="s">
        <v>246</v>
      </c>
      <c r="L1051" s="46" t="n">
        <v>70</v>
      </c>
      <c r="M1051" s="50" t="n">
        <f aca="false">INDEX(Productos!$F$2:$F$13,MATCH($H1051,Productos!$A$2:$A$13,0))</f>
        <v>29.5</v>
      </c>
      <c r="N1051" s="51" t="n">
        <v>0.094</v>
      </c>
      <c r="O1051" s="52" t="n">
        <f aca="false">M1051*(1-N1051)</f>
        <v>26.727</v>
      </c>
      <c r="P1051" s="21" t="n">
        <f aca="false">L1051*O1051</f>
        <v>1870.89</v>
      </c>
      <c r="Q1051" s="50" t="n">
        <f aca="false">INDEX(Productos!$E$2:$E$13,MATCH($H1051,Productos!$A$2:$A$13,0))*INDEX(Parametros!$B$26:$B$43,MATCH($C1051,Parametros!$A$26:$A$43,0))</f>
        <v>15.428</v>
      </c>
      <c r="R1051" s="21" t="n">
        <f aca="false">L1051*Q1051</f>
        <v>1079.96</v>
      </c>
      <c r="S1051" s="18" t="n">
        <f aca="false">L1051*INDEX(Parametros!$B$20:$B$22,MATCH($E1051,Parametros!$A$20:$A$22,0))</f>
        <v>133</v>
      </c>
      <c r="T1051" s="18" t="n">
        <f aca="false">P1051*INDEX(Parametros!$B$13:$B$16,MATCH($F1051,Parametros!$A$13:$A$16,0))</f>
        <v>65.48115</v>
      </c>
      <c r="U1051" s="21" t="n">
        <f aca="false">P1051-R1051-S1051-T1051</f>
        <v>592.44885</v>
      </c>
      <c r="V1051" s="19" t="n">
        <f aca="false">IFERROR(U1051/P1051,0)</f>
        <v>0.316666853743406</v>
      </c>
      <c r="W1051" s="48" t="n">
        <f aca="false">B1051+INDEX(Parametros!$C$13:$C$16,MATCH($F1051,Parametros!$A$13:$A$16,0))</f>
        <v>46062</v>
      </c>
      <c r="X1051" s="31" t="s">
        <v>67</v>
      </c>
      <c r="Y1051" s="53" t="n">
        <f aca="false">IF(COUNTIF($A$2:$A1051,A1051)=1,1,0)</f>
        <v>1</v>
      </c>
    </row>
    <row r="1052" customFormat="false" ht="15" hidden="false" customHeight="false" outlineLevel="0" collapsed="false">
      <c r="A1052" s="31" t="s">
        <v>807</v>
      </c>
      <c r="B1052" s="36" t="n">
        <v>46017</v>
      </c>
      <c r="C1052" s="49" t="n">
        <f aca="false">DATE(YEAR(B1052),MONTH(B1052),1)</f>
        <v>45992</v>
      </c>
      <c r="D1052" s="31" t="s">
        <v>228</v>
      </c>
      <c r="E1052" s="31" t="s">
        <v>43</v>
      </c>
      <c r="F1052" s="31" t="s">
        <v>47</v>
      </c>
      <c r="G1052" s="31" t="s">
        <v>59</v>
      </c>
      <c r="H1052" s="31" t="s">
        <v>167</v>
      </c>
      <c r="I1052" s="32" t="str">
        <f aca="false">INDEX(Productos!$B$2:$B$13,MATCH($H1052,Productos!$A$2:$A$13,0))</f>
        <v>Tornillo DIN 912 M6x25 Allen zincado</v>
      </c>
      <c r="J1052" s="32" t="str">
        <f aca="false">INDEX(Productos!$C$2:$C$13,MATCH($H1052,Productos!$A$2:$A$13,0))</f>
        <v>Métrica</v>
      </c>
      <c r="K1052" s="31" t="s">
        <v>246</v>
      </c>
      <c r="L1052" s="46" t="n">
        <v>30</v>
      </c>
      <c r="M1052" s="50" t="n">
        <f aca="false">INDEX(Productos!$F$2:$F$13,MATCH($H1052,Productos!$A$2:$A$13,0))</f>
        <v>42</v>
      </c>
      <c r="N1052" s="51" t="n">
        <v>0.082</v>
      </c>
      <c r="O1052" s="52" t="n">
        <f aca="false">M1052*(1-N1052)</f>
        <v>38.556</v>
      </c>
      <c r="P1052" s="21" t="n">
        <f aca="false">L1052*O1052</f>
        <v>1156.68</v>
      </c>
      <c r="Q1052" s="50" t="n">
        <f aca="false">INDEX(Productos!$E$2:$E$13,MATCH($H1052,Productos!$A$2:$A$13,0))*INDEX(Parametros!$B$26:$B$43,MATCH($C1052,Parametros!$A$26:$A$43,0))</f>
        <v>22.127</v>
      </c>
      <c r="R1052" s="21" t="n">
        <f aca="false">L1052*Q1052</f>
        <v>663.81</v>
      </c>
      <c r="S1052" s="18" t="n">
        <f aca="false">L1052*INDEX(Parametros!$B$20:$B$22,MATCH($E1052,Parametros!$A$20:$A$22,0))</f>
        <v>57</v>
      </c>
      <c r="T1052" s="18" t="n">
        <f aca="false">P1052*INDEX(Parametros!$B$13:$B$16,MATCH($F1052,Parametros!$A$13:$A$16,0))</f>
        <v>40.4838</v>
      </c>
      <c r="U1052" s="21" t="n">
        <f aca="false">P1052-R1052-S1052-T1052</f>
        <v>395.3862</v>
      </c>
      <c r="V1052" s="19" t="n">
        <f aca="false">IFERROR(U1052/P1052,0)</f>
        <v>0.34182850918145</v>
      </c>
      <c r="W1052" s="48" t="n">
        <f aca="false">B1052+INDEX(Parametros!$C$13:$C$16,MATCH($F1052,Parametros!$A$13:$A$16,0))</f>
        <v>46062</v>
      </c>
      <c r="X1052" s="31" t="s">
        <v>67</v>
      </c>
      <c r="Y1052" s="53" t="n">
        <f aca="false">IF(COUNTIF($A$2:$A1052,A1052)=1,1,0)</f>
        <v>0</v>
      </c>
    </row>
    <row r="1053" customFormat="false" ht="15" hidden="false" customHeight="false" outlineLevel="0" collapsed="false">
      <c r="A1053" s="31" t="s">
        <v>807</v>
      </c>
      <c r="B1053" s="36" t="n">
        <v>46017</v>
      </c>
      <c r="C1053" s="49" t="n">
        <f aca="false">DATE(YEAR(B1053),MONTH(B1053),1)</f>
        <v>45992</v>
      </c>
      <c r="D1053" s="31" t="s">
        <v>228</v>
      </c>
      <c r="E1053" s="31" t="s">
        <v>43</v>
      </c>
      <c r="F1053" s="31" t="s">
        <v>47</v>
      </c>
      <c r="G1053" s="31" t="s">
        <v>59</v>
      </c>
      <c r="H1053" s="31" t="s">
        <v>163</v>
      </c>
      <c r="I1053" s="32" t="str">
        <f aca="false">INDEX(Productos!$B$2:$B$13,MATCH($H1053,Productos!$A$2:$A$13,0))</f>
        <v>Tornillo DIN 933 M6x30 rosca completa zincado</v>
      </c>
      <c r="J1053" s="32" t="str">
        <f aca="false">INDEX(Productos!$C$2:$C$13,MATCH($H1053,Productos!$A$2:$A$13,0))</f>
        <v>Métrica</v>
      </c>
      <c r="K1053" s="31" t="s">
        <v>246</v>
      </c>
      <c r="L1053" s="46" t="n">
        <v>155</v>
      </c>
      <c r="M1053" s="50" t="n">
        <f aca="false">INDEX(Productos!$F$2:$F$13,MATCH($H1053,Productos!$A$2:$A$13,0))</f>
        <v>32</v>
      </c>
      <c r="N1053" s="51" t="n">
        <v>0.059</v>
      </c>
      <c r="O1053" s="52" t="n">
        <f aca="false">M1053*(1-N1053)</f>
        <v>30.112</v>
      </c>
      <c r="P1053" s="21" t="n">
        <f aca="false">L1053*O1053</f>
        <v>4667.36</v>
      </c>
      <c r="Q1053" s="50" t="n">
        <f aca="false">INDEX(Productos!$E$2:$E$13,MATCH($H1053,Productos!$A$2:$A$13,0))*INDEX(Parametros!$B$26:$B$43,MATCH($C1053,Parametros!$A$26:$A$43,0))</f>
        <v>16.849</v>
      </c>
      <c r="R1053" s="21" t="n">
        <f aca="false">L1053*Q1053</f>
        <v>2611.595</v>
      </c>
      <c r="S1053" s="18" t="n">
        <f aca="false">L1053*INDEX(Parametros!$B$20:$B$22,MATCH($E1053,Parametros!$A$20:$A$22,0))</f>
        <v>294.5</v>
      </c>
      <c r="T1053" s="18" t="n">
        <f aca="false">P1053*INDEX(Parametros!$B$13:$B$16,MATCH($F1053,Parametros!$A$13:$A$16,0))</f>
        <v>163.3576</v>
      </c>
      <c r="U1053" s="21" t="n">
        <f aca="false">P1053-R1053-S1053-T1053</f>
        <v>1597.9074</v>
      </c>
      <c r="V1053" s="19" t="n">
        <f aca="false">IFERROR(U1053/P1053,0)</f>
        <v>0.342357863974495</v>
      </c>
      <c r="W1053" s="48" t="n">
        <f aca="false">B1053+INDEX(Parametros!$C$13:$C$16,MATCH($F1053,Parametros!$A$13:$A$16,0))</f>
        <v>46062</v>
      </c>
      <c r="X1053" s="31" t="s">
        <v>67</v>
      </c>
      <c r="Y1053" s="53" t="n">
        <f aca="false">IF(COUNTIF($A$2:$A1053,A1053)=1,1,0)</f>
        <v>0</v>
      </c>
    </row>
    <row r="1054" customFormat="false" ht="15" hidden="false" customHeight="false" outlineLevel="0" collapsed="false">
      <c r="A1054" s="31" t="s">
        <v>808</v>
      </c>
      <c r="B1054" s="36" t="n">
        <v>46017</v>
      </c>
      <c r="C1054" s="49" t="n">
        <f aca="false">DATE(YEAR(B1054),MONTH(B1054),1)</f>
        <v>45992</v>
      </c>
      <c r="D1054" s="31" t="s">
        <v>196</v>
      </c>
      <c r="E1054" s="31" t="s">
        <v>41</v>
      </c>
      <c r="F1054" s="31" t="s">
        <v>47</v>
      </c>
      <c r="G1054" s="31" t="s">
        <v>58</v>
      </c>
      <c r="H1054" s="31" t="s">
        <v>163</v>
      </c>
      <c r="I1054" s="32" t="str">
        <f aca="false">INDEX(Productos!$B$2:$B$13,MATCH($H1054,Productos!$A$2:$A$13,0))</f>
        <v>Tornillo DIN 933 M6x30 rosca completa zincado</v>
      </c>
      <c r="J1054" s="32" t="str">
        <f aca="false">INDEX(Productos!$C$2:$C$13,MATCH($H1054,Productos!$A$2:$A$13,0))</f>
        <v>Métrica</v>
      </c>
      <c r="K1054" s="31" t="s">
        <v>246</v>
      </c>
      <c r="L1054" s="46" t="n">
        <v>29</v>
      </c>
      <c r="M1054" s="50" t="n">
        <f aca="false">INDEX(Productos!$F$2:$F$13,MATCH($H1054,Productos!$A$2:$A$13,0))</f>
        <v>32</v>
      </c>
      <c r="N1054" s="51" t="n">
        <v>0.037</v>
      </c>
      <c r="O1054" s="52" t="n">
        <f aca="false">M1054*(1-N1054)</f>
        <v>30.816</v>
      </c>
      <c r="P1054" s="21" t="n">
        <f aca="false">L1054*O1054</f>
        <v>893.664</v>
      </c>
      <c r="Q1054" s="50" t="n">
        <f aca="false">INDEX(Productos!$E$2:$E$13,MATCH($H1054,Productos!$A$2:$A$13,0))*INDEX(Parametros!$B$26:$B$43,MATCH($C1054,Parametros!$A$26:$A$43,0))</f>
        <v>16.849</v>
      </c>
      <c r="R1054" s="21" t="n">
        <f aca="false">L1054*Q1054</f>
        <v>488.621</v>
      </c>
      <c r="S1054" s="18" t="n">
        <f aca="false">L1054*INDEX(Parametros!$B$20:$B$22,MATCH($E1054,Parametros!$A$20:$A$22,0))</f>
        <v>24.65</v>
      </c>
      <c r="T1054" s="18" t="n">
        <f aca="false">P1054*INDEX(Parametros!$B$13:$B$16,MATCH($F1054,Parametros!$A$13:$A$16,0))</f>
        <v>31.27824</v>
      </c>
      <c r="U1054" s="21" t="n">
        <f aca="false">P1054-R1054-S1054-T1054</f>
        <v>349.11476</v>
      </c>
      <c r="V1054" s="19" t="n">
        <f aca="false">IFERROR(U1054/P1054,0)</f>
        <v>0.390655503634476</v>
      </c>
      <c r="W1054" s="48" t="n">
        <f aca="false">B1054+INDEX(Parametros!$C$13:$C$16,MATCH($F1054,Parametros!$A$13:$A$16,0))</f>
        <v>46062</v>
      </c>
      <c r="X1054" s="31" t="s">
        <v>67</v>
      </c>
      <c r="Y1054" s="53" t="n">
        <f aca="false">IF(COUNTIF($A$2:$A1054,A1054)=1,1,0)</f>
        <v>1</v>
      </c>
    </row>
    <row r="1055" customFormat="false" ht="15" hidden="false" customHeight="false" outlineLevel="0" collapsed="false">
      <c r="A1055" s="31" t="s">
        <v>808</v>
      </c>
      <c r="B1055" s="36" t="n">
        <v>46017</v>
      </c>
      <c r="C1055" s="49" t="n">
        <f aca="false">DATE(YEAR(B1055),MONTH(B1055),1)</f>
        <v>45992</v>
      </c>
      <c r="D1055" s="31" t="s">
        <v>196</v>
      </c>
      <c r="E1055" s="31" t="s">
        <v>41</v>
      </c>
      <c r="F1055" s="31" t="s">
        <v>47</v>
      </c>
      <c r="G1055" s="31" t="s">
        <v>58</v>
      </c>
      <c r="H1055" s="31" t="s">
        <v>165</v>
      </c>
      <c r="I1055" s="32" t="str">
        <f aca="false">INDEX(Productos!$B$2:$B$13,MATCH($H1055,Productos!$A$2:$A$13,0))</f>
        <v>Tornillo DIN 933 M8x40 rosca completa zincado</v>
      </c>
      <c r="J1055" s="32" t="str">
        <f aca="false">INDEX(Productos!$C$2:$C$13,MATCH($H1055,Productos!$A$2:$A$13,0))</f>
        <v>Métrica</v>
      </c>
      <c r="K1055" s="31" t="s">
        <v>246</v>
      </c>
      <c r="L1055" s="46" t="n">
        <v>103</v>
      </c>
      <c r="M1055" s="50" t="n">
        <f aca="false">INDEX(Productos!$F$2:$F$13,MATCH($H1055,Productos!$A$2:$A$13,0))</f>
        <v>37.5</v>
      </c>
      <c r="N1055" s="51" t="n">
        <v>0.034</v>
      </c>
      <c r="O1055" s="52" t="n">
        <f aca="false">M1055*(1-N1055)</f>
        <v>36.225</v>
      </c>
      <c r="P1055" s="21" t="n">
        <f aca="false">L1055*O1055</f>
        <v>3731.175</v>
      </c>
      <c r="Q1055" s="50" t="n">
        <f aca="false">INDEX(Productos!$E$2:$E$13,MATCH($H1055,Productos!$A$2:$A$13,0))*INDEX(Parametros!$B$26:$B$43,MATCH($C1055,Parametros!$A$26:$A$43,0))</f>
        <v>19.691</v>
      </c>
      <c r="R1055" s="21" t="n">
        <f aca="false">L1055*Q1055</f>
        <v>2028.173</v>
      </c>
      <c r="S1055" s="18" t="n">
        <f aca="false">L1055*INDEX(Parametros!$B$20:$B$22,MATCH($E1055,Parametros!$A$20:$A$22,0))</f>
        <v>87.55</v>
      </c>
      <c r="T1055" s="18" t="n">
        <f aca="false">P1055*INDEX(Parametros!$B$13:$B$16,MATCH($F1055,Parametros!$A$13:$A$16,0))</f>
        <v>130.591125</v>
      </c>
      <c r="U1055" s="21" t="n">
        <f aca="false">P1055-R1055-S1055-T1055</f>
        <v>1484.860875</v>
      </c>
      <c r="V1055" s="19" t="n">
        <f aca="false">IFERROR(U1055/P1055,0)</f>
        <v>0.39796066252588</v>
      </c>
      <c r="W1055" s="48" t="n">
        <f aca="false">B1055+INDEX(Parametros!$C$13:$C$16,MATCH($F1055,Parametros!$A$13:$A$16,0))</f>
        <v>46062</v>
      </c>
      <c r="X1055" s="31" t="s">
        <v>67</v>
      </c>
      <c r="Y1055" s="53" t="n">
        <f aca="false">IF(COUNTIF($A$2:$A1055,A1055)=1,1,0)</f>
        <v>0</v>
      </c>
    </row>
    <row r="1056" customFormat="false" ht="15" hidden="false" customHeight="false" outlineLevel="0" collapsed="false">
      <c r="A1056" s="31" t="s">
        <v>808</v>
      </c>
      <c r="B1056" s="36" t="n">
        <v>46017</v>
      </c>
      <c r="C1056" s="49" t="n">
        <f aca="false">DATE(YEAR(B1056),MONTH(B1056),1)</f>
        <v>45992</v>
      </c>
      <c r="D1056" s="31" t="s">
        <v>196</v>
      </c>
      <c r="E1056" s="31" t="s">
        <v>41</v>
      </c>
      <c r="F1056" s="31" t="s">
        <v>47</v>
      </c>
      <c r="G1056" s="31" t="s">
        <v>58</v>
      </c>
      <c r="H1056" s="31" t="s">
        <v>181</v>
      </c>
      <c r="I1056" s="32" t="str">
        <f aca="false">INDEX(Productos!$B$2:$B$13,MATCH($H1056,Productos!$A$2:$A$13,0))</f>
        <v>Autotaladrante 5,5x55 punta broca</v>
      </c>
      <c r="J1056" s="32" t="str">
        <f aca="false">INDEX(Productos!$C$2:$C$13,MATCH($H1056,Productos!$A$2:$A$13,0))</f>
        <v>Autotaladrante</v>
      </c>
      <c r="K1056" s="31" t="s">
        <v>246</v>
      </c>
      <c r="L1056" s="46" t="n">
        <v>22</v>
      </c>
      <c r="M1056" s="50" t="n">
        <f aca="false">INDEX(Productos!$F$2:$F$13,MATCH($H1056,Productos!$A$2:$A$13,0))</f>
        <v>39</v>
      </c>
      <c r="N1056" s="51" t="n">
        <v>0.049</v>
      </c>
      <c r="O1056" s="52" t="n">
        <f aca="false">M1056*(1-N1056)</f>
        <v>37.089</v>
      </c>
      <c r="P1056" s="21" t="n">
        <f aca="false">L1056*O1056</f>
        <v>815.958</v>
      </c>
      <c r="Q1056" s="50" t="n">
        <f aca="false">INDEX(Productos!$E$2:$E$13,MATCH($H1056,Productos!$A$2:$A$13,0))*INDEX(Parametros!$B$26:$B$43,MATCH($C1056,Parametros!$A$26:$A$43,0))</f>
        <v>20.6045</v>
      </c>
      <c r="R1056" s="21" t="n">
        <f aca="false">L1056*Q1056</f>
        <v>453.299</v>
      </c>
      <c r="S1056" s="18" t="n">
        <f aca="false">L1056*INDEX(Parametros!$B$20:$B$22,MATCH($E1056,Parametros!$A$20:$A$22,0))</f>
        <v>18.7</v>
      </c>
      <c r="T1056" s="18" t="n">
        <f aca="false">P1056*INDEX(Parametros!$B$13:$B$16,MATCH($F1056,Parametros!$A$13:$A$16,0))</f>
        <v>28.55853</v>
      </c>
      <c r="U1056" s="21" t="n">
        <f aca="false">P1056-R1056-S1056-T1056</f>
        <v>315.40047</v>
      </c>
      <c r="V1056" s="19" t="n">
        <f aca="false">IFERROR(U1056/P1056,0)</f>
        <v>0.386540079268786</v>
      </c>
      <c r="W1056" s="48" t="n">
        <f aca="false">B1056+INDEX(Parametros!$C$13:$C$16,MATCH($F1056,Parametros!$A$13:$A$16,0))</f>
        <v>46062</v>
      </c>
      <c r="X1056" s="31" t="s">
        <v>67</v>
      </c>
      <c r="Y1056" s="53" t="n">
        <f aca="false">IF(COUNTIF($A$2:$A1056,A1056)=1,1,0)</f>
        <v>0</v>
      </c>
    </row>
    <row r="1057" customFormat="false" ht="15" hidden="false" customHeight="false" outlineLevel="0" collapsed="false">
      <c r="A1057" s="31" t="s">
        <v>809</v>
      </c>
      <c r="B1057" s="36" t="n">
        <v>46020</v>
      </c>
      <c r="C1057" s="49" t="n">
        <f aca="false">DATE(YEAR(B1057),MONTH(B1057),1)</f>
        <v>45992</v>
      </c>
      <c r="D1057" s="31" t="s">
        <v>195</v>
      </c>
      <c r="E1057" s="31" t="s">
        <v>41</v>
      </c>
      <c r="F1057" s="31" t="s">
        <v>45</v>
      </c>
      <c r="G1057" s="31" t="s">
        <v>58</v>
      </c>
      <c r="H1057" s="31" t="s">
        <v>169</v>
      </c>
      <c r="I1057" s="32" t="str">
        <f aca="false">INDEX(Productos!$B$2:$B$13,MATCH($H1057,Productos!$A$2:$A$13,0))</f>
        <v>Tornillo DIN 912 M10x60 Allen inox A2</v>
      </c>
      <c r="J1057" s="32" t="str">
        <f aca="false">INDEX(Productos!$C$2:$C$13,MATCH($H1057,Productos!$A$2:$A$13,0))</f>
        <v>Inoxidable</v>
      </c>
      <c r="K1057" s="31" t="s">
        <v>246</v>
      </c>
      <c r="L1057" s="46" t="n">
        <v>149</v>
      </c>
      <c r="M1057" s="50" t="n">
        <f aca="false">INDEX(Productos!$F$2:$F$13,MATCH($H1057,Productos!$A$2:$A$13,0))</f>
        <v>79</v>
      </c>
      <c r="N1057" s="51" t="n">
        <v>0.17</v>
      </c>
      <c r="O1057" s="52" t="n">
        <f aca="false">M1057*(1-N1057)</f>
        <v>65.57</v>
      </c>
      <c r="P1057" s="21" t="n">
        <f aca="false">L1057*O1057</f>
        <v>9769.93</v>
      </c>
      <c r="Q1057" s="50" t="n">
        <f aca="false">INDEX(Productos!$E$2:$E$13,MATCH($H1057,Productos!$A$2:$A$13,0))*INDEX(Parametros!$B$26:$B$43,MATCH($C1057,Parametros!$A$26:$A$43,0))</f>
        <v>42.63</v>
      </c>
      <c r="R1057" s="21" t="n">
        <f aca="false">L1057*Q1057</f>
        <v>6351.87</v>
      </c>
      <c r="S1057" s="18" t="n">
        <f aca="false">L1057*INDEX(Parametros!$B$20:$B$22,MATCH($E1057,Parametros!$A$20:$A$22,0))</f>
        <v>126.65</v>
      </c>
      <c r="T1057" s="18" t="n">
        <f aca="false">P1057*INDEX(Parametros!$B$13:$B$16,MATCH($F1057,Parametros!$A$13:$A$16,0))</f>
        <v>293.0979</v>
      </c>
      <c r="U1057" s="21" t="n">
        <f aca="false">P1057-R1057-S1057-T1057</f>
        <v>2998.3121</v>
      </c>
      <c r="V1057" s="19" t="n">
        <f aca="false">IFERROR(U1057/P1057,0)</f>
        <v>0.306891871282599</v>
      </c>
      <c r="W1057" s="48" t="n">
        <f aca="false">B1057+INDEX(Parametros!$C$13:$C$16,MATCH($F1057,Parametros!$A$13:$A$16,0))</f>
        <v>46080</v>
      </c>
      <c r="X1057" s="31" t="s">
        <v>67</v>
      </c>
      <c r="Y1057" s="53" t="n">
        <f aca="false">IF(COUNTIF($A$2:$A1057,A1057)=1,1,0)</f>
        <v>1</v>
      </c>
    </row>
    <row r="1058" customFormat="false" ht="15" hidden="false" customHeight="false" outlineLevel="0" collapsed="false">
      <c r="A1058" s="31" t="s">
        <v>809</v>
      </c>
      <c r="B1058" s="36" t="n">
        <v>46020</v>
      </c>
      <c r="C1058" s="49" t="n">
        <f aca="false">DATE(YEAR(B1058),MONTH(B1058),1)</f>
        <v>45992</v>
      </c>
      <c r="D1058" s="31" t="s">
        <v>195</v>
      </c>
      <c r="E1058" s="31" t="s">
        <v>41</v>
      </c>
      <c r="F1058" s="31" t="s">
        <v>45</v>
      </c>
      <c r="G1058" s="31" t="s">
        <v>58</v>
      </c>
      <c r="H1058" s="31" t="s">
        <v>173</v>
      </c>
      <c r="I1058" s="32" t="str">
        <f aca="false">INDEX(Productos!$B$2:$B$13,MATCH($H1058,Productos!$A$2:$A$13,0))</f>
        <v>Tornillo DIN 933 M12x70 clase 8.8</v>
      </c>
      <c r="J1058" s="32" t="str">
        <f aca="false">INDEX(Productos!$C$2:$C$13,MATCH($H1058,Productos!$A$2:$A$13,0))</f>
        <v>Métrica</v>
      </c>
      <c r="K1058" s="31" t="s">
        <v>246</v>
      </c>
      <c r="L1058" s="46" t="n">
        <v>143</v>
      </c>
      <c r="M1058" s="50" t="n">
        <f aca="false">INDEX(Productos!$F$2:$F$13,MATCH($H1058,Productos!$A$2:$A$13,0))</f>
        <v>64</v>
      </c>
      <c r="N1058" s="51" t="n">
        <v>0.153</v>
      </c>
      <c r="O1058" s="52" t="n">
        <f aca="false">M1058*(1-N1058)</f>
        <v>54.208</v>
      </c>
      <c r="P1058" s="21" t="n">
        <f aca="false">L1058*O1058</f>
        <v>7751.744</v>
      </c>
      <c r="Q1058" s="50" t="n">
        <f aca="false">INDEX(Productos!$E$2:$E$13,MATCH($H1058,Productos!$A$2:$A$13,0))*INDEX(Parametros!$B$26:$B$43,MATCH($C1058,Parametros!$A$26:$A$43,0))</f>
        <v>34.0025</v>
      </c>
      <c r="R1058" s="21" t="n">
        <f aca="false">L1058*Q1058</f>
        <v>4862.3575</v>
      </c>
      <c r="S1058" s="18" t="n">
        <f aca="false">L1058*INDEX(Parametros!$B$20:$B$22,MATCH($E1058,Parametros!$A$20:$A$22,0))</f>
        <v>121.55</v>
      </c>
      <c r="T1058" s="18" t="n">
        <f aca="false">P1058*INDEX(Parametros!$B$13:$B$16,MATCH($F1058,Parametros!$A$13:$A$16,0))</f>
        <v>232.55232</v>
      </c>
      <c r="U1058" s="21" t="n">
        <f aca="false">P1058-R1058-S1058-T1058</f>
        <v>2535.28418</v>
      </c>
      <c r="V1058" s="19" t="n">
        <f aca="false">IFERROR(U1058/P1058,0)</f>
        <v>0.327059843565525</v>
      </c>
      <c r="W1058" s="48" t="n">
        <f aca="false">B1058+INDEX(Parametros!$C$13:$C$16,MATCH($F1058,Parametros!$A$13:$A$16,0))</f>
        <v>46080</v>
      </c>
      <c r="X1058" s="31" t="s">
        <v>67</v>
      </c>
      <c r="Y1058" s="53" t="n">
        <f aca="false">IF(COUNTIF($A$2:$A1058,A1058)=1,1,0)</f>
        <v>0</v>
      </c>
    </row>
    <row r="1059" customFormat="false" ht="15" hidden="false" customHeight="false" outlineLevel="0" collapsed="false">
      <c r="A1059" s="31" t="s">
        <v>810</v>
      </c>
      <c r="B1059" s="36" t="n">
        <v>46023</v>
      </c>
      <c r="C1059" s="49" t="n">
        <f aca="false">DATE(YEAR(B1059),MONTH(B1059),1)</f>
        <v>46023</v>
      </c>
      <c r="D1059" s="31" t="s">
        <v>197</v>
      </c>
      <c r="E1059" s="31" t="s">
        <v>41</v>
      </c>
      <c r="F1059" s="31" t="s">
        <v>46</v>
      </c>
      <c r="G1059" s="31" t="s">
        <v>58</v>
      </c>
      <c r="H1059" s="31" t="s">
        <v>181</v>
      </c>
      <c r="I1059" s="32" t="str">
        <f aca="false">INDEX(Productos!$B$2:$B$13,MATCH($H1059,Productos!$A$2:$A$13,0))</f>
        <v>Autotaladrante 5,5x55 punta broca</v>
      </c>
      <c r="J1059" s="32" t="str">
        <f aca="false">INDEX(Productos!$C$2:$C$13,MATCH($H1059,Productos!$A$2:$A$13,0))</f>
        <v>Autotaladrante</v>
      </c>
      <c r="K1059" s="31" t="s">
        <v>246</v>
      </c>
      <c r="L1059" s="46" t="n">
        <v>21</v>
      </c>
      <c r="M1059" s="50" t="n">
        <f aca="false">INDEX(Productos!$F$2:$F$13,MATCH($H1059,Productos!$A$2:$A$13,0))</f>
        <v>39</v>
      </c>
      <c r="N1059" s="51" t="n">
        <v>0.102</v>
      </c>
      <c r="O1059" s="52" t="n">
        <f aca="false">M1059*(1-N1059)</f>
        <v>35.022</v>
      </c>
      <c r="P1059" s="21" t="n">
        <f aca="false">L1059*O1059</f>
        <v>735.462</v>
      </c>
      <c r="Q1059" s="50" t="n">
        <f aca="false">INDEX(Productos!$E$2:$E$13,MATCH($H1059,Productos!$A$2:$A$13,0))*INDEX(Parametros!$B$26:$B$43,MATCH($C1059,Parametros!$A$26:$A$43,0))</f>
        <v>20.9496</v>
      </c>
      <c r="R1059" s="21" t="n">
        <f aca="false">L1059*Q1059</f>
        <v>439.9416</v>
      </c>
      <c r="S1059" s="18" t="n">
        <f aca="false">L1059*INDEX(Parametros!$B$20:$B$22,MATCH($E1059,Parametros!$A$20:$A$22,0))</f>
        <v>17.85</v>
      </c>
      <c r="T1059" s="18" t="n">
        <f aca="false">P1059*INDEX(Parametros!$B$13:$B$16,MATCH($F1059,Parametros!$A$13:$A$16,0))</f>
        <v>29.41848</v>
      </c>
      <c r="U1059" s="21" t="n">
        <f aca="false">P1059-R1059-S1059-T1059</f>
        <v>248.25192</v>
      </c>
      <c r="V1059" s="19" t="n">
        <f aca="false">IFERROR(U1059/P1059,0)</f>
        <v>0.337545542801668</v>
      </c>
      <c r="W1059" s="48" t="n">
        <f aca="false">B1059+INDEX(Parametros!$C$13:$C$16,MATCH($F1059,Parametros!$A$13:$A$16,0))</f>
        <v>46098</v>
      </c>
      <c r="X1059" s="31" t="s">
        <v>69</v>
      </c>
      <c r="Y1059" s="53" t="n">
        <f aca="false">IF(COUNTIF($A$2:$A1059,A1059)=1,1,0)</f>
        <v>1</v>
      </c>
    </row>
    <row r="1060" customFormat="false" ht="15" hidden="false" customHeight="false" outlineLevel="0" collapsed="false">
      <c r="A1060" s="31" t="s">
        <v>810</v>
      </c>
      <c r="B1060" s="36" t="n">
        <v>46023</v>
      </c>
      <c r="C1060" s="49" t="n">
        <f aca="false">DATE(YEAR(B1060),MONTH(B1060),1)</f>
        <v>46023</v>
      </c>
      <c r="D1060" s="31" t="s">
        <v>197</v>
      </c>
      <c r="E1060" s="31" t="s">
        <v>41</v>
      </c>
      <c r="F1060" s="31" t="s">
        <v>46</v>
      </c>
      <c r="G1060" s="31" t="s">
        <v>58</v>
      </c>
      <c r="H1060" s="31" t="s">
        <v>183</v>
      </c>
      <c r="I1060" s="32" t="str">
        <f aca="false">INDEX(Productos!$B$2:$B$13,MATCH($H1060,Productos!$A$2:$A$13,0))</f>
        <v>Tornillo estructural M16x90 clase 10.9</v>
      </c>
      <c r="J1060" s="32" t="str">
        <f aca="false">INDEX(Productos!$C$2:$C$13,MATCH($H1060,Productos!$A$2:$A$13,0))</f>
        <v>Especial</v>
      </c>
      <c r="K1060" s="31" t="s">
        <v>246</v>
      </c>
      <c r="L1060" s="46" t="n">
        <v>54</v>
      </c>
      <c r="M1060" s="50" t="n">
        <f aca="false">INDEX(Productos!$F$2:$F$13,MATCH($H1060,Productos!$A$2:$A$13,0))</f>
        <v>112</v>
      </c>
      <c r="N1060" s="51" t="n">
        <v>0.088</v>
      </c>
      <c r="O1060" s="52" t="n">
        <f aca="false">M1060*(1-N1060)</f>
        <v>102.144</v>
      </c>
      <c r="P1060" s="21" t="n">
        <f aca="false">L1060*O1060</f>
        <v>5515.776</v>
      </c>
      <c r="Q1060" s="50" t="n">
        <f aca="false">INDEX(Productos!$E$2:$E$13,MATCH($H1060,Productos!$A$2:$A$13,0))*INDEX(Parametros!$B$26:$B$43,MATCH($C1060,Parametros!$A$26:$A$43,0))</f>
        <v>61.92</v>
      </c>
      <c r="R1060" s="21" t="n">
        <f aca="false">L1060*Q1060</f>
        <v>3343.68</v>
      </c>
      <c r="S1060" s="18" t="n">
        <f aca="false">L1060*INDEX(Parametros!$B$20:$B$22,MATCH($E1060,Parametros!$A$20:$A$22,0))</f>
        <v>45.9</v>
      </c>
      <c r="T1060" s="18" t="n">
        <f aca="false">P1060*INDEX(Parametros!$B$13:$B$16,MATCH($F1060,Parametros!$A$13:$A$16,0))</f>
        <v>220.63104</v>
      </c>
      <c r="U1060" s="21" t="n">
        <f aca="false">P1060-R1060-S1060-T1060</f>
        <v>1905.56496</v>
      </c>
      <c r="V1060" s="19" t="n">
        <f aca="false">IFERROR(U1060/P1060,0)</f>
        <v>0.34547540726817</v>
      </c>
      <c r="W1060" s="48" t="n">
        <f aca="false">B1060+INDEX(Parametros!$C$13:$C$16,MATCH($F1060,Parametros!$A$13:$A$16,0))</f>
        <v>46098</v>
      </c>
      <c r="X1060" s="31" t="s">
        <v>67</v>
      </c>
      <c r="Y1060" s="53" t="n">
        <f aca="false">IF(COUNTIF($A$2:$A1060,A1060)=1,1,0)</f>
        <v>0</v>
      </c>
    </row>
    <row r="1061" customFormat="false" ht="15" hidden="false" customHeight="false" outlineLevel="0" collapsed="false">
      <c r="A1061" s="31" t="s">
        <v>810</v>
      </c>
      <c r="B1061" s="36" t="n">
        <v>46023</v>
      </c>
      <c r="C1061" s="49" t="n">
        <f aca="false">DATE(YEAR(B1061),MONTH(B1061),1)</f>
        <v>46023</v>
      </c>
      <c r="D1061" s="31" t="s">
        <v>197</v>
      </c>
      <c r="E1061" s="31" t="s">
        <v>41</v>
      </c>
      <c r="F1061" s="31" t="s">
        <v>46</v>
      </c>
      <c r="G1061" s="31" t="s">
        <v>58</v>
      </c>
      <c r="H1061" s="31" t="s">
        <v>163</v>
      </c>
      <c r="I1061" s="32" t="str">
        <f aca="false">INDEX(Productos!$B$2:$B$13,MATCH($H1061,Productos!$A$2:$A$13,0))</f>
        <v>Tornillo DIN 933 M6x30 rosca completa zincado</v>
      </c>
      <c r="J1061" s="32" t="str">
        <f aca="false">INDEX(Productos!$C$2:$C$13,MATCH($H1061,Productos!$A$2:$A$13,0))</f>
        <v>Métrica</v>
      </c>
      <c r="K1061" s="31" t="s">
        <v>246</v>
      </c>
      <c r="L1061" s="46" t="n">
        <v>94</v>
      </c>
      <c r="M1061" s="50" t="n">
        <f aca="false">INDEX(Productos!$F$2:$F$13,MATCH($H1061,Productos!$A$2:$A$13,0))</f>
        <v>32</v>
      </c>
      <c r="N1061" s="51" t="n">
        <v>0.177</v>
      </c>
      <c r="O1061" s="52" t="n">
        <f aca="false">M1061*(1-N1061)</f>
        <v>26.336</v>
      </c>
      <c r="P1061" s="21" t="n">
        <f aca="false">L1061*O1061</f>
        <v>2475.584</v>
      </c>
      <c r="Q1061" s="50" t="n">
        <f aca="false">INDEX(Productos!$E$2:$E$13,MATCH($H1061,Productos!$A$2:$A$13,0))*INDEX(Parametros!$B$26:$B$43,MATCH($C1061,Parametros!$A$26:$A$43,0))</f>
        <v>17.1312</v>
      </c>
      <c r="R1061" s="21" t="n">
        <f aca="false">L1061*Q1061</f>
        <v>1610.3328</v>
      </c>
      <c r="S1061" s="18" t="n">
        <f aca="false">L1061*INDEX(Parametros!$B$20:$B$22,MATCH($E1061,Parametros!$A$20:$A$22,0))</f>
        <v>79.9</v>
      </c>
      <c r="T1061" s="18" t="n">
        <f aca="false">P1061*INDEX(Parametros!$B$13:$B$16,MATCH($F1061,Parametros!$A$13:$A$16,0))</f>
        <v>99.02336</v>
      </c>
      <c r="U1061" s="21" t="n">
        <f aca="false">P1061-R1061-S1061-T1061</f>
        <v>686.32784</v>
      </c>
      <c r="V1061" s="19" t="n">
        <f aca="false">IFERROR(U1061/P1061,0)</f>
        <v>0.277238760631835</v>
      </c>
      <c r="W1061" s="48" t="n">
        <f aca="false">B1061+INDEX(Parametros!$C$13:$C$16,MATCH($F1061,Parametros!$A$13:$A$16,0))</f>
        <v>46098</v>
      </c>
      <c r="X1061" s="31" t="s">
        <v>67</v>
      </c>
      <c r="Y1061" s="53" t="n">
        <f aca="false">IF(COUNTIF($A$2:$A1061,A1061)=1,1,0)</f>
        <v>0</v>
      </c>
    </row>
    <row r="1062" customFormat="false" ht="15" hidden="false" customHeight="false" outlineLevel="0" collapsed="false">
      <c r="A1062" s="31" t="s">
        <v>811</v>
      </c>
      <c r="B1062" s="36" t="n">
        <v>46023</v>
      </c>
      <c r="C1062" s="49" t="n">
        <f aca="false">DATE(YEAR(B1062),MONTH(B1062),1)</f>
        <v>46023</v>
      </c>
      <c r="D1062" s="31" t="s">
        <v>201</v>
      </c>
      <c r="E1062" s="31" t="s">
        <v>41</v>
      </c>
      <c r="F1062" s="31" t="s">
        <v>46</v>
      </c>
      <c r="G1062" s="31" t="s">
        <v>62</v>
      </c>
      <c r="H1062" s="31" t="s">
        <v>185</v>
      </c>
      <c r="I1062" s="32" t="str">
        <f aca="false">INDEX(Productos!$B$2:$B$13,MATCH($H1062,Productos!$A$2:$A$13,0))</f>
        <v>Varilla roscada M10 x 1 m zincada</v>
      </c>
      <c r="J1062" s="32" t="str">
        <f aca="false">INDEX(Productos!$C$2:$C$13,MATCH($H1062,Productos!$A$2:$A$13,0))</f>
        <v>Especial</v>
      </c>
      <c r="K1062" s="31" t="s">
        <v>246</v>
      </c>
      <c r="L1062" s="46" t="n">
        <v>138</v>
      </c>
      <c r="M1062" s="50" t="n">
        <f aca="false">INDEX(Productos!$F$2:$F$13,MATCH($H1062,Productos!$A$2:$A$13,0))</f>
        <v>54</v>
      </c>
      <c r="N1062" s="51" t="n">
        <v>0.089</v>
      </c>
      <c r="O1062" s="52" t="n">
        <f aca="false">M1062*(1-N1062)</f>
        <v>49.194</v>
      </c>
      <c r="P1062" s="21" t="n">
        <f aca="false">L1062*O1062</f>
        <v>6788.772</v>
      </c>
      <c r="Q1062" s="50" t="n">
        <f aca="false">INDEX(Productos!$E$2:$E$13,MATCH($H1062,Productos!$A$2:$A$13,0))*INDEX(Parametros!$B$26:$B$43,MATCH($C1062,Parametros!$A$26:$A$43,0))</f>
        <v>29.412</v>
      </c>
      <c r="R1062" s="21" t="n">
        <f aca="false">L1062*Q1062</f>
        <v>4058.856</v>
      </c>
      <c r="S1062" s="18" t="n">
        <f aca="false">L1062*INDEX(Parametros!$B$20:$B$22,MATCH($E1062,Parametros!$A$20:$A$22,0))</f>
        <v>117.3</v>
      </c>
      <c r="T1062" s="18" t="n">
        <f aca="false">P1062*INDEX(Parametros!$B$13:$B$16,MATCH($F1062,Parametros!$A$13:$A$16,0))</f>
        <v>271.55088</v>
      </c>
      <c r="U1062" s="21" t="n">
        <f aca="false">P1062-R1062-S1062-T1062</f>
        <v>2341.06512</v>
      </c>
      <c r="V1062" s="19" t="n">
        <f aca="false">IFERROR(U1062/P1062,0)</f>
        <v>0.344843680123592</v>
      </c>
      <c r="W1062" s="48" t="n">
        <f aca="false">B1062+INDEX(Parametros!$C$13:$C$16,MATCH($F1062,Parametros!$A$13:$A$16,0))</f>
        <v>46098</v>
      </c>
      <c r="X1062" s="31" t="s">
        <v>67</v>
      </c>
      <c r="Y1062" s="53" t="n">
        <f aca="false">IF(COUNTIF($A$2:$A1062,A1062)=1,1,0)</f>
        <v>1</v>
      </c>
    </row>
    <row r="1063" customFormat="false" ht="15" hidden="false" customHeight="false" outlineLevel="0" collapsed="false">
      <c r="A1063" s="31" t="s">
        <v>811</v>
      </c>
      <c r="B1063" s="36" t="n">
        <v>46023</v>
      </c>
      <c r="C1063" s="49" t="n">
        <f aca="false">DATE(YEAR(B1063),MONTH(B1063),1)</f>
        <v>46023</v>
      </c>
      <c r="D1063" s="31" t="s">
        <v>201</v>
      </c>
      <c r="E1063" s="31" t="s">
        <v>41</v>
      </c>
      <c r="F1063" s="31" t="s">
        <v>46</v>
      </c>
      <c r="G1063" s="31" t="s">
        <v>62</v>
      </c>
      <c r="H1063" s="31" t="s">
        <v>169</v>
      </c>
      <c r="I1063" s="32" t="str">
        <f aca="false">INDEX(Productos!$B$2:$B$13,MATCH($H1063,Productos!$A$2:$A$13,0))</f>
        <v>Tornillo DIN 912 M10x60 Allen inox A2</v>
      </c>
      <c r="J1063" s="32" t="str">
        <f aca="false">INDEX(Productos!$C$2:$C$13,MATCH($H1063,Productos!$A$2:$A$13,0))</f>
        <v>Inoxidable</v>
      </c>
      <c r="K1063" s="31" t="s">
        <v>246</v>
      </c>
      <c r="L1063" s="46" t="n">
        <v>54</v>
      </c>
      <c r="M1063" s="50" t="n">
        <f aca="false">INDEX(Productos!$F$2:$F$13,MATCH($H1063,Productos!$A$2:$A$13,0))</f>
        <v>79</v>
      </c>
      <c r="N1063" s="51" t="n">
        <v>0.168</v>
      </c>
      <c r="O1063" s="52" t="n">
        <f aca="false">M1063*(1-N1063)</f>
        <v>65.728</v>
      </c>
      <c r="P1063" s="21" t="n">
        <f aca="false">L1063*O1063</f>
        <v>3549.312</v>
      </c>
      <c r="Q1063" s="50" t="n">
        <f aca="false">INDEX(Productos!$E$2:$E$13,MATCH($H1063,Productos!$A$2:$A$13,0))*INDEX(Parametros!$B$26:$B$43,MATCH($C1063,Parametros!$A$26:$A$43,0))</f>
        <v>43.344</v>
      </c>
      <c r="R1063" s="21" t="n">
        <f aca="false">L1063*Q1063</f>
        <v>2340.576</v>
      </c>
      <c r="S1063" s="18" t="n">
        <f aca="false">L1063*INDEX(Parametros!$B$20:$B$22,MATCH($E1063,Parametros!$A$20:$A$22,0))</f>
        <v>45.9</v>
      </c>
      <c r="T1063" s="18" t="n">
        <f aca="false">P1063*INDEX(Parametros!$B$13:$B$16,MATCH($F1063,Parametros!$A$13:$A$16,0))</f>
        <v>141.97248</v>
      </c>
      <c r="U1063" s="21" t="n">
        <f aca="false">P1063-R1063-S1063-T1063</f>
        <v>1020.86352</v>
      </c>
      <c r="V1063" s="19" t="n">
        <f aca="false">IFERROR(U1063/P1063,0)</f>
        <v>0.287622930866602</v>
      </c>
      <c r="W1063" s="48" t="n">
        <f aca="false">B1063+INDEX(Parametros!$C$13:$C$16,MATCH($F1063,Parametros!$A$13:$A$16,0))</f>
        <v>46098</v>
      </c>
      <c r="X1063" s="31" t="s">
        <v>67</v>
      </c>
      <c r="Y1063" s="53" t="n">
        <f aca="false">IF(COUNTIF($A$2:$A1063,A1063)=1,1,0)</f>
        <v>0</v>
      </c>
    </row>
    <row r="1064" customFormat="false" ht="15" hidden="false" customHeight="false" outlineLevel="0" collapsed="false">
      <c r="A1064" s="31" t="s">
        <v>812</v>
      </c>
      <c r="B1064" s="36" t="n">
        <v>46023</v>
      </c>
      <c r="C1064" s="49" t="n">
        <f aca="false">DATE(YEAR(B1064),MONTH(B1064),1)</f>
        <v>46023</v>
      </c>
      <c r="D1064" s="31" t="s">
        <v>226</v>
      </c>
      <c r="E1064" s="31" t="s">
        <v>43</v>
      </c>
      <c r="F1064" s="31" t="s">
        <v>46</v>
      </c>
      <c r="G1064" s="31" t="s">
        <v>59</v>
      </c>
      <c r="H1064" s="31" t="s">
        <v>165</v>
      </c>
      <c r="I1064" s="32" t="str">
        <f aca="false">INDEX(Productos!$B$2:$B$13,MATCH($H1064,Productos!$A$2:$A$13,0))</f>
        <v>Tornillo DIN 933 M8x40 rosca completa zincado</v>
      </c>
      <c r="J1064" s="32" t="str">
        <f aca="false">INDEX(Productos!$C$2:$C$13,MATCH($H1064,Productos!$A$2:$A$13,0))</f>
        <v>Métrica</v>
      </c>
      <c r="K1064" s="31" t="s">
        <v>246</v>
      </c>
      <c r="L1064" s="46" t="n">
        <v>64</v>
      </c>
      <c r="M1064" s="50" t="n">
        <f aca="false">INDEX(Productos!$F$2:$F$13,MATCH($H1064,Productos!$A$2:$A$13,0))</f>
        <v>37.5</v>
      </c>
      <c r="N1064" s="51" t="n">
        <v>0.124</v>
      </c>
      <c r="O1064" s="52" t="n">
        <f aca="false">M1064*(1-N1064)</f>
        <v>32.85</v>
      </c>
      <c r="P1064" s="21" t="n">
        <f aca="false">L1064*O1064</f>
        <v>2102.4</v>
      </c>
      <c r="Q1064" s="50" t="n">
        <f aca="false">INDEX(Productos!$E$2:$E$13,MATCH($H1064,Productos!$A$2:$A$13,0))*INDEX(Parametros!$B$26:$B$43,MATCH($C1064,Parametros!$A$26:$A$43,0))</f>
        <v>20.0208</v>
      </c>
      <c r="R1064" s="21" t="n">
        <f aca="false">L1064*Q1064</f>
        <v>1281.3312</v>
      </c>
      <c r="S1064" s="18" t="n">
        <f aca="false">L1064*INDEX(Parametros!$B$20:$B$22,MATCH($E1064,Parametros!$A$20:$A$22,0))</f>
        <v>121.6</v>
      </c>
      <c r="T1064" s="18" t="n">
        <f aca="false">P1064*INDEX(Parametros!$B$13:$B$16,MATCH($F1064,Parametros!$A$13:$A$16,0))</f>
        <v>84.096</v>
      </c>
      <c r="U1064" s="21" t="n">
        <f aca="false">P1064-R1064-S1064-T1064</f>
        <v>615.3728</v>
      </c>
      <c r="V1064" s="19" t="n">
        <f aca="false">IFERROR(U1064/P1064,0)</f>
        <v>0.292700152207002</v>
      </c>
      <c r="W1064" s="48" t="n">
        <f aca="false">B1064+INDEX(Parametros!$C$13:$C$16,MATCH($F1064,Parametros!$A$13:$A$16,0))</f>
        <v>46098</v>
      </c>
      <c r="X1064" s="31" t="s">
        <v>67</v>
      </c>
      <c r="Y1064" s="53" t="n">
        <f aca="false">IF(COUNTIF($A$2:$A1064,A1064)=1,1,0)</f>
        <v>1</v>
      </c>
    </row>
    <row r="1065" customFormat="false" ht="15" hidden="false" customHeight="false" outlineLevel="0" collapsed="false">
      <c r="A1065" s="31" t="s">
        <v>813</v>
      </c>
      <c r="B1065" s="36" t="n">
        <v>46024</v>
      </c>
      <c r="C1065" s="49" t="n">
        <f aca="false">DATE(YEAR(B1065),MONTH(B1065),1)</f>
        <v>46023</v>
      </c>
      <c r="D1065" s="31" t="s">
        <v>192</v>
      </c>
      <c r="E1065" s="31" t="s">
        <v>41</v>
      </c>
      <c r="F1065" s="31" t="s">
        <v>45</v>
      </c>
      <c r="G1065" s="31" t="s">
        <v>58</v>
      </c>
      <c r="H1065" s="31" t="s">
        <v>181</v>
      </c>
      <c r="I1065" s="32" t="str">
        <f aca="false">INDEX(Productos!$B$2:$B$13,MATCH($H1065,Productos!$A$2:$A$13,0))</f>
        <v>Autotaladrante 5,5x55 punta broca</v>
      </c>
      <c r="J1065" s="32" t="str">
        <f aca="false">INDEX(Productos!$C$2:$C$13,MATCH($H1065,Productos!$A$2:$A$13,0))</f>
        <v>Autotaladrante</v>
      </c>
      <c r="K1065" s="31" t="s">
        <v>246</v>
      </c>
      <c r="L1065" s="46" t="n">
        <v>126</v>
      </c>
      <c r="M1065" s="50" t="n">
        <f aca="false">INDEX(Productos!$F$2:$F$13,MATCH($H1065,Productos!$A$2:$A$13,0))</f>
        <v>39</v>
      </c>
      <c r="N1065" s="51" t="n">
        <v>0.206</v>
      </c>
      <c r="O1065" s="52" t="n">
        <f aca="false">M1065*(1-N1065)</f>
        <v>30.966</v>
      </c>
      <c r="P1065" s="21" t="n">
        <f aca="false">L1065*O1065</f>
        <v>3901.716</v>
      </c>
      <c r="Q1065" s="50" t="n">
        <f aca="false">INDEX(Productos!$E$2:$E$13,MATCH($H1065,Productos!$A$2:$A$13,0))*INDEX(Parametros!$B$26:$B$43,MATCH($C1065,Parametros!$A$26:$A$43,0))</f>
        <v>20.9496</v>
      </c>
      <c r="R1065" s="21" t="n">
        <f aca="false">L1065*Q1065</f>
        <v>2639.6496</v>
      </c>
      <c r="S1065" s="18" t="n">
        <f aca="false">L1065*INDEX(Parametros!$B$20:$B$22,MATCH($E1065,Parametros!$A$20:$A$22,0))</f>
        <v>107.1</v>
      </c>
      <c r="T1065" s="18" t="n">
        <f aca="false">P1065*INDEX(Parametros!$B$13:$B$16,MATCH($F1065,Parametros!$A$13:$A$16,0))</f>
        <v>117.05148</v>
      </c>
      <c r="U1065" s="21" t="n">
        <f aca="false">P1065-R1065-S1065-T1065</f>
        <v>1037.91492</v>
      </c>
      <c r="V1065" s="19" t="n">
        <f aca="false">IFERROR(U1065/P1065,0)</f>
        <v>0.266014984176193</v>
      </c>
      <c r="W1065" s="48" t="n">
        <f aca="false">B1065+INDEX(Parametros!$C$13:$C$16,MATCH($F1065,Parametros!$A$13:$A$16,0))</f>
        <v>46084</v>
      </c>
      <c r="X1065" s="31" t="s">
        <v>67</v>
      </c>
      <c r="Y1065" s="53" t="n">
        <f aca="false">IF(COUNTIF($A$2:$A1065,A1065)=1,1,0)</f>
        <v>1</v>
      </c>
    </row>
    <row r="1066" customFormat="false" ht="15" hidden="false" customHeight="false" outlineLevel="0" collapsed="false">
      <c r="A1066" s="31" t="s">
        <v>814</v>
      </c>
      <c r="B1066" s="36" t="n">
        <v>46024</v>
      </c>
      <c r="C1066" s="49" t="n">
        <f aca="false">DATE(YEAR(B1066),MONTH(B1066),1)</f>
        <v>46023</v>
      </c>
      <c r="D1066" s="31" t="s">
        <v>222</v>
      </c>
      <c r="E1066" s="31" t="s">
        <v>43</v>
      </c>
      <c r="F1066" s="31" t="s">
        <v>45</v>
      </c>
      <c r="G1066" s="31" t="s">
        <v>59</v>
      </c>
      <c r="H1066" s="31" t="s">
        <v>171</v>
      </c>
      <c r="I1066" s="32" t="str">
        <f aca="false">INDEX(Productos!$B$2:$B$13,MATCH($H1066,Productos!$A$2:$A$13,0))</f>
        <v>Tornillo DIN 7991 M8x30 avellanado inox A2</v>
      </c>
      <c r="J1066" s="32" t="str">
        <f aca="false">INDEX(Productos!$C$2:$C$13,MATCH($H1066,Productos!$A$2:$A$13,0))</f>
        <v>Inoxidable</v>
      </c>
      <c r="K1066" s="31" t="s">
        <v>246</v>
      </c>
      <c r="L1066" s="46" t="n">
        <v>34</v>
      </c>
      <c r="M1066" s="50" t="n">
        <f aca="false">INDEX(Productos!$F$2:$F$13,MATCH($H1066,Productos!$A$2:$A$13,0))</f>
        <v>88</v>
      </c>
      <c r="N1066" s="51" t="n">
        <v>0.153</v>
      </c>
      <c r="O1066" s="52" t="n">
        <f aca="false">M1066*(1-N1066)</f>
        <v>74.536</v>
      </c>
      <c r="P1066" s="21" t="n">
        <f aca="false">L1066*O1066</f>
        <v>2534.224</v>
      </c>
      <c r="Q1066" s="50" t="n">
        <f aca="false">INDEX(Productos!$E$2:$E$13,MATCH($H1066,Productos!$A$2:$A$13,0))*INDEX(Parametros!$B$26:$B$43,MATCH($C1066,Parametros!$A$26:$A$43,0))</f>
        <v>47.988</v>
      </c>
      <c r="R1066" s="21" t="n">
        <f aca="false">L1066*Q1066</f>
        <v>1631.592</v>
      </c>
      <c r="S1066" s="18" t="n">
        <f aca="false">L1066*INDEX(Parametros!$B$20:$B$22,MATCH($E1066,Parametros!$A$20:$A$22,0))</f>
        <v>64.6</v>
      </c>
      <c r="T1066" s="18" t="n">
        <f aca="false">P1066*INDEX(Parametros!$B$13:$B$16,MATCH($F1066,Parametros!$A$13:$A$16,0))</f>
        <v>76.02672</v>
      </c>
      <c r="U1066" s="21" t="n">
        <f aca="false">P1066-R1066-S1066-T1066</f>
        <v>762.00528</v>
      </c>
      <c r="V1066" s="19" t="n">
        <f aca="false">IFERROR(U1066/P1066,0)</f>
        <v>0.300685843082537</v>
      </c>
      <c r="W1066" s="48" t="n">
        <f aca="false">B1066+INDEX(Parametros!$C$13:$C$16,MATCH($F1066,Parametros!$A$13:$A$16,0))</f>
        <v>46084</v>
      </c>
      <c r="X1066" s="31" t="s">
        <v>67</v>
      </c>
      <c r="Y1066" s="53" t="n">
        <f aca="false">IF(COUNTIF($A$2:$A1066,A1066)=1,1,0)</f>
        <v>1</v>
      </c>
    </row>
    <row r="1067" customFormat="false" ht="15" hidden="false" customHeight="false" outlineLevel="0" collapsed="false">
      <c r="A1067" s="31" t="s">
        <v>814</v>
      </c>
      <c r="B1067" s="36" t="n">
        <v>46024</v>
      </c>
      <c r="C1067" s="49" t="n">
        <f aca="false">DATE(YEAR(B1067),MONTH(B1067),1)</f>
        <v>46023</v>
      </c>
      <c r="D1067" s="31" t="s">
        <v>222</v>
      </c>
      <c r="E1067" s="31" t="s">
        <v>43</v>
      </c>
      <c r="F1067" s="31" t="s">
        <v>45</v>
      </c>
      <c r="G1067" s="31" t="s">
        <v>59</v>
      </c>
      <c r="H1067" s="31" t="s">
        <v>169</v>
      </c>
      <c r="I1067" s="32" t="str">
        <f aca="false">INDEX(Productos!$B$2:$B$13,MATCH($H1067,Productos!$A$2:$A$13,0))</f>
        <v>Tornillo DIN 912 M10x60 Allen inox A2</v>
      </c>
      <c r="J1067" s="32" t="str">
        <f aca="false">INDEX(Productos!$C$2:$C$13,MATCH($H1067,Productos!$A$2:$A$13,0))</f>
        <v>Inoxidable</v>
      </c>
      <c r="K1067" s="31" t="s">
        <v>246</v>
      </c>
      <c r="L1067" s="46" t="n">
        <v>146</v>
      </c>
      <c r="M1067" s="50" t="n">
        <f aca="false">INDEX(Productos!$F$2:$F$13,MATCH($H1067,Productos!$A$2:$A$13,0))</f>
        <v>79</v>
      </c>
      <c r="N1067" s="51" t="n">
        <v>0.189</v>
      </c>
      <c r="O1067" s="52" t="n">
        <f aca="false">M1067*(1-N1067)</f>
        <v>64.069</v>
      </c>
      <c r="P1067" s="21" t="n">
        <f aca="false">L1067*O1067</f>
        <v>9354.074</v>
      </c>
      <c r="Q1067" s="50" t="n">
        <f aca="false">INDEX(Productos!$E$2:$E$13,MATCH($H1067,Productos!$A$2:$A$13,0))*INDEX(Parametros!$B$26:$B$43,MATCH($C1067,Parametros!$A$26:$A$43,0))</f>
        <v>43.344</v>
      </c>
      <c r="R1067" s="21" t="n">
        <f aca="false">L1067*Q1067</f>
        <v>6328.224</v>
      </c>
      <c r="S1067" s="18" t="n">
        <f aca="false">L1067*INDEX(Parametros!$B$20:$B$22,MATCH($E1067,Parametros!$A$20:$A$22,0))</f>
        <v>277.4</v>
      </c>
      <c r="T1067" s="18" t="n">
        <f aca="false">P1067*INDEX(Parametros!$B$13:$B$16,MATCH($F1067,Parametros!$A$13:$A$16,0))</f>
        <v>280.62222</v>
      </c>
      <c r="U1067" s="21" t="n">
        <f aca="false">P1067-R1067-S1067-T1067</f>
        <v>2467.82778</v>
      </c>
      <c r="V1067" s="19" t="n">
        <f aca="false">IFERROR(U1067/P1067,0)</f>
        <v>0.263823846165852</v>
      </c>
      <c r="W1067" s="48" t="n">
        <f aca="false">B1067+INDEX(Parametros!$C$13:$C$16,MATCH($F1067,Parametros!$A$13:$A$16,0))</f>
        <v>46084</v>
      </c>
      <c r="X1067" s="31" t="s">
        <v>67</v>
      </c>
      <c r="Y1067" s="53" t="n">
        <f aca="false">IF(COUNTIF($A$2:$A1067,A1067)=1,1,0)</f>
        <v>0</v>
      </c>
    </row>
    <row r="1068" customFormat="false" ht="15" hidden="false" customHeight="false" outlineLevel="0" collapsed="false">
      <c r="A1068" s="31" t="s">
        <v>815</v>
      </c>
      <c r="B1068" s="36" t="n">
        <v>46027</v>
      </c>
      <c r="C1068" s="49" t="n">
        <f aca="false">DATE(YEAR(B1068),MONTH(B1068),1)</f>
        <v>46023</v>
      </c>
      <c r="D1068" s="31" t="s">
        <v>201</v>
      </c>
      <c r="E1068" s="31" t="s">
        <v>41</v>
      </c>
      <c r="F1068" s="31" t="s">
        <v>46</v>
      </c>
      <c r="G1068" s="31" t="s">
        <v>62</v>
      </c>
      <c r="H1068" s="31" t="s">
        <v>163</v>
      </c>
      <c r="I1068" s="32" t="str">
        <f aca="false">INDEX(Productos!$B$2:$B$13,MATCH($H1068,Productos!$A$2:$A$13,0))</f>
        <v>Tornillo DIN 933 M6x30 rosca completa zincado</v>
      </c>
      <c r="J1068" s="32" t="str">
        <f aca="false">INDEX(Productos!$C$2:$C$13,MATCH($H1068,Productos!$A$2:$A$13,0))</f>
        <v>Métrica</v>
      </c>
      <c r="K1068" s="31" t="s">
        <v>246</v>
      </c>
      <c r="L1068" s="46" t="n">
        <v>134</v>
      </c>
      <c r="M1068" s="50" t="n">
        <f aca="false">INDEX(Productos!$F$2:$F$13,MATCH($H1068,Productos!$A$2:$A$13,0))</f>
        <v>32</v>
      </c>
      <c r="N1068" s="51" t="n">
        <v>0.146</v>
      </c>
      <c r="O1068" s="52" t="n">
        <f aca="false">M1068*(1-N1068)</f>
        <v>27.328</v>
      </c>
      <c r="P1068" s="21" t="n">
        <f aca="false">L1068*O1068</f>
        <v>3661.952</v>
      </c>
      <c r="Q1068" s="50" t="n">
        <f aca="false">INDEX(Productos!$E$2:$E$13,MATCH($H1068,Productos!$A$2:$A$13,0))*INDEX(Parametros!$B$26:$B$43,MATCH($C1068,Parametros!$A$26:$A$43,0))</f>
        <v>17.1312</v>
      </c>
      <c r="R1068" s="21" t="n">
        <f aca="false">L1068*Q1068</f>
        <v>2295.5808</v>
      </c>
      <c r="S1068" s="18" t="n">
        <f aca="false">L1068*INDEX(Parametros!$B$20:$B$22,MATCH($E1068,Parametros!$A$20:$A$22,0))</f>
        <v>113.9</v>
      </c>
      <c r="T1068" s="18" t="n">
        <f aca="false">P1068*INDEX(Parametros!$B$13:$B$16,MATCH($F1068,Parametros!$A$13:$A$16,0))</f>
        <v>146.47808</v>
      </c>
      <c r="U1068" s="21" t="n">
        <f aca="false">P1068-R1068-S1068-T1068</f>
        <v>1105.99312</v>
      </c>
      <c r="V1068" s="19" t="n">
        <f aca="false">IFERROR(U1068/P1068,0)</f>
        <v>0.302022833723653</v>
      </c>
      <c r="W1068" s="48" t="n">
        <f aca="false">B1068+INDEX(Parametros!$C$13:$C$16,MATCH($F1068,Parametros!$A$13:$A$16,0))</f>
        <v>46102</v>
      </c>
      <c r="X1068" s="31" t="s">
        <v>67</v>
      </c>
      <c r="Y1068" s="53" t="n">
        <f aca="false">IF(COUNTIF($A$2:$A1068,A1068)=1,1,0)</f>
        <v>1</v>
      </c>
    </row>
    <row r="1069" customFormat="false" ht="15" hidden="false" customHeight="false" outlineLevel="0" collapsed="false">
      <c r="A1069" s="31" t="s">
        <v>815</v>
      </c>
      <c r="B1069" s="36" t="n">
        <v>46027</v>
      </c>
      <c r="C1069" s="49" t="n">
        <f aca="false">DATE(YEAR(B1069),MONTH(B1069),1)</f>
        <v>46023</v>
      </c>
      <c r="D1069" s="31" t="s">
        <v>201</v>
      </c>
      <c r="E1069" s="31" t="s">
        <v>41</v>
      </c>
      <c r="F1069" s="31" t="s">
        <v>46</v>
      </c>
      <c r="G1069" s="31" t="s">
        <v>62</v>
      </c>
      <c r="H1069" s="31" t="s">
        <v>167</v>
      </c>
      <c r="I1069" s="32" t="str">
        <f aca="false">INDEX(Productos!$B$2:$B$13,MATCH($H1069,Productos!$A$2:$A$13,0))</f>
        <v>Tornillo DIN 912 M6x25 Allen zincado</v>
      </c>
      <c r="J1069" s="32" t="str">
        <f aca="false">INDEX(Productos!$C$2:$C$13,MATCH($H1069,Productos!$A$2:$A$13,0))</f>
        <v>Métrica</v>
      </c>
      <c r="K1069" s="31" t="s">
        <v>246</v>
      </c>
      <c r="L1069" s="46" t="n">
        <v>142</v>
      </c>
      <c r="M1069" s="50" t="n">
        <f aca="false">INDEX(Productos!$F$2:$F$13,MATCH($H1069,Productos!$A$2:$A$13,0))</f>
        <v>42</v>
      </c>
      <c r="N1069" s="51" t="n">
        <v>0.118</v>
      </c>
      <c r="O1069" s="52" t="n">
        <f aca="false">M1069*(1-N1069)</f>
        <v>37.044</v>
      </c>
      <c r="P1069" s="21" t="n">
        <f aca="false">L1069*O1069</f>
        <v>5260.248</v>
      </c>
      <c r="Q1069" s="50" t="n">
        <f aca="false">INDEX(Productos!$E$2:$E$13,MATCH($H1069,Productos!$A$2:$A$13,0))*INDEX(Parametros!$B$26:$B$43,MATCH($C1069,Parametros!$A$26:$A$43,0))</f>
        <v>22.4976</v>
      </c>
      <c r="R1069" s="21" t="n">
        <f aca="false">L1069*Q1069</f>
        <v>3194.6592</v>
      </c>
      <c r="S1069" s="18" t="n">
        <f aca="false">L1069*INDEX(Parametros!$B$20:$B$22,MATCH($E1069,Parametros!$A$20:$A$22,0))</f>
        <v>120.7</v>
      </c>
      <c r="T1069" s="18" t="n">
        <f aca="false">P1069*INDEX(Parametros!$B$13:$B$16,MATCH($F1069,Parametros!$A$13:$A$16,0))</f>
        <v>210.40992</v>
      </c>
      <c r="U1069" s="21" t="n">
        <f aca="false">P1069-R1069-S1069-T1069</f>
        <v>1734.47888</v>
      </c>
      <c r="V1069" s="19" t="n">
        <f aca="false">IFERROR(U1069/P1069,0)</f>
        <v>0.329733290141453</v>
      </c>
      <c r="W1069" s="48" t="n">
        <f aca="false">B1069+INDEX(Parametros!$C$13:$C$16,MATCH($F1069,Parametros!$A$13:$A$16,0))</f>
        <v>46102</v>
      </c>
      <c r="X1069" s="31" t="s">
        <v>67</v>
      </c>
      <c r="Y1069" s="53" t="n">
        <f aca="false">IF(COUNTIF($A$2:$A1069,A1069)=1,1,0)</f>
        <v>0</v>
      </c>
    </row>
    <row r="1070" customFormat="false" ht="15" hidden="false" customHeight="false" outlineLevel="0" collapsed="false">
      <c r="A1070" s="31" t="s">
        <v>816</v>
      </c>
      <c r="B1070" s="36" t="n">
        <v>46027</v>
      </c>
      <c r="C1070" s="49" t="n">
        <f aca="false">DATE(YEAR(B1070),MONTH(B1070),1)</f>
        <v>46023</v>
      </c>
      <c r="D1070" s="31" t="s">
        <v>214</v>
      </c>
      <c r="E1070" s="31" t="s">
        <v>42</v>
      </c>
      <c r="F1070" s="31" t="s">
        <v>46</v>
      </c>
      <c r="G1070" s="31" t="s">
        <v>61</v>
      </c>
      <c r="H1070" s="31" t="s">
        <v>175</v>
      </c>
      <c r="I1070" s="32" t="str">
        <f aca="false">INDEX(Productos!$B$2:$B$13,MATCH($H1070,Productos!$A$2:$A$13,0))</f>
        <v>Tirafondo madera 5x60 cabeza plana Torx</v>
      </c>
      <c r="J1070" s="32" t="str">
        <f aca="false">INDEX(Productos!$C$2:$C$13,MATCH($H1070,Productos!$A$2:$A$13,0))</f>
        <v>Madera</v>
      </c>
      <c r="K1070" s="31" t="s">
        <v>246</v>
      </c>
      <c r="L1070" s="46" t="n">
        <v>50</v>
      </c>
      <c r="M1070" s="50" t="n">
        <f aca="false">INDEX(Productos!$F$2:$F$13,MATCH($H1070,Productos!$A$2:$A$13,0))</f>
        <v>26</v>
      </c>
      <c r="N1070" s="51" t="n">
        <v>0.169</v>
      </c>
      <c r="O1070" s="52" t="n">
        <f aca="false">M1070*(1-N1070)</f>
        <v>21.606</v>
      </c>
      <c r="P1070" s="21" t="n">
        <f aca="false">L1070*O1070</f>
        <v>1080.3</v>
      </c>
      <c r="Q1070" s="50" t="n">
        <f aca="false">INDEX(Productos!$E$2:$E$13,MATCH($H1070,Productos!$A$2:$A$13,0))*INDEX(Parametros!$B$26:$B$43,MATCH($C1070,Parametros!$A$26:$A$43,0))</f>
        <v>13.8288</v>
      </c>
      <c r="R1070" s="21" t="n">
        <f aca="false">L1070*Q1070</f>
        <v>691.44</v>
      </c>
      <c r="S1070" s="18" t="n">
        <f aca="false">L1070*INDEX(Parametros!$B$20:$B$22,MATCH($E1070,Parametros!$A$20:$A$22,0))</f>
        <v>120</v>
      </c>
      <c r="T1070" s="18" t="n">
        <f aca="false">P1070*INDEX(Parametros!$B$13:$B$16,MATCH($F1070,Parametros!$A$13:$A$16,0))</f>
        <v>43.212</v>
      </c>
      <c r="U1070" s="21" t="n">
        <f aca="false">P1070-R1070-S1070-T1070</f>
        <v>225.648</v>
      </c>
      <c r="V1070" s="19" t="n">
        <f aca="false">IFERROR(U1070/P1070,0)</f>
        <v>0.208875312413218</v>
      </c>
      <c r="W1070" s="48" t="n">
        <f aca="false">B1070+INDEX(Parametros!$C$13:$C$16,MATCH($F1070,Parametros!$A$13:$A$16,0))</f>
        <v>46102</v>
      </c>
      <c r="X1070" s="31" t="s">
        <v>67</v>
      </c>
      <c r="Y1070" s="53" t="n">
        <f aca="false">IF(COUNTIF($A$2:$A1070,A1070)=1,1,0)</f>
        <v>1</v>
      </c>
    </row>
    <row r="1071" customFormat="false" ht="15" hidden="false" customHeight="false" outlineLevel="0" collapsed="false">
      <c r="A1071" s="31" t="s">
        <v>816</v>
      </c>
      <c r="B1071" s="36" t="n">
        <v>46027</v>
      </c>
      <c r="C1071" s="49" t="n">
        <f aca="false">DATE(YEAR(B1071),MONTH(B1071),1)</f>
        <v>46023</v>
      </c>
      <c r="D1071" s="31" t="s">
        <v>214</v>
      </c>
      <c r="E1071" s="31" t="s">
        <v>42</v>
      </c>
      <c r="F1071" s="31" t="s">
        <v>46</v>
      </c>
      <c r="G1071" s="31" t="s">
        <v>61</v>
      </c>
      <c r="H1071" s="31" t="s">
        <v>183</v>
      </c>
      <c r="I1071" s="32" t="str">
        <f aca="false">INDEX(Productos!$B$2:$B$13,MATCH($H1071,Productos!$A$2:$A$13,0))</f>
        <v>Tornillo estructural M16x90 clase 10.9</v>
      </c>
      <c r="J1071" s="32" t="str">
        <f aca="false">INDEX(Productos!$C$2:$C$13,MATCH($H1071,Productos!$A$2:$A$13,0))</f>
        <v>Especial</v>
      </c>
      <c r="K1071" s="31" t="s">
        <v>246</v>
      </c>
      <c r="L1071" s="46" t="n">
        <v>21</v>
      </c>
      <c r="M1071" s="50" t="n">
        <f aca="false">INDEX(Productos!$F$2:$F$13,MATCH($H1071,Productos!$A$2:$A$13,0))</f>
        <v>112</v>
      </c>
      <c r="N1071" s="51" t="n">
        <v>0.142</v>
      </c>
      <c r="O1071" s="52" t="n">
        <f aca="false">M1071*(1-N1071)</f>
        <v>96.096</v>
      </c>
      <c r="P1071" s="21" t="n">
        <f aca="false">L1071*O1071</f>
        <v>2018.016</v>
      </c>
      <c r="Q1071" s="50" t="n">
        <f aca="false">INDEX(Productos!$E$2:$E$13,MATCH($H1071,Productos!$A$2:$A$13,0))*INDEX(Parametros!$B$26:$B$43,MATCH($C1071,Parametros!$A$26:$A$43,0))</f>
        <v>61.92</v>
      </c>
      <c r="R1071" s="21" t="n">
        <f aca="false">L1071*Q1071</f>
        <v>1300.32</v>
      </c>
      <c r="S1071" s="18" t="n">
        <f aca="false">L1071*INDEX(Parametros!$B$20:$B$22,MATCH($E1071,Parametros!$A$20:$A$22,0))</f>
        <v>50.4</v>
      </c>
      <c r="T1071" s="18" t="n">
        <f aca="false">P1071*INDEX(Parametros!$B$13:$B$16,MATCH($F1071,Parametros!$A$13:$A$16,0))</f>
        <v>80.72064</v>
      </c>
      <c r="U1071" s="21" t="n">
        <f aca="false">P1071-R1071-S1071-T1071</f>
        <v>586.57536</v>
      </c>
      <c r="V1071" s="19" t="n">
        <f aca="false">IFERROR(U1071/P1071,0)</f>
        <v>0.290669330669331</v>
      </c>
      <c r="W1071" s="48" t="n">
        <f aca="false">B1071+INDEX(Parametros!$C$13:$C$16,MATCH($F1071,Parametros!$A$13:$A$16,0))</f>
        <v>46102</v>
      </c>
      <c r="X1071" s="31" t="s">
        <v>67</v>
      </c>
      <c r="Y1071" s="53" t="n">
        <f aca="false">IF(COUNTIF($A$2:$A1071,A1071)=1,1,0)</f>
        <v>0</v>
      </c>
    </row>
    <row r="1072" customFormat="false" ht="15" hidden="false" customHeight="false" outlineLevel="0" collapsed="false">
      <c r="A1072" s="31" t="s">
        <v>817</v>
      </c>
      <c r="B1072" s="36" t="n">
        <v>46027</v>
      </c>
      <c r="C1072" s="49" t="n">
        <f aca="false">DATE(YEAR(B1072),MONTH(B1072),1)</f>
        <v>46023</v>
      </c>
      <c r="D1072" s="31" t="s">
        <v>192</v>
      </c>
      <c r="E1072" s="31" t="s">
        <v>41</v>
      </c>
      <c r="F1072" s="31" t="s">
        <v>45</v>
      </c>
      <c r="G1072" s="31" t="s">
        <v>58</v>
      </c>
      <c r="H1072" s="31" t="s">
        <v>165</v>
      </c>
      <c r="I1072" s="32" t="str">
        <f aca="false">INDEX(Productos!$B$2:$B$13,MATCH($H1072,Productos!$A$2:$A$13,0))</f>
        <v>Tornillo DIN 933 M8x40 rosca completa zincado</v>
      </c>
      <c r="J1072" s="32" t="str">
        <f aca="false">INDEX(Productos!$C$2:$C$13,MATCH($H1072,Productos!$A$2:$A$13,0))</f>
        <v>Métrica</v>
      </c>
      <c r="K1072" s="31" t="s">
        <v>246</v>
      </c>
      <c r="L1072" s="46" t="n">
        <v>21</v>
      </c>
      <c r="M1072" s="50" t="n">
        <f aca="false">INDEX(Productos!$F$2:$F$13,MATCH($H1072,Productos!$A$2:$A$13,0))</f>
        <v>37.5</v>
      </c>
      <c r="N1072" s="51" t="n">
        <v>0.215</v>
      </c>
      <c r="O1072" s="52" t="n">
        <f aca="false">M1072*(1-N1072)</f>
        <v>29.4375</v>
      </c>
      <c r="P1072" s="21" t="n">
        <f aca="false">L1072*O1072</f>
        <v>618.1875</v>
      </c>
      <c r="Q1072" s="50" t="n">
        <f aca="false">INDEX(Productos!$E$2:$E$13,MATCH($H1072,Productos!$A$2:$A$13,0))*INDEX(Parametros!$B$26:$B$43,MATCH($C1072,Parametros!$A$26:$A$43,0))</f>
        <v>20.0208</v>
      </c>
      <c r="R1072" s="21" t="n">
        <f aca="false">L1072*Q1072</f>
        <v>420.4368</v>
      </c>
      <c r="S1072" s="18" t="n">
        <f aca="false">L1072*INDEX(Parametros!$B$20:$B$22,MATCH($E1072,Parametros!$A$20:$A$22,0))</f>
        <v>17.85</v>
      </c>
      <c r="T1072" s="18" t="n">
        <f aca="false">P1072*INDEX(Parametros!$B$13:$B$16,MATCH($F1072,Parametros!$A$13:$A$16,0))</f>
        <v>18.545625</v>
      </c>
      <c r="U1072" s="21" t="n">
        <f aca="false">P1072-R1072-S1072-T1072</f>
        <v>161.355075</v>
      </c>
      <c r="V1072" s="19" t="n">
        <f aca="false">IFERROR(U1072/P1072,0)</f>
        <v>0.261013163481953</v>
      </c>
      <c r="W1072" s="48" t="n">
        <f aca="false">B1072+INDEX(Parametros!$C$13:$C$16,MATCH($F1072,Parametros!$A$13:$A$16,0))</f>
        <v>46087</v>
      </c>
      <c r="X1072" s="31" t="s">
        <v>67</v>
      </c>
      <c r="Y1072" s="53" t="n">
        <f aca="false">IF(COUNTIF($A$2:$A1072,A1072)=1,1,0)</f>
        <v>1</v>
      </c>
    </row>
    <row r="1073" customFormat="false" ht="15" hidden="false" customHeight="false" outlineLevel="0" collapsed="false">
      <c r="A1073" s="31" t="s">
        <v>817</v>
      </c>
      <c r="B1073" s="36" t="n">
        <v>46027</v>
      </c>
      <c r="C1073" s="49" t="n">
        <f aca="false">DATE(YEAR(B1073),MONTH(B1073),1)</f>
        <v>46023</v>
      </c>
      <c r="D1073" s="31" t="s">
        <v>192</v>
      </c>
      <c r="E1073" s="31" t="s">
        <v>41</v>
      </c>
      <c r="F1073" s="31" t="s">
        <v>45</v>
      </c>
      <c r="G1073" s="31" t="s">
        <v>58</v>
      </c>
      <c r="H1073" s="31" t="s">
        <v>183</v>
      </c>
      <c r="I1073" s="32" t="str">
        <f aca="false">INDEX(Productos!$B$2:$B$13,MATCH($H1073,Productos!$A$2:$A$13,0))</f>
        <v>Tornillo estructural M16x90 clase 10.9</v>
      </c>
      <c r="J1073" s="32" t="str">
        <f aca="false">INDEX(Productos!$C$2:$C$13,MATCH($H1073,Productos!$A$2:$A$13,0))</f>
        <v>Especial</v>
      </c>
      <c r="K1073" s="31" t="s">
        <v>246</v>
      </c>
      <c r="L1073" s="46" t="n">
        <v>189</v>
      </c>
      <c r="M1073" s="50" t="n">
        <f aca="false">INDEX(Productos!$F$2:$F$13,MATCH($H1073,Productos!$A$2:$A$13,0))</f>
        <v>112</v>
      </c>
      <c r="N1073" s="51" t="n">
        <v>0.16</v>
      </c>
      <c r="O1073" s="52" t="n">
        <f aca="false">M1073*(1-N1073)</f>
        <v>94.08</v>
      </c>
      <c r="P1073" s="21" t="n">
        <f aca="false">L1073*O1073</f>
        <v>17781.12</v>
      </c>
      <c r="Q1073" s="50" t="n">
        <f aca="false">INDEX(Productos!$E$2:$E$13,MATCH($H1073,Productos!$A$2:$A$13,0))*INDEX(Parametros!$B$26:$B$43,MATCH($C1073,Parametros!$A$26:$A$43,0))</f>
        <v>61.92</v>
      </c>
      <c r="R1073" s="21" t="n">
        <f aca="false">L1073*Q1073</f>
        <v>11702.88</v>
      </c>
      <c r="S1073" s="18" t="n">
        <f aca="false">L1073*INDEX(Parametros!$B$20:$B$22,MATCH($E1073,Parametros!$A$20:$A$22,0))</f>
        <v>160.65</v>
      </c>
      <c r="T1073" s="18" t="n">
        <f aca="false">P1073*INDEX(Parametros!$B$13:$B$16,MATCH($F1073,Parametros!$A$13:$A$16,0))</f>
        <v>533.4336</v>
      </c>
      <c r="U1073" s="21" t="n">
        <f aca="false">P1073-R1073-S1073-T1073</f>
        <v>5384.1564</v>
      </c>
      <c r="V1073" s="19" t="n">
        <f aca="false">IFERROR(U1073/P1073,0)</f>
        <v>0.302801870748299</v>
      </c>
      <c r="W1073" s="48" t="n">
        <f aca="false">B1073+INDEX(Parametros!$C$13:$C$16,MATCH($F1073,Parametros!$A$13:$A$16,0))</f>
        <v>46087</v>
      </c>
      <c r="X1073" s="31" t="s">
        <v>67</v>
      </c>
      <c r="Y1073" s="53" t="n">
        <f aca="false">IF(COUNTIF($A$2:$A1073,A1073)=1,1,0)</f>
        <v>0</v>
      </c>
    </row>
    <row r="1074" customFormat="false" ht="15" hidden="false" customHeight="false" outlineLevel="0" collapsed="false">
      <c r="A1074" s="31" t="s">
        <v>818</v>
      </c>
      <c r="B1074" s="36" t="n">
        <v>46027</v>
      </c>
      <c r="C1074" s="49" t="n">
        <f aca="false">DATE(YEAR(B1074),MONTH(B1074),1)</f>
        <v>46023</v>
      </c>
      <c r="D1074" s="31" t="s">
        <v>226</v>
      </c>
      <c r="E1074" s="31" t="s">
        <v>43</v>
      </c>
      <c r="F1074" s="31" t="s">
        <v>46</v>
      </c>
      <c r="G1074" s="31" t="s">
        <v>59</v>
      </c>
      <c r="H1074" s="31" t="s">
        <v>175</v>
      </c>
      <c r="I1074" s="32" t="str">
        <f aca="false">INDEX(Productos!$B$2:$B$13,MATCH($H1074,Productos!$A$2:$A$13,0))</f>
        <v>Tirafondo madera 5x60 cabeza plana Torx</v>
      </c>
      <c r="J1074" s="32" t="str">
        <f aca="false">INDEX(Productos!$C$2:$C$13,MATCH($H1074,Productos!$A$2:$A$13,0))</f>
        <v>Madera</v>
      </c>
      <c r="K1074" s="31" t="s">
        <v>246</v>
      </c>
      <c r="L1074" s="46" t="n">
        <v>301</v>
      </c>
      <c r="M1074" s="50" t="n">
        <f aca="false">INDEX(Productos!$F$2:$F$13,MATCH($H1074,Productos!$A$2:$A$13,0))</f>
        <v>26</v>
      </c>
      <c r="N1074" s="51" t="n">
        <v>0.116</v>
      </c>
      <c r="O1074" s="52" t="n">
        <f aca="false">M1074*(1-N1074)</f>
        <v>22.984</v>
      </c>
      <c r="P1074" s="21" t="n">
        <f aca="false">L1074*O1074</f>
        <v>6918.184</v>
      </c>
      <c r="Q1074" s="50" t="n">
        <f aca="false">INDEX(Productos!$E$2:$E$13,MATCH($H1074,Productos!$A$2:$A$13,0))*INDEX(Parametros!$B$26:$B$43,MATCH($C1074,Parametros!$A$26:$A$43,0))</f>
        <v>13.8288</v>
      </c>
      <c r="R1074" s="21" t="n">
        <f aca="false">L1074*Q1074</f>
        <v>4162.4688</v>
      </c>
      <c r="S1074" s="18" t="n">
        <f aca="false">L1074*INDEX(Parametros!$B$20:$B$22,MATCH($E1074,Parametros!$A$20:$A$22,0))</f>
        <v>571.9</v>
      </c>
      <c r="T1074" s="18" t="n">
        <f aca="false">P1074*INDEX(Parametros!$B$13:$B$16,MATCH($F1074,Parametros!$A$13:$A$16,0))</f>
        <v>276.72736</v>
      </c>
      <c r="U1074" s="21" t="n">
        <f aca="false">P1074-R1074-S1074-T1074</f>
        <v>1907.08784</v>
      </c>
      <c r="V1074" s="19" t="n">
        <f aca="false">IFERROR(U1074/P1074,0)</f>
        <v>0.275663069961712</v>
      </c>
      <c r="W1074" s="48" t="n">
        <f aca="false">B1074+INDEX(Parametros!$C$13:$C$16,MATCH($F1074,Parametros!$A$13:$A$16,0))</f>
        <v>46102</v>
      </c>
      <c r="X1074" s="31" t="s">
        <v>67</v>
      </c>
      <c r="Y1074" s="53" t="n">
        <f aca="false">IF(COUNTIF($A$2:$A1074,A1074)=1,1,0)</f>
        <v>1</v>
      </c>
    </row>
    <row r="1075" customFormat="false" ht="15" hidden="false" customHeight="false" outlineLevel="0" collapsed="false">
      <c r="A1075" s="31" t="s">
        <v>819</v>
      </c>
      <c r="B1075" s="36" t="n">
        <v>46028</v>
      </c>
      <c r="C1075" s="49" t="n">
        <f aca="false">DATE(YEAR(B1075),MONTH(B1075),1)</f>
        <v>46023</v>
      </c>
      <c r="D1075" s="31" t="s">
        <v>196</v>
      </c>
      <c r="E1075" s="31" t="s">
        <v>41</v>
      </c>
      <c r="F1075" s="31" t="s">
        <v>47</v>
      </c>
      <c r="G1075" s="31" t="s">
        <v>58</v>
      </c>
      <c r="H1075" s="31" t="s">
        <v>169</v>
      </c>
      <c r="I1075" s="32" t="str">
        <f aca="false">INDEX(Productos!$B$2:$B$13,MATCH($H1075,Productos!$A$2:$A$13,0))</f>
        <v>Tornillo DIN 912 M10x60 Allen inox A2</v>
      </c>
      <c r="J1075" s="32" t="str">
        <f aca="false">INDEX(Productos!$C$2:$C$13,MATCH($H1075,Productos!$A$2:$A$13,0))</f>
        <v>Inoxidable</v>
      </c>
      <c r="K1075" s="31" t="s">
        <v>246</v>
      </c>
      <c r="L1075" s="46" t="n">
        <v>23</v>
      </c>
      <c r="M1075" s="50" t="n">
        <f aca="false">INDEX(Productos!$F$2:$F$13,MATCH($H1075,Productos!$A$2:$A$13,0))</f>
        <v>79</v>
      </c>
      <c r="N1075" s="51" t="n">
        <v>0.066</v>
      </c>
      <c r="O1075" s="52" t="n">
        <f aca="false">M1075*(1-N1075)</f>
        <v>73.786</v>
      </c>
      <c r="P1075" s="21" t="n">
        <f aca="false">L1075*O1075</f>
        <v>1697.078</v>
      </c>
      <c r="Q1075" s="50" t="n">
        <f aca="false">INDEX(Productos!$E$2:$E$13,MATCH($H1075,Productos!$A$2:$A$13,0))*INDEX(Parametros!$B$26:$B$43,MATCH($C1075,Parametros!$A$26:$A$43,0))</f>
        <v>43.344</v>
      </c>
      <c r="R1075" s="21" t="n">
        <f aca="false">L1075*Q1075</f>
        <v>996.912</v>
      </c>
      <c r="S1075" s="18" t="n">
        <f aca="false">L1075*INDEX(Parametros!$B$20:$B$22,MATCH($E1075,Parametros!$A$20:$A$22,0))</f>
        <v>19.55</v>
      </c>
      <c r="T1075" s="18" t="n">
        <f aca="false">P1075*INDEX(Parametros!$B$13:$B$16,MATCH($F1075,Parametros!$A$13:$A$16,0))</f>
        <v>59.39773</v>
      </c>
      <c r="U1075" s="21" t="n">
        <f aca="false">P1075-R1075-S1075-T1075</f>
        <v>621.21827</v>
      </c>
      <c r="V1075" s="19" t="n">
        <f aca="false">IFERROR(U1075/P1075,0)</f>
        <v>0.366051690022498</v>
      </c>
      <c r="W1075" s="48" t="n">
        <f aca="false">B1075+INDEX(Parametros!$C$13:$C$16,MATCH($F1075,Parametros!$A$13:$A$16,0))</f>
        <v>46073</v>
      </c>
      <c r="X1075" s="31" t="s">
        <v>67</v>
      </c>
      <c r="Y1075" s="53" t="n">
        <f aca="false">IF(COUNTIF($A$2:$A1075,A1075)=1,1,0)</f>
        <v>1</v>
      </c>
    </row>
    <row r="1076" customFormat="false" ht="15" hidden="false" customHeight="false" outlineLevel="0" collapsed="false">
      <c r="A1076" s="31" t="s">
        <v>819</v>
      </c>
      <c r="B1076" s="36" t="n">
        <v>46028</v>
      </c>
      <c r="C1076" s="49" t="n">
        <f aca="false">DATE(YEAR(B1076),MONTH(B1076),1)</f>
        <v>46023</v>
      </c>
      <c r="D1076" s="31" t="s">
        <v>196</v>
      </c>
      <c r="E1076" s="31" t="s">
        <v>41</v>
      </c>
      <c r="F1076" s="31" t="s">
        <v>47</v>
      </c>
      <c r="G1076" s="31" t="s">
        <v>58</v>
      </c>
      <c r="H1076" s="31" t="s">
        <v>179</v>
      </c>
      <c r="I1076" s="32" t="str">
        <f aca="false">INDEX(Productos!$B$2:$B$13,MATCH($H1076,Productos!$A$2:$A$13,0))</f>
        <v>Autotaladrante DIN 7504 4,8x38 zincado</v>
      </c>
      <c r="J1076" s="32" t="str">
        <f aca="false">INDEX(Productos!$C$2:$C$13,MATCH($H1076,Productos!$A$2:$A$13,0))</f>
        <v>Autotaladrante</v>
      </c>
      <c r="K1076" s="31" t="s">
        <v>246</v>
      </c>
      <c r="L1076" s="46" t="n">
        <v>13</v>
      </c>
      <c r="M1076" s="50" t="n">
        <f aca="false">INDEX(Productos!$F$2:$F$13,MATCH($H1076,Productos!$A$2:$A$13,0))</f>
        <v>29.5</v>
      </c>
      <c r="N1076" s="51" t="n">
        <v>0.073</v>
      </c>
      <c r="O1076" s="52" t="n">
        <f aca="false">M1076*(1-N1076)</f>
        <v>27.3465</v>
      </c>
      <c r="P1076" s="21" t="n">
        <f aca="false">L1076*O1076</f>
        <v>355.5045</v>
      </c>
      <c r="Q1076" s="50" t="n">
        <f aca="false">INDEX(Productos!$E$2:$E$13,MATCH($H1076,Productos!$A$2:$A$13,0))*INDEX(Parametros!$B$26:$B$43,MATCH($C1076,Parametros!$A$26:$A$43,0))</f>
        <v>15.6864</v>
      </c>
      <c r="R1076" s="21" t="n">
        <f aca="false">L1076*Q1076</f>
        <v>203.9232</v>
      </c>
      <c r="S1076" s="18" t="n">
        <f aca="false">L1076*INDEX(Parametros!$B$20:$B$22,MATCH($E1076,Parametros!$A$20:$A$22,0))</f>
        <v>11.05</v>
      </c>
      <c r="T1076" s="18" t="n">
        <f aca="false">P1076*INDEX(Parametros!$B$13:$B$16,MATCH($F1076,Parametros!$A$13:$A$16,0))</f>
        <v>12.4426575</v>
      </c>
      <c r="U1076" s="21" t="n">
        <f aca="false">P1076-R1076-S1076-T1076</f>
        <v>128.0886425</v>
      </c>
      <c r="V1076" s="19" t="n">
        <f aca="false">IFERROR(U1076/P1076,0)</f>
        <v>0.360301044009288</v>
      </c>
      <c r="W1076" s="48" t="n">
        <f aca="false">B1076+INDEX(Parametros!$C$13:$C$16,MATCH($F1076,Parametros!$A$13:$A$16,0))</f>
        <v>46073</v>
      </c>
      <c r="X1076" s="31" t="s">
        <v>67</v>
      </c>
      <c r="Y1076" s="53" t="n">
        <f aca="false">IF(COUNTIF($A$2:$A1076,A1076)=1,1,0)</f>
        <v>0</v>
      </c>
    </row>
    <row r="1077" customFormat="false" ht="15" hidden="false" customHeight="false" outlineLevel="0" collapsed="false">
      <c r="A1077" s="31" t="s">
        <v>820</v>
      </c>
      <c r="B1077" s="36" t="n">
        <v>46028</v>
      </c>
      <c r="C1077" s="49" t="n">
        <f aca="false">DATE(YEAR(B1077),MONTH(B1077),1)</f>
        <v>46023</v>
      </c>
      <c r="D1077" s="31" t="s">
        <v>199</v>
      </c>
      <c r="E1077" s="31" t="s">
        <v>41</v>
      </c>
      <c r="F1077" s="31" t="s">
        <v>45</v>
      </c>
      <c r="G1077" s="31" t="s">
        <v>58</v>
      </c>
      <c r="H1077" s="31" t="s">
        <v>185</v>
      </c>
      <c r="I1077" s="32" t="str">
        <f aca="false">INDEX(Productos!$B$2:$B$13,MATCH($H1077,Productos!$A$2:$A$13,0))</f>
        <v>Varilla roscada M10 x 1 m zincada</v>
      </c>
      <c r="J1077" s="32" t="str">
        <f aca="false">INDEX(Productos!$C$2:$C$13,MATCH($H1077,Productos!$A$2:$A$13,0))</f>
        <v>Especial</v>
      </c>
      <c r="K1077" s="31" t="s">
        <v>246</v>
      </c>
      <c r="L1077" s="46" t="n">
        <v>304</v>
      </c>
      <c r="M1077" s="50" t="n">
        <f aca="false">INDEX(Productos!$F$2:$F$13,MATCH($H1077,Productos!$A$2:$A$13,0))</f>
        <v>54</v>
      </c>
      <c r="N1077" s="51" t="n">
        <v>0.194</v>
      </c>
      <c r="O1077" s="52" t="n">
        <f aca="false">M1077*(1-N1077)</f>
        <v>43.524</v>
      </c>
      <c r="P1077" s="21" t="n">
        <f aca="false">L1077*O1077</f>
        <v>13231.296</v>
      </c>
      <c r="Q1077" s="50" t="n">
        <f aca="false">INDEX(Productos!$E$2:$E$13,MATCH($H1077,Productos!$A$2:$A$13,0))*INDEX(Parametros!$B$26:$B$43,MATCH($C1077,Parametros!$A$26:$A$43,0))</f>
        <v>29.412</v>
      </c>
      <c r="R1077" s="21" t="n">
        <f aca="false">L1077*Q1077</f>
        <v>8941.248</v>
      </c>
      <c r="S1077" s="18" t="n">
        <f aca="false">L1077*INDEX(Parametros!$B$20:$B$22,MATCH($E1077,Parametros!$A$20:$A$22,0))</f>
        <v>258.4</v>
      </c>
      <c r="T1077" s="18" t="n">
        <f aca="false">P1077*INDEX(Parametros!$B$13:$B$16,MATCH($F1077,Parametros!$A$13:$A$16,0))</f>
        <v>396.93888</v>
      </c>
      <c r="U1077" s="21" t="n">
        <f aca="false">P1077-R1077-S1077-T1077</f>
        <v>3634.70912</v>
      </c>
      <c r="V1077" s="19" t="n">
        <f aca="false">IFERROR(U1077/P1077,0)</f>
        <v>0.27470544986674</v>
      </c>
      <c r="W1077" s="48" t="n">
        <f aca="false">B1077+INDEX(Parametros!$C$13:$C$16,MATCH($F1077,Parametros!$A$13:$A$16,0))</f>
        <v>46088</v>
      </c>
      <c r="X1077" s="31" t="s">
        <v>67</v>
      </c>
      <c r="Y1077" s="53" t="n">
        <f aca="false">IF(COUNTIF($A$2:$A1077,A1077)=1,1,0)</f>
        <v>1</v>
      </c>
    </row>
    <row r="1078" customFormat="false" ht="15" hidden="false" customHeight="false" outlineLevel="0" collapsed="false">
      <c r="A1078" s="31" t="s">
        <v>821</v>
      </c>
      <c r="B1078" s="36" t="n">
        <v>46030</v>
      </c>
      <c r="C1078" s="49" t="n">
        <f aca="false">DATE(YEAR(B1078),MONTH(B1078),1)</f>
        <v>46023</v>
      </c>
      <c r="D1078" s="31" t="s">
        <v>219</v>
      </c>
      <c r="E1078" s="31" t="s">
        <v>42</v>
      </c>
      <c r="F1078" s="31" t="s">
        <v>45</v>
      </c>
      <c r="G1078" s="31" t="s">
        <v>61</v>
      </c>
      <c r="H1078" s="31" t="s">
        <v>175</v>
      </c>
      <c r="I1078" s="32" t="str">
        <f aca="false">INDEX(Productos!$B$2:$B$13,MATCH($H1078,Productos!$A$2:$A$13,0))</f>
        <v>Tirafondo madera 5x60 cabeza plana Torx</v>
      </c>
      <c r="J1078" s="32" t="str">
        <f aca="false">INDEX(Productos!$C$2:$C$13,MATCH($H1078,Productos!$A$2:$A$13,0))</f>
        <v>Madera</v>
      </c>
      <c r="K1078" s="31" t="s">
        <v>246</v>
      </c>
      <c r="L1078" s="46" t="n">
        <v>105</v>
      </c>
      <c r="M1078" s="50" t="n">
        <f aca="false">INDEX(Productos!$F$2:$F$13,MATCH($H1078,Productos!$A$2:$A$13,0))</f>
        <v>26</v>
      </c>
      <c r="N1078" s="51" t="n">
        <v>0.127</v>
      </c>
      <c r="O1078" s="52" t="n">
        <f aca="false">M1078*(1-N1078)</f>
        <v>22.698</v>
      </c>
      <c r="P1078" s="21" t="n">
        <f aca="false">L1078*O1078</f>
        <v>2383.29</v>
      </c>
      <c r="Q1078" s="50" t="n">
        <f aca="false">INDEX(Productos!$E$2:$E$13,MATCH($H1078,Productos!$A$2:$A$13,0))*INDEX(Parametros!$B$26:$B$43,MATCH($C1078,Parametros!$A$26:$A$43,0))</f>
        <v>13.8288</v>
      </c>
      <c r="R1078" s="21" t="n">
        <f aca="false">L1078*Q1078</f>
        <v>1452.024</v>
      </c>
      <c r="S1078" s="18" t="n">
        <f aca="false">L1078*INDEX(Parametros!$B$20:$B$22,MATCH($E1078,Parametros!$A$20:$A$22,0))</f>
        <v>252</v>
      </c>
      <c r="T1078" s="18" t="n">
        <f aca="false">P1078*INDEX(Parametros!$B$13:$B$16,MATCH($F1078,Parametros!$A$13:$A$16,0))</f>
        <v>71.4987</v>
      </c>
      <c r="U1078" s="21" t="n">
        <f aca="false">P1078-R1078-S1078-T1078</f>
        <v>607.7673</v>
      </c>
      <c r="V1078" s="19" t="n">
        <f aca="false">IFERROR(U1078/P1078,0)</f>
        <v>0.255011895321174</v>
      </c>
      <c r="W1078" s="48" t="n">
        <f aca="false">B1078+INDEX(Parametros!$C$13:$C$16,MATCH($F1078,Parametros!$A$13:$A$16,0))</f>
        <v>46090</v>
      </c>
      <c r="X1078" s="31" t="s">
        <v>67</v>
      </c>
      <c r="Y1078" s="53" t="n">
        <f aca="false">IF(COUNTIF($A$2:$A1078,A1078)=1,1,0)</f>
        <v>1</v>
      </c>
    </row>
    <row r="1079" customFormat="false" ht="15" hidden="false" customHeight="false" outlineLevel="0" collapsed="false">
      <c r="A1079" s="31" t="s">
        <v>822</v>
      </c>
      <c r="B1079" s="36" t="n">
        <v>46034</v>
      </c>
      <c r="C1079" s="49" t="n">
        <f aca="false">DATE(YEAR(B1079),MONTH(B1079),1)</f>
        <v>46023</v>
      </c>
      <c r="D1079" s="31" t="s">
        <v>226</v>
      </c>
      <c r="E1079" s="31" t="s">
        <v>43</v>
      </c>
      <c r="F1079" s="31" t="s">
        <v>46</v>
      </c>
      <c r="G1079" s="31" t="s">
        <v>59</v>
      </c>
      <c r="H1079" s="31" t="s">
        <v>183</v>
      </c>
      <c r="I1079" s="32" t="str">
        <f aca="false">INDEX(Productos!$B$2:$B$13,MATCH($H1079,Productos!$A$2:$A$13,0))</f>
        <v>Tornillo estructural M16x90 clase 10.9</v>
      </c>
      <c r="J1079" s="32" t="str">
        <f aca="false">INDEX(Productos!$C$2:$C$13,MATCH($H1079,Productos!$A$2:$A$13,0))</f>
        <v>Especial</v>
      </c>
      <c r="K1079" s="31" t="s">
        <v>246</v>
      </c>
      <c r="L1079" s="46" t="n">
        <v>112</v>
      </c>
      <c r="M1079" s="50" t="n">
        <f aca="false">INDEX(Productos!$F$2:$F$13,MATCH($H1079,Productos!$A$2:$A$13,0))</f>
        <v>112</v>
      </c>
      <c r="N1079" s="51" t="n">
        <v>0.131</v>
      </c>
      <c r="O1079" s="52" t="n">
        <f aca="false">M1079*(1-N1079)</f>
        <v>97.328</v>
      </c>
      <c r="P1079" s="21" t="n">
        <f aca="false">L1079*O1079</f>
        <v>10900.736</v>
      </c>
      <c r="Q1079" s="50" t="n">
        <f aca="false">INDEX(Productos!$E$2:$E$13,MATCH($H1079,Productos!$A$2:$A$13,0))*INDEX(Parametros!$B$26:$B$43,MATCH($C1079,Parametros!$A$26:$A$43,0))</f>
        <v>61.92</v>
      </c>
      <c r="R1079" s="21" t="n">
        <f aca="false">L1079*Q1079</f>
        <v>6935.04</v>
      </c>
      <c r="S1079" s="18" t="n">
        <f aca="false">L1079*INDEX(Parametros!$B$20:$B$22,MATCH($E1079,Parametros!$A$20:$A$22,0))</f>
        <v>212.8</v>
      </c>
      <c r="T1079" s="18" t="n">
        <f aca="false">P1079*INDEX(Parametros!$B$13:$B$16,MATCH($F1079,Parametros!$A$13:$A$16,0))</f>
        <v>436.02944</v>
      </c>
      <c r="U1079" s="21" t="n">
        <f aca="false">P1079-R1079-S1079-T1079</f>
        <v>3316.86656</v>
      </c>
      <c r="V1079" s="19" t="n">
        <f aca="false">IFERROR(U1079/P1079,0)</f>
        <v>0.304279138582936</v>
      </c>
      <c r="W1079" s="48" t="n">
        <f aca="false">B1079+INDEX(Parametros!$C$13:$C$16,MATCH($F1079,Parametros!$A$13:$A$16,0))</f>
        <v>46109</v>
      </c>
      <c r="X1079" s="31" t="s">
        <v>67</v>
      </c>
      <c r="Y1079" s="53" t="n">
        <f aca="false">IF(COUNTIF($A$2:$A1079,A1079)=1,1,0)</f>
        <v>1</v>
      </c>
    </row>
    <row r="1080" customFormat="false" ht="15" hidden="false" customHeight="false" outlineLevel="0" collapsed="false">
      <c r="A1080" s="31" t="s">
        <v>822</v>
      </c>
      <c r="B1080" s="36" t="n">
        <v>46034</v>
      </c>
      <c r="C1080" s="49" t="n">
        <f aca="false">DATE(YEAR(B1080),MONTH(B1080),1)</f>
        <v>46023</v>
      </c>
      <c r="D1080" s="31" t="s">
        <v>226</v>
      </c>
      <c r="E1080" s="31" t="s">
        <v>43</v>
      </c>
      <c r="F1080" s="31" t="s">
        <v>46</v>
      </c>
      <c r="G1080" s="31" t="s">
        <v>59</v>
      </c>
      <c r="H1080" s="31" t="s">
        <v>175</v>
      </c>
      <c r="I1080" s="32" t="str">
        <f aca="false">INDEX(Productos!$B$2:$B$13,MATCH($H1080,Productos!$A$2:$A$13,0))</f>
        <v>Tirafondo madera 5x60 cabeza plana Torx</v>
      </c>
      <c r="J1080" s="32" t="str">
        <f aca="false">INDEX(Productos!$C$2:$C$13,MATCH($H1080,Productos!$A$2:$A$13,0))</f>
        <v>Madera</v>
      </c>
      <c r="K1080" s="31" t="s">
        <v>246</v>
      </c>
      <c r="L1080" s="46" t="n">
        <v>46</v>
      </c>
      <c r="M1080" s="50" t="n">
        <f aca="false">INDEX(Productos!$F$2:$F$13,MATCH($H1080,Productos!$A$2:$A$13,0))</f>
        <v>26</v>
      </c>
      <c r="N1080" s="51" t="n">
        <v>0.105</v>
      </c>
      <c r="O1080" s="52" t="n">
        <f aca="false">M1080*(1-N1080)</f>
        <v>23.27</v>
      </c>
      <c r="P1080" s="21" t="n">
        <f aca="false">L1080*O1080</f>
        <v>1070.42</v>
      </c>
      <c r="Q1080" s="50" t="n">
        <f aca="false">INDEX(Productos!$E$2:$E$13,MATCH($H1080,Productos!$A$2:$A$13,0))*INDEX(Parametros!$B$26:$B$43,MATCH($C1080,Parametros!$A$26:$A$43,0))</f>
        <v>13.8288</v>
      </c>
      <c r="R1080" s="21" t="n">
        <f aca="false">L1080*Q1080</f>
        <v>636.1248</v>
      </c>
      <c r="S1080" s="18" t="n">
        <f aca="false">L1080*INDEX(Parametros!$B$20:$B$22,MATCH($E1080,Parametros!$A$20:$A$22,0))</f>
        <v>87.4</v>
      </c>
      <c r="T1080" s="18" t="n">
        <f aca="false">P1080*INDEX(Parametros!$B$13:$B$16,MATCH($F1080,Parametros!$A$13:$A$16,0))</f>
        <v>42.8168</v>
      </c>
      <c r="U1080" s="21" t="n">
        <f aca="false">P1080-R1080-S1080-T1080</f>
        <v>304.0784</v>
      </c>
      <c r="V1080" s="19" t="n">
        <f aca="false">IFERROR(U1080/P1080,0)</f>
        <v>0.284073914911904</v>
      </c>
      <c r="W1080" s="48" t="n">
        <f aca="false">B1080+INDEX(Parametros!$C$13:$C$16,MATCH($F1080,Parametros!$A$13:$A$16,0))</f>
        <v>46109</v>
      </c>
      <c r="X1080" s="31" t="s">
        <v>67</v>
      </c>
      <c r="Y1080" s="53" t="n">
        <f aca="false">IF(COUNTIF($A$2:$A1080,A1080)=1,1,0)</f>
        <v>0</v>
      </c>
    </row>
    <row r="1081" customFormat="false" ht="15" hidden="false" customHeight="false" outlineLevel="0" collapsed="false">
      <c r="A1081" s="31" t="s">
        <v>822</v>
      </c>
      <c r="B1081" s="36" t="n">
        <v>46034</v>
      </c>
      <c r="C1081" s="49" t="n">
        <f aca="false">DATE(YEAR(B1081),MONTH(B1081),1)</f>
        <v>46023</v>
      </c>
      <c r="D1081" s="31" t="s">
        <v>226</v>
      </c>
      <c r="E1081" s="31" t="s">
        <v>43</v>
      </c>
      <c r="F1081" s="31" t="s">
        <v>46</v>
      </c>
      <c r="G1081" s="31" t="s">
        <v>59</v>
      </c>
      <c r="H1081" s="31" t="s">
        <v>165</v>
      </c>
      <c r="I1081" s="32" t="str">
        <f aca="false">INDEX(Productos!$B$2:$B$13,MATCH($H1081,Productos!$A$2:$A$13,0))</f>
        <v>Tornillo DIN 933 M8x40 rosca completa zincado</v>
      </c>
      <c r="J1081" s="32" t="str">
        <f aca="false">INDEX(Productos!$C$2:$C$13,MATCH($H1081,Productos!$A$2:$A$13,0))</f>
        <v>Métrica</v>
      </c>
      <c r="K1081" s="31" t="s">
        <v>246</v>
      </c>
      <c r="L1081" s="46" t="n">
        <v>168</v>
      </c>
      <c r="M1081" s="50" t="n">
        <f aca="false">INDEX(Productos!$F$2:$F$13,MATCH($H1081,Productos!$A$2:$A$13,0))</f>
        <v>37.5</v>
      </c>
      <c r="N1081" s="51" t="n">
        <v>0.087</v>
      </c>
      <c r="O1081" s="52" t="n">
        <f aca="false">M1081*(1-N1081)</f>
        <v>34.2375</v>
      </c>
      <c r="P1081" s="21" t="n">
        <f aca="false">L1081*O1081</f>
        <v>5751.9</v>
      </c>
      <c r="Q1081" s="50" t="n">
        <f aca="false">INDEX(Productos!$E$2:$E$13,MATCH($H1081,Productos!$A$2:$A$13,0))*INDEX(Parametros!$B$26:$B$43,MATCH($C1081,Parametros!$A$26:$A$43,0))</f>
        <v>20.0208</v>
      </c>
      <c r="R1081" s="21" t="n">
        <f aca="false">L1081*Q1081</f>
        <v>3363.4944</v>
      </c>
      <c r="S1081" s="18" t="n">
        <f aca="false">L1081*INDEX(Parametros!$B$20:$B$22,MATCH($E1081,Parametros!$A$20:$A$22,0))</f>
        <v>319.2</v>
      </c>
      <c r="T1081" s="18" t="n">
        <f aca="false">P1081*INDEX(Parametros!$B$13:$B$16,MATCH($F1081,Parametros!$A$13:$A$16,0))</f>
        <v>230.076</v>
      </c>
      <c r="U1081" s="21" t="n">
        <f aca="false">P1081-R1081-S1081-T1081</f>
        <v>1839.1296</v>
      </c>
      <c r="V1081" s="19" t="n">
        <f aca="false">IFERROR(U1081/P1081,0)</f>
        <v>0.31974297188755</v>
      </c>
      <c r="W1081" s="48" t="n">
        <f aca="false">B1081+INDEX(Parametros!$C$13:$C$16,MATCH($F1081,Parametros!$A$13:$A$16,0))</f>
        <v>46109</v>
      </c>
      <c r="X1081" s="31" t="s">
        <v>69</v>
      </c>
      <c r="Y1081" s="53" t="n">
        <f aca="false">IF(COUNTIF($A$2:$A1081,A1081)=1,1,0)</f>
        <v>0</v>
      </c>
    </row>
    <row r="1082" customFormat="false" ht="15" hidden="false" customHeight="false" outlineLevel="0" collapsed="false">
      <c r="A1082" s="31" t="s">
        <v>823</v>
      </c>
      <c r="B1082" s="36" t="n">
        <v>46034</v>
      </c>
      <c r="C1082" s="49" t="n">
        <f aca="false">DATE(YEAR(B1082),MONTH(B1082),1)</f>
        <v>46023</v>
      </c>
      <c r="D1082" s="31" t="s">
        <v>205</v>
      </c>
      <c r="E1082" s="31" t="s">
        <v>41</v>
      </c>
      <c r="F1082" s="31" t="s">
        <v>45</v>
      </c>
      <c r="G1082" s="31" t="s">
        <v>62</v>
      </c>
      <c r="H1082" s="31" t="s">
        <v>179</v>
      </c>
      <c r="I1082" s="32" t="str">
        <f aca="false">INDEX(Productos!$B$2:$B$13,MATCH($H1082,Productos!$A$2:$A$13,0))</f>
        <v>Autotaladrante DIN 7504 4,8x38 zincado</v>
      </c>
      <c r="J1082" s="32" t="str">
        <f aca="false">INDEX(Productos!$C$2:$C$13,MATCH($H1082,Productos!$A$2:$A$13,0))</f>
        <v>Autotaladrante</v>
      </c>
      <c r="K1082" s="31" t="s">
        <v>246</v>
      </c>
      <c r="L1082" s="46" t="n">
        <v>225</v>
      </c>
      <c r="M1082" s="50" t="n">
        <f aca="false">INDEX(Productos!$F$2:$F$13,MATCH($H1082,Productos!$A$2:$A$13,0))</f>
        <v>29.5</v>
      </c>
      <c r="N1082" s="51" t="n">
        <v>0.205</v>
      </c>
      <c r="O1082" s="52" t="n">
        <f aca="false">M1082*(1-N1082)</f>
        <v>23.4525</v>
      </c>
      <c r="P1082" s="21" t="n">
        <f aca="false">L1082*O1082</f>
        <v>5276.8125</v>
      </c>
      <c r="Q1082" s="50" t="n">
        <f aca="false">INDEX(Productos!$E$2:$E$13,MATCH($H1082,Productos!$A$2:$A$13,0))*INDEX(Parametros!$B$26:$B$43,MATCH($C1082,Parametros!$A$26:$A$43,0))</f>
        <v>15.6864</v>
      </c>
      <c r="R1082" s="21" t="n">
        <f aca="false">L1082*Q1082</f>
        <v>3529.44</v>
      </c>
      <c r="S1082" s="18" t="n">
        <f aca="false">L1082*INDEX(Parametros!$B$20:$B$22,MATCH($E1082,Parametros!$A$20:$A$22,0))</f>
        <v>191.25</v>
      </c>
      <c r="T1082" s="18" t="n">
        <f aca="false">P1082*INDEX(Parametros!$B$13:$B$16,MATCH($F1082,Parametros!$A$13:$A$16,0))</f>
        <v>158.304375</v>
      </c>
      <c r="U1082" s="21" t="n">
        <f aca="false">P1082-R1082-S1082-T1082</f>
        <v>1397.818125</v>
      </c>
      <c r="V1082" s="19" t="n">
        <f aca="false">IFERROR(U1082/P1082,0)</f>
        <v>0.264898198486302</v>
      </c>
      <c r="W1082" s="48" t="n">
        <f aca="false">B1082+INDEX(Parametros!$C$13:$C$16,MATCH($F1082,Parametros!$A$13:$A$16,0))</f>
        <v>46094</v>
      </c>
      <c r="X1082" s="31" t="s">
        <v>67</v>
      </c>
      <c r="Y1082" s="53" t="n">
        <f aca="false">IF(COUNTIF($A$2:$A1082,A1082)=1,1,0)</f>
        <v>1</v>
      </c>
    </row>
    <row r="1083" customFormat="false" ht="15" hidden="false" customHeight="false" outlineLevel="0" collapsed="false">
      <c r="A1083" s="31" t="s">
        <v>823</v>
      </c>
      <c r="B1083" s="36" t="n">
        <v>46034</v>
      </c>
      <c r="C1083" s="49" t="n">
        <f aca="false">DATE(YEAR(B1083),MONTH(B1083),1)</f>
        <v>46023</v>
      </c>
      <c r="D1083" s="31" t="s">
        <v>205</v>
      </c>
      <c r="E1083" s="31" t="s">
        <v>41</v>
      </c>
      <c r="F1083" s="31" t="s">
        <v>45</v>
      </c>
      <c r="G1083" s="31" t="s">
        <v>62</v>
      </c>
      <c r="H1083" s="31" t="s">
        <v>173</v>
      </c>
      <c r="I1083" s="32" t="str">
        <f aca="false">INDEX(Productos!$B$2:$B$13,MATCH($H1083,Productos!$A$2:$A$13,0))</f>
        <v>Tornillo DIN 933 M12x70 clase 8.8</v>
      </c>
      <c r="J1083" s="32" t="str">
        <f aca="false">INDEX(Productos!$C$2:$C$13,MATCH($H1083,Productos!$A$2:$A$13,0))</f>
        <v>Métrica</v>
      </c>
      <c r="K1083" s="31" t="s">
        <v>246</v>
      </c>
      <c r="L1083" s="46" t="n">
        <v>35</v>
      </c>
      <c r="M1083" s="50" t="n">
        <f aca="false">INDEX(Productos!$F$2:$F$13,MATCH($H1083,Productos!$A$2:$A$13,0))</f>
        <v>64</v>
      </c>
      <c r="N1083" s="51" t="n">
        <v>0.217</v>
      </c>
      <c r="O1083" s="52" t="n">
        <f aca="false">M1083*(1-N1083)</f>
        <v>50.112</v>
      </c>
      <c r="P1083" s="21" t="n">
        <f aca="false">L1083*O1083</f>
        <v>1753.92</v>
      </c>
      <c r="Q1083" s="50" t="n">
        <f aca="false">INDEX(Productos!$E$2:$E$13,MATCH($H1083,Productos!$A$2:$A$13,0))*INDEX(Parametros!$B$26:$B$43,MATCH($C1083,Parametros!$A$26:$A$43,0))</f>
        <v>34.572</v>
      </c>
      <c r="R1083" s="21" t="n">
        <f aca="false">L1083*Q1083</f>
        <v>1210.02</v>
      </c>
      <c r="S1083" s="18" t="n">
        <f aca="false">L1083*INDEX(Parametros!$B$20:$B$22,MATCH($E1083,Parametros!$A$20:$A$22,0))</f>
        <v>29.75</v>
      </c>
      <c r="T1083" s="18" t="n">
        <f aca="false">P1083*INDEX(Parametros!$B$13:$B$16,MATCH($F1083,Parametros!$A$13:$A$16,0))</f>
        <v>52.6176</v>
      </c>
      <c r="U1083" s="21" t="n">
        <f aca="false">P1083-R1083-S1083-T1083</f>
        <v>461.5324</v>
      </c>
      <c r="V1083" s="19" t="n">
        <f aca="false">IFERROR(U1083/P1083,0)</f>
        <v>0.263143358876118</v>
      </c>
      <c r="W1083" s="48" t="n">
        <f aca="false">B1083+INDEX(Parametros!$C$13:$C$16,MATCH($F1083,Parametros!$A$13:$A$16,0))</f>
        <v>46094</v>
      </c>
      <c r="X1083" s="31" t="s">
        <v>67</v>
      </c>
      <c r="Y1083" s="53" t="n">
        <f aca="false">IF(COUNTIF($A$2:$A1083,A1083)=1,1,0)</f>
        <v>0</v>
      </c>
    </row>
    <row r="1084" customFormat="false" ht="15" hidden="false" customHeight="false" outlineLevel="0" collapsed="false">
      <c r="A1084" s="31" t="s">
        <v>824</v>
      </c>
      <c r="B1084" s="36" t="n">
        <v>46034</v>
      </c>
      <c r="C1084" s="49" t="n">
        <f aca="false">DATE(YEAR(B1084),MONTH(B1084),1)</f>
        <v>46023</v>
      </c>
      <c r="D1084" s="31" t="s">
        <v>207</v>
      </c>
      <c r="E1084" s="31" t="s">
        <v>41</v>
      </c>
      <c r="F1084" s="31" t="s">
        <v>47</v>
      </c>
      <c r="G1084" s="31" t="s">
        <v>62</v>
      </c>
      <c r="H1084" s="31" t="s">
        <v>177</v>
      </c>
      <c r="I1084" s="32" t="str">
        <f aca="false">INDEX(Productos!$B$2:$B$13,MATCH($H1084,Productos!$A$2:$A$13,0))</f>
        <v>Tirafondo madera 6x100 cabeza plana Torx</v>
      </c>
      <c r="J1084" s="32" t="str">
        <f aca="false">INDEX(Productos!$C$2:$C$13,MATCH($H1084,Productos!$A$2:$A$13,0))</f>
        <v>Madera</v>
      </c>
      <c r="K1084" s="31" t="s">
        <v>246</v>
      </c>
      <c r="L1084" s="46" t="n">
        <v>74</v>
      </c>
      <c r="M1084" s="50" t="n">
        <f aca="false">INDEX(Productos!$F$2:$F$13,MATCH($H1084,Productos!$A$2:$A$13,0))</f>
        <v>34</v>
      </c>
      <c r="N1084" s="51" t="n">
        <v>0.061</v>
      </c>
      <c r="O1084" s="52" t="n">
        <f aca="false">M1084*(1-N1084)</f>
        <v>31.926</v>
      </c>
      <c r="P1084" s="21" t="n">
        <f aca="false">L1084*O1084</f>
        <v>2362.524</v>
      </c>
      <c r="Q1084" s="50" t="n">
        <f aca="false">INDEX(Productos!$E$2:$E$13,MATCH($H1084,Productos!$A$2:$A$13,0))*INDEX(Parametros!$B$26:$B$43,MATCH($C1084,Parametros!$A$26:$A$43,0))</f>
        <v>18.3696</v>
      </c>
      <c r="R1084" s="21" t="n">
        <f aca="false">L1084*Q1084</f>
        <v>1359.3504</v>
      </c>
      <c r="S1084" s="18" t="n">
        <f aca="false">L1084*INDEX(Parametros!$B$20:$B$22,MATCH($E1084,Parametros!$A$20:$A$22,0))</f>
        <v>62.9</v>
      </c>
      <c r="T1084" s="18" t="n">
        <f aca="false">P1084*INDEX(Parametros!$B$13:$B$16,MATCH($F1084,Parametros!$A$13:$A$16,0))</f>
        <v>82.68834</v>
      </c>
      <c r="U1084" s="21" t="n">
        <f aca="false">P1084-R1084-S1084-T1084</f>
        <v>857.58526</v>
      </c>
      <c r="V1084" s="19" t="n">
        <f aca="false">IFERROR(U1084/P1084,0)</f>
        <v>0.362995364279897</v>
      </c>
      <c r="W1084" s="48" t="n">
        <f aca="false">B1084+INDEX(Parametros!$C$13:$C$16,MATCH($F1084,Parametros!$A$13:$A$16,0))</f>
        <v>46079</v>
      </c>
      <c r="X1084" s="31" t="s">
        <v>67</v>
      </c>
      <c r="Y1084" s="53" t="n">
        <f aca="false">IF(COUNTIF($A$2:$A1084,A1084)=1,1,0)</f>
        <v>1</v>
      </c>
    </row>
    <row r="1085" customFormat="false" ht="15" hidden="false" customHeight="false" outlineLevel="0" collapsed="false">
      <c r="A1085" s="31" t="s">
        <v>824</v>
      </c>
      <c r="B1085" s="36" t="n">
        <v>46034</v>
      </c>
      <c r="C1085" s="49" t="n">
        <f aca="false">DATE(YEAR(B1085),MONTH(B1085),1)</f>
        <v>46023</v>
      </c>
      <c r="D1085" s="31" t="s">
        <v>207</v>
      </c>
      <c r="E1085" s="31" t="s">
        <v>41</v>
      </c>
      <c r="F1085" s="31" t="s">
        <v>47</v>
      </c>
      <c r="G1085" s="31" t="s">
        <v>62</v>
      </c>
      <c r="H1085" s="31" t="s">
        <v>171</v>
      </c>
      <c r="I1085" s="32" t="str">
        <f aca="false">INDEX(Productos!$B$2:$B$13,MATCH($H1085,Productos!$A$2:$A$13,0))</f>
        <v>Tornillo DIN 7991 M8x30 avellanado inox A2</v>
      </c>
      <c r="J1085" s="32" t="str">
        <f aca="false">INDEX(Productos!$C$2:$C$13,MATCH($H1085,Productos!$A$2:$A$13,0))</f>
        <v>Inoxidable</v>
      </c>
      <c r="K1085" s="31" t="s">
        <v>246</v>
      </c>
      <c r="L1085" s="46" t="n">
        <v>94</v>
      </c>
      <c r="M1085" s="50" t="n">
        <f aca="false">INDEX(Productos!$F$2:$F$13,MATCH($H1085,Productos!$A$2:$A$13,0))</f>
        <v>88</v>
      </c>
      <c r="N1085" s="51" t="n">
        <v>0.055</v>
      </c>
      <c r="O1085" s="52" t="n">
        <f aca="false">M1085*(1-N1085)</f>
        <v>83.16</v>
      </c>
      <c r="P1085" s="21" t="n">
        <f aca="false">L1085*O1085</f>
        <v>7817.04</v>
      </c>
      <c r="Q1085" s="50" t="n">
        <f aca="false">INDEX(Productos!$E$2:$E$13,MATCH($H1085,Productos!$A$2:$A$13,0))*INDEX(Parametros!$B$26:$B$43,MATCH($C1085,Parametros!$A$26:$A$43,0))</f>
        <v>47.988</v>
      </c>
      <c r="R1085" s="21" t="n">
        <f aca="false">L1085*Q1085</f>
        <v>4510.872</v>
      </c>
      <c r="S1085" s="18" t="n">
        <f aca="false">L1085*INDEX(Parametros!$B$20:$B$22,MATCH($E1085,Parametros!$A$20:$A$22,0))</f>
        <v>79.9</v>
      </c>
      <c r="T1085" s="18" t="n">
        <f aca="false">P1085*INDEX(Parametros!$B$13:$B$16,MATCH($F1085,Parametros!$A$13:$A$16,0))</f>
        <v>273.5964</v>
      </c>
      <c r="U1085" s="21" t="n">
        <f aca="false">P1085-R1085-S1085-T1085</f>
        <v>2952.6716</v>
      </c>
      <c r="V1085" s="19" t="n">
        <f aca="false">IFERROR(U1085/P1085,0)</f>
        <v>0.377722462722463</v>
      </c>
      <c r="W1085" s="48" t="n">
        <f aca="false">B1085+INDEX(Parametros!$C$13:$C$16,MATCH($F1085,Parametros!$A$13:$A$16,0))</f>
        <v>46079</v>
      </c>
      <c r="X1085" s="31" t="s">
        <v>67</v>
      </c>
      <c r="Y1085" s="53" t="n">
        <f aca="false">IF(COUNTIF($A$2:$A1085,A1085)=1,1,0)</f>
        <v>0</v>
      </c>
    </row>
    <row r="1086" customFormat="false" ht="15" hidden="false" customHeight="false" outlineLevel="0" collapsed="false">
      <c r="A1086" s="31" t="s">
        <v>825</v>
      </c>
      <c r="B1086" s="36" t="n">
        <v>46034</v>
      </c>
      <c r="C1086" s="49" t="n">
        <f aca="false">DATE(YEAR(B1086),MONTH(B1086),1)</f>
        <v>46023</v>
      </c>
      <c r="D1086" s="31" t="s">
        <v>195</v>
      </c>
      <c r="E1086" s="31" t="s">
        <v>41</v>
      </c>
      <c r="F1086" s="31" t="s">
        <v>45</v>
      </c>
      <c r="G1086" s="31" t="s">
        <v>58</v>
      </c>
      <c r="H1086" s="31" t="s">
        <v>183</v>
      </c>
      <c r="I1086" s="32" t="str">
        <f aca="false">INDEX(Productos!$B$2:$B$13,MATCH($H1086,Productos!$A$2:$A$13,0))</f>
        <v>Tornillo estructural M16x90 clase 10.9</v>
      </c>
      <c r="J1086" s="32" t="str">
        <f aca="false">INDEX(Productos!$C$2:$C$13,MATCH($H1086,Productos!$A$2:$A$13,0))</f>
        <v>Especial</v>
      </c>
      <c r="K1086" s="31" t="s">
        <v>246</v>
      </c>
      <c r="L1086" s="46" t="n">
        <v>59</v>
      </c>
      <c r="M1086" s="50" t="n">
        <f aca="false">INDEX(Productos!$F$2:$F$13,MATCH($H1086,Productos!$A$2:$A$13,0))</f>
        <v>112</v>
      </c>
      <c r="N1086" s="51" t="n">
        <v>0.207</v>
      </c>
      <c r="O1086" s="52" t="n">
        <f aca="false">M1086*(1-N1086)</f>
        <v>88.816</v>
      </c>
      <c r="P1086" s="21" t="n">
        <f aca="false">L1086*O1086</f>
        <v>5240.144</v>
      </c>
      <c r="Q1086" s="50" t="n">
        <f aca="false">INDEX(Productos!$E$2:$E$13,MATCH($H1086,Productos!$A$2:$A$13,0))*INDEX(Parametros!$B$26:$B$43,MATCH($C1086,Parametros!$A$26:$A$43,0))</f>
        <v>61.92</v>
      </c>
      <c r="R1086" s="21" t="n">
        <f aca="false">L1086*Q1086</f>
        <v>3653.28</v>
      </c>
      <c r="S1086" s="18" t="n">
        <f aca="false">L1086*INDEX(Parametros!$B$20:$B$22,MATCH($E1086,Parametros!$A$20:$A$22,0))</f>
        <v>50.15</v>
      </c>
      <c r="T1086" s="18" t="n">
        <f aca="false">P1086*INDEX(Parametros!$B$13:$B$16,MATCH($F1086,Parametros!$A$13:$A$16,0))</f>
        <v>157.20432</v>
      </c>
      <c r="U1086" s="21" t="n">
        <f aca="false">P1086-R1086-S1086-T1086</f>
        <v>1379.50968</v>
      </c>
      <c r="V1086" s="19" t="n">
        <f aca="false">IFERROR(U1086/P1086,0)</f>
        <v>0.26325797153666</v>
      </c>
      <c r="W1086" s="48" t="n">
        <f aca="false">B1086+INDEX(Parametros!$C$13:$C$16,MATCH($F1086,Parametros!$A$13:$A$16,0))</f>
        <v>46094</v>
      </c>
      <c r="X1086" s="31" t="s">
        <v>67</v>
      </c>
      <c r="Y1086" s="53" t="n">
        <f aca="false">IF(COUNTIF($A$2:$A1086,A1086)=1,1,0)</f>
        <v>1</v>
      </c>
    </row>
    <row r="1087" customFormat="false" ht="15" hidden="false" customHeight="false" outlineLevel="0" collapsed="false">
      <c r="A1087" s="31" t="s">
        <v>825</v>
      </c>
      <c r="B1087" s="36" t="n">
        <v>46034</v>
      </c>
      <c r="C1087" s="49" t="n">
        <f aca="false">DATE(YEAR(B1087),MONTH(B1087),1)</f>
        <v>46023</v>
      </c>
      <c r="D1087" s="31" t="s">
        <v>195</v>
      </c>
      <c r="E1087" s="31" t="s">
        <v>41</v>
      </c>
      <c r="F1087" s="31" t="s">
        <v>45</v>
      </c>
      <c r="G1087" s="31" t="s">
        <v>58</v>
      </c>
      <c r="H1087" s="31" t="s">
        <v>175</v>
      </c>
      <c r="I1087" s="32" t="str">
        <f aca="false">INDEX(Productos!$B$2:$B$13,MATCH($H1087,Productos!$A$2:$A$13,0))</f>
        <v>Tirafondo madera 5x60 cabeza plana Torx</v>
      </c>
      <c r="J1087" s="32" t="str">
        <f aca="false">INDEX(Productos!$C$2:$C$13,MATCH($H1087,Productos!$A$2:$A$13,0))</f>
        <v>Madera</v>
      </c>
      <c r="K1087" s="31" t="s">
        <v>246</v>
      </c>
      <c r="L1087" s="46" t="n">
        <v>102</v>
      </c>
      <c r="M1087" s="50" t="n">
        <f aca="false">INDEX(Productos!$F$2:$F$13,MATCH($H1087,Productos!$A$2:$A$13,0))</f>
        <v>26</v>
      </c>
      <c r="N1087" s="51" t="n">
        <v>0.158</v>
      </c>
      <c r="O1087" s="52" t="n">
        <f aca="false">M1087*(1-N1087)</f>
        <v>21.892</v>
      </c>
      <c r="P1087" s="21" t="n">
        <f aca="false">L1087*O1087</f>
        <v>2232.984</v>
      </c>
      <c r="Q1087" s="50" t="n">
        <f aca="false">INDEX(Productos!$E$2:$E$13,MATCH($H1087,Productos!$A$2:$A$13,0))*INDEX(Parametros!$B$26:$B$43,MATCH($C1087,Parametros!$A$26:$A$43,0))</f>
        <v>13.8288</v>
      </c>
      <c r="R1087" s="21" t="n">
        <f aca="false">L1087*Q1087</f>
        <v>1410.5376</v>
      </c>
      <c r="S1087" s="18" t="n">
        <f aca="false">L1087*INDEX(Parametros!$B$20:$B$22,MATCH($E1087,Parametros!$A$20:$A$22,0))</f>
        <v>86.7</v>
      </c>
      <c r="T1087" s="18" t="n">
        <f aca="false">P1087*INDEX(Parametros!$B$13:$B$16,MATCH($F1087,Parametros!$A$13:$A$16,0))</f>
        <v>66.98952</v>
      </c>
      <c r="U1087" s="21" t="n">
        <f aca="false">P1087-R1087-S1087-T1087</f>
        <v>668.75688</v>
      </c>
      <c r="V1087" s="19" t="n">
        <f aca="false">IFERROR(U1087/P1087,0)</f>
        <v>0.299490224739631</v>
      </c>
      <c r="W1087" s="48" t="n">
        <f aca="false">B1087+INDEX(Parametros!$C$13:$C$16,MATCH($F1087,Parametros!$A$13:$A$16,0))</f>
        <v>46094</v>
      </c>
      <c r="X1087" s="31" t="s">
        <v>67</v>
      </c>
      <c r="Y1087" s="53" t="n">
        <f aca="false">IF(COUNTIF($A$2:$A1087,A1087)=1,1,0)</f>
        <v>0</v>
      </c>
    </row>
    <row r="1088" customFormat="false" ht="15" hidden="false" customHeight="false" outlineLevel="0" collapsed="false">
      <c r="A1088" s="31" t="s">
        <v>826</v>
      </c>
      <c r="B1088" s="36" t="n">
        <v>46034</v>
      </c>
      <c r="C1088" s="49" t="n">
        <f aca="false">DATE(YEAR(B1088),MONTH(B1088),1)</f>
        <v>46023</v>
      </c>
      <c r="D1088" s="31" t="s">
        <v>208</v>
      </c>
      <c r="E1088" s="31" t="s">
        <v>41</v>
      </c>
      <c r="F1088" s="31" t="s">
        <v>46</v>
      </c>
      <c r="G1088" s="31" t="s">
        <v>58</v>
      </c>
      <c r="H1088" s="31" t="s">
        <v>181</v>
      </c>
      <c r="I1088" s="32" t="str">
        <f aca="false">INDEX(Productos!$B$2:$B$13,MATCH($H1088,Productos!$A$2:$A$13,0))</f>
        <v>Autotaladrante 5,5x55 punta broca</v>
      </c>
      <c r="J1088" s="32" t="str">
        <f aca="false">INDEX(Productos!$C$2:$C$13,MATCH($H1088,Productos!$A$2:$A$13,0))</f>
        <v>Autotaladrante</v>
      </c>
      <c r="K1088" s="31" t="s">
        <v>246</v>
      </c>
      <c r="L1088" s="46" t="n">
        <v>81</v>
      </c>
      <c r="M1088" s="50" t="n">
        <f aca="false">INDEX(Productos!$F$2:$F$13,MATCH($H1088,Productos!$A$2:$A$13,0))</f>
        <v>39</v>
      </c>
      <c r="N1088" s="51" t="n">
        <v>0.104</v>
      </c>
      <c r="O1088" s="52" t="n">
        <f aca="false">M1088*(1-N1088)</f>
        <v>34.944</v>
      </c>
      <c r="P1088" s="21" t="n">
        <f aca="false">L1088*O1088</f>
        <v>2830.464</v>
      </c>
      <c r="Q1088" s="50" t="n">
        <f aca="false">INDEX(Productos!$E$2:$E$13,MATCH($H1088,Productos!$A$2:$A$13,0))*INDEX(Parametros!$B$26:$B$43,MATCH($C1088,Parametros!$A$26:$A$43,0))</f>
        <v>20.9496</v>
      </c>
      <c r="R1088" s="21" t="n">
        <f aca="false">L1088*Q1088</f>
        <v>1696.9176</v>
      </c>
      <c r="S1088" s="18" t="n">
        <f aca="false">L1088*INDEX(Parametros!$B$20:$B$22,MATCH($E1088,Parametros!$A$20:$A$22,0))</f>
        <v>68.85</v>
      </c>
      <c r="T1088" s="18" t="n">
        <f aca="false">P1088*INDEX(Parametros!$B$13:$B$16,MATCH($F1088,Parametros!$A$13:$A$16,0))</f>
        <v>113.21856</v>
      </c>
      <c r="U1088" s="21" t="n">
        <f aca="false">P1088-R1088-S1088-T1088</f>
        <v>951.477840000001</v>
      </c>
      <c r="V1088" s="19" t="n">
        <f aca="false">IFERROR(U1088/P1088,0)</f>
        <v>0.336156135531136</v>
      </c>
      <c r="W1088" s="48" t="n">
        <f aca="false">B1088+INDEX(Parametros!$C$13:$C$16,MATCH($F1088,Parametros!$A$13:$A$16,0))</f>
        <v>46109</v>
      </c>
      <c r="X1088" s="31" t="s">
        <v>67</v>
      </c>
      <c r="Y1088" s="53" t="n">
        <f aca="false">IF(COUNTIF($A$2:$A1088,A1088)=1,1,0)</f>
        <v>1</v>
      </c>
    </row>
    <row r="1089" customFormat="false" ht="15" hidden="false" customHeight="false" outlineLevel="0" collapsed="false">
      <c r="A1089" s="31" t="s">
        <v>827</v>
      </c>
      <c r="B1089" s="36" t="n">
        <v>46034</v>
      </c>
      <c r="C1089" s="49" t="n">
        <f aca="false">DATE(YEAR(B1089),MONTH(B1089),1)</f>
        <v>46023</v>
      </c>
      <c r="D1089" s="31" t="s">
        <v>196</v>
      </c>
      <c r="E1089" s="31" t="s">
        <v>41</v>
      </c>
      <c r="F1089" s="31" t="s">
        <v>47</v>
      </c>
      <c r="G1089" s="31" t="s">
        <v>58</v>
      </c>
      <c r="H1089" s="31" t="s">
        <v>175</v>
      </c>
      <c r="I1089" s="32" t="str">
        <f aca="false">INDEX(Productos!$B$2:$B$13,MATCH($H1089,Productos!$A$2:$A$13,0))</f>
        <v>Tirafondo madera 5x60 cabeza plana Torx</v>
      </c>
      <c r="J1089" s="32" t="str">
        <f aca="false">INDEX(Productos!$C$2:$C$13,MATCH($H1089,Productos!$A$2:$A$13,0))</f>
        <v>Madera</v>
      </c>
      <c r="K1089" s="31" t="s">
        <v>246</v>
      </c>
      <c r="L1089" s="46" t="n">
        <v>21</v>
      </c>
      <c r="M1089" s="50" t="n">
        <f aca="false">INDEX(Productos!$F$2:$F$13,MATCH($H1089,Productos!$A$2:$A$13,0))</f>
        <v>26</v>
      </c>
      <c r="N1089" s="51" t="n">
        <v>0.056</v>
      </c>
      <c r="O1089" s="52" t="n">
        <f aca="false">M1089*(1-N1089)</f>
        <v>24.544</v>
      </c>
      <c r="P1089" s="21" t="n">
        <f aca="false">L1089*O1089</f>
        <v>515.424</v>
      </c>
      <c r="Q1089" s="50" t="n">
        <f aca="false">INDEX(Productos!$E$2:$E$13,MATCH($H1089,Productos!$A$2:$A$13,0))*INDEX(Parametros!$B$26:$B$43,MATCH($C1089,Parametros!$A$26:$A$43,0))</f>
        <v>13.8288</v>
      </c>
      <c r="R1089" s="21" t="n">
        <f aca="false">L1089*Q1089</f>
        <v>290.4048</v>
      </c>
      <c r="S1089" s="18" t="n">
        <f aca="false">L1089*INDEX(Parametros!$B$20:$B$22,MATCH($E1089,Parametros!$A$20:$A$22,0))</f>
        <v>17.85</v>
      </c>
      <c r="T1089" s="18" t="n">
        <f aca="false">P1089*INDEX(Parametros!$B$13:$B$16,MATCH($F1089,Parametros!$A$13:$A$16,0))</f>
        <v>18.03984</v>
      </c>
      <c r="U1089" s="21" t="n">
        <f aca="false">P1089-R1089-S1089-T1089</f>
        <v>189.12936</v>
      </c>
      <c r="V1089" s="19" t="n">
        <f aca="false">IFERROR(U1089/P1089,0)</f>
        <v>0.366939374185137</v>
      </c>
      <c r="W1089" s="48" t="n">
        <f aca="false">B1089+INDEX(Parametros!$C$13:$C$16,MATCH($F1089,Parametros!$A$13:$A$16,0))</f>
        <v>46079</v>
      </c>
      <c r="X1089" s="31" t="s">
        <v>67</v>
      </c>
      <c r="Y1089" s="53" t="n">
        <f aca="false">IF(COUNTIF($A$2:$A1089,A1089)=1,1,0)</f>
        <v>1</v>
      </c>
    </row>
    <row r="1090" customFormat="false" ht="15" hidden="false" customHeight="false" outlineLevel="0" collapsed="false">
      <c r="A1090" s="31" t="s">
        <v>827</v>
      </c>
      <c r="B1090" s="36" t="n">
        <v>46034</v>
      </c>
      <c r="C1090" s="49" t="n">
        <f aca="false">DATE(YEAR(B1090),MONTH(B1090),1)</f>
        <v>46023</v>
      </c>
      <c r="D1090" s="31" t="s">
        <v>196</v>
      </c>
      <c r="E1090" s="31" t="s">
        <v>41</v>
      </c>
      <c r="F1090" s="31" t="s">
        <v>47</v>
      </c>
      <c r="G1090" s="31" t="s">
        <v>58</v>
      </c>
      <c r="H1090" s="31" t="s">
        <v>171</v>
      </c>
      <c r="I1090" s="32" t="str">
        <f aca="false">INDEX(Productos!$B$2:$B$13,MATCH($H1090,Productos!$A$2:$A$13,0))</f>
        <v>Tornillo DIN 7991 M8x30 avellanado inox A2</v>
      </c>
      <c r="J1090" s="32" t="str">
        <f aca="false">INDEX(Productos!$C$2:$C$13,MATCH($H1090,Productos!$A$2:$A$13,0))</f>
        <v>Inoxidable</v>
      </c>
      <c r="K1090" s="31" t="s">
        <v>246</v>
      </c>
      <c r="L1090" s="46" t="n">
        <v>56</v>
      </c>
      <c r="M1090" s="50" t="n">
        <f aca="false">INDEX(Productos!$F$2:$F$13,MATCH($H1090,Productos!$A$2:$A$13,0))</f>
        <v>88</v>
      </c>
      <c r="N1090" s="51" t="n">
        <v>0.082</v>
      </c>
      <c r="O1090" s="52" t="n">
        <f aca="false">M1090*(1-N1090)</f>
        <v>80.784</v>
      </c>
      <c r="P1090" s="21" t="n">
        <f aca="false">L1090*O1090</f>
        <v>4523.904</v>
      </c>
      <c r="Q1090" s="50" t="n">
        <f aca="false">INDEX(Productos!$E$2:$E$13,MATCH($H1090,Productos!$A$2:$A$13,0))*INDEX(Parametros!$B$26:$B$43,MATCH($C1090,Parametros!$A$26:$A$43,0))</f>
        <v>47.988</v>
      </c>
      <c r="R1090" s="21" t="n">
        <f aca="false">L1090*Q1090</f>
        <v>2687.328</v>
      </c>
      <c r="S1090" s="18" t="n">
        <f aca="false">L1090*INDEX(Parametros!$B$20:$B$22,MATCH($E1090,Parametros!$A$20:$A$22,0))</f>
        <v>47.6</v>
      </c>
      <c r="T1090" s="18" t="n">
        <f aca="false">P1090*INDEX(Parametros!$B$13:$B$16,MATCH($F1090,Parametros!$A$13:$A$16,0))</f>
        <v>158.33664</v>
      </c>
      <c r="U1090" s="21" t="n">
        <f aca="false">P1090-R1090-S1090-T1090</f>
        <v>1630.63936</v>
      </c>
      <c r="V1090" s="19" t="n">
        <f aca="false">IFERROR(U1090/P1090,0)</f>
        <v>0.360449593979006</v>
      </c>
      <c r="W1090" s="48" t="n">
        <f aca="false">B1090+INDEX(Parametros!$C$13:$C$16,MATCH($F1090,Parametros!$A$13:$A$16,0))</f>
        <v>46079</v>
      </c>
      <c r="X1090" s="31" t="s">
        <v>67</v>
      </c>
      <c r="Y1090" s="53" t="n">
        <f aca="false">IF(COUNTIF($A$2:$A1090,A1090)=1,1,0)</f>
        <v>0</v>
      </c>
    </row>
    <row r="1091" customFormat="false" ht="15" hidden="false" customHeight="false" outlineLevel="0" collapsed="false">
      <c r="A1091" s="31" t="s">
        <v>828</v>
      </c>
      <c r="B1091" s="36" t="n">
        <v>46035</v>
      </c>
      <c r="C1091" s="49" t="n">
        <f aca="false">DATE(YEAR(B1091),MONTH(B1091),1)</f>
        <v>46023</v>
      </c>
      <c r="D1091" s="31" t="s">
        <v>200</v>
      </c>
      <c r="E1091" s="31" t="s">
        <v>41</v>
      </c>
      <c r="F1091" s="31" t="s">
        <v>45</v>
      </c>
      <c r="G1091" s="31" t="s">
        <v>62</v>
      </c>
      <c r="H1091" s="31" t="s">
        <v>179</v>
      </c>
      <c r="I1091" s="32" t="str">
        <f aca="false">INDEX(Productos!$B$2:$B$13,MATCH($H1091,Productos!$A$2:$A$13,0))</f>
        <v>Autotaladrante DIN 7504 4,8x38 zincado</v>
      </c>
      <c r="J1091" s="32" t="str">
        <f aca="false">INDEX(Productos!$C$2:$C$13,MATCH($H1091,Productos!$A$2:$A$13,0))</f>
        <v>Autotaladrante</v>
      </c>
      <c r="K1091" s="31" t="s">
        <v>246</v>
      </c>
      <c r="L1091" s="46" t="n">
        <v>265</v>
      </c>
      <c r="M1091" s="50" t="n">
        <f aca="false">INDEX(Productos!$F$2:$F$13,MATCH($H1091,Productos!$A$2:$A$13,0))</f>
        <v>29.5</v>
      </c>
      <c r="N1091" s="51" t="n">
        <v>0.123</v>
      </c>
      <c r="O1091" s="52" t="n">
        <f aca="false">M1091*(1-N1091)</f>
        <v>25.8715</v>
      </c>
      <c r="P1091" s="21" t="n">
        <f aca="false">L1091*O1091</f>
        <v>6855.9475</v>
      </c>
      <c r="Q1091" s="50" t="n">
        <f aca="false">INDEX(Productos!$E$2:$E$13,MATCH($H1091,Productos!$A$2:$A$13,0))*INDEX(Parametros!$B$26:$B$43,MATCH($C1091,Parametros!$A$26:$A$43,0))</f>
        <v>15.6864</v>
      </c>
      <c r="R1091" s="21" t="n">
        <f aca="false">L1091*Q1091</f>
        <v>4156.896</v>
      </c>
      <c r="S1091" s="18" t="n">
        <f aca="false">L1091*INDEX(Parametros!$B$20:$B$22,MATCH($E1091,Parametros!$A$20:$A$22,0))</f>
        <v>225.25</v>
      </c>
      <c r="T1091" s="18" t="n">
        <f aca="false">P1091*INDEX(Parametros!$B$13:$B$16,MATCH($F1091,Parametros!$A$13:$A$16,0))</f>
        <v>205.678425</v>
      </c>
      <c r="U1091" s="21" t="n">
        <f aca="false">P1091-R1091-S1091-T1091</f>
        <v>2268.123075</v>
      </c>
      <c r="V1091" s="19" t="n">
        <f aca="false">IFERROR(U1091/P1091,0)</f>
        <v>0.330825618924299</v>
      </c>
      <c r="W1091" s="48" t="n">
        <f aca="false">B1091+INDEX(Parametros!$C$13:$C$16,MATCH($F1091,Parametros!$A$13:$A$16,0))</f>
        <v>46095</v>
      </c>
      <c r="X1091" s="31" t="s">
        <v>69</v>
      </c>
      <c r="Y1091" s="53" t="n">
        <f aca="false">IF(COUNTIF($A$2:$A1091,A1091)=1,1,0)</f>
        <v>1</v>
      </c>
    </row>
    <row r="1092" customFormat="false" ht="15" hidden="false" customHeight="false" outlineLevel="0" collapsed="false">
      <c r="A1092" s="31" t="s">
        <v>828</v>
      </c>
      <c r="B1092" s="36" t="n">
        <v>46035</v>
      </c>
      <c r="C1092" s="49" t="n">
        <f aca="false">DATE(YEAR(B1092),MONTH(B1092),1)</f>
        <v>46023</v>
      </c>
      <c r="D1092" s="31" t="s">
        <v>200</v>
      </c>
      <c r="E1092" s="31" t="s">
        <v>41</v>
      </c>
      <c r="F1092" s="31" t="s">
        <v>45</v>
      </c>
      <c r="G1092" s="31" t="s">
        <v>62</v>
      </c>
      <c r="H1092" s="31" t="s">
        <v>165</v>
      </c>
      <c r="I1092" s="32" t="str">
        <f aca="false">INDEX(Productos!$B$2:$B$13,MATCH($H1092,Productos!$A$2:$A$13,0))</f>
        <v>Tornillo DIN 933 M8x40 rosca completa zincado</v>
      </c>
      <c r="J1092" s="32" t="str">
        <f aca="false">INDEX(Productos!$C$2:$C$13,MATCH($H1092,Productos!$A$2:$A$13,0))</f>
        <v>Métrica</v>
      </c>
      <c r="K1092" s="31" t="s">
        <v>246</v>
      </c>
      <c r="L1092" s="46" t="n">
        <v>82</v>
      </c>
      <c r="M1092" s="50" t="n">
        <f aca="false">INDEX(Productos!$F$2:$F$13,MATCH($H1092,Productos!$A$2:$A$13,0))</f>
        <v>37.5</v>
      </c>
      <c r="N1092" s="51" t="n">
        <v>0.143</v>
      </c>
      <c r="O1092" s="52" t="n">
        <f aca="false">M1092*(1-N1092)</f>
        <v>32.1375</v>
      </c>
      <c r="P1092" s="21" t="n">
        <f aca="false">L1092*O1092</f>
        <v>2635.275</v>
      </c>
      <c r="Q1092" s="50" t="n">
        <f aca="false">INDEX(Productos!$E$2:$E$13,MATCH($H1092,Productos!$A$2:$A$13,0))*INDEX(Parametros!$B$26:$B$43,MATCH($C1092,Parametros!$A$26:$A$43,0))</f>
        <v>20.0208</v>
      </c>
      <c r="R1092" s="21" t="n">
        <f aca="false">L1092*Q1092</f>
        <v>1641.7056</v>
      </c>
      <c r="S1092" s="18" t="n">
        <f aca="false">L1092*INDEX(Parametros!$B$20:$B$22,MATCH($E1092,Parametros!$A$20:$A$22,0))</f>
        <v>69.7</v>
      </c>
      <c r="T1092" s="18" t="n">
        <f aca="false">P1092*INDEX(Parametros!$B$13:$B$16,MATCH($F1092,Parametros!$A$13:$A$16,0))</f>
        <v>79.05825</v>
      </c>
      <c r="U1092" s="21" t="n">
        <f aca="false">P1092-R1092-S1092-T1092</f>
        <v>844.81115</v>
      </c>
      <c r="V1092" s="19" t="n">
        <f aca="false">IFERROR(U1092/P1092,0)</f>
        <v>0.320577985219759</v>
      </c>
      <c r="W1092" s="48" t="n">
        <f aca="false">B1092+INDEX(Parametros!$C$13:$C$16,MATCH($F1092,Parametros!$A$13:$A$16,0))</f>
        <v>46095</v>
      </c>
      <c r="X1092" s="31" t="s">
        <v>67</v>
      </c>
      <c r="Y1092" s="53" t="n">
        <f aca="false">IF(COUNTIF($A$2:$A1092,A1092)=1,1,0)</f>
        <v>0</v>
      </c>
    </row>
    <row r="1093" customFormat="false" ht="15" hidden="false" customHeight="false" outlineLevel="0" collapsed="false">
      <c r="A1093" s="31" t="s">
        <v>829</v>
      </c>
      <c r="B1093" s="36" t="n">
        <v>46035</v>
      </c>
      <c r="C1093" s="49" t="n">
        <f aca="false">DATE(YEAR(B1093),MONTH(B1093),1)</f>
        <v>46023</v>
      </c>
      <c r="D1093" s="31" t="s">
        <v>207</v>
      </c>
      <c r="E1093" s="31" t="s">
        <v>41</v>
      </c>
      <c r="F1093" s="31" t="s">
        <v>47</v>
      </c>
      <c r="G1093" s="31" t="s">
        <v>62</v>
      </c>
      <c r="H1093" s="31" t="s">
        <v>163</v>
      </c>
      <c r="I1093" s="32" t="str">
        <f aca="false">INDEX(Productos!$B$2:$B$13,MATCH($H1093,Productos!$A$2:$A$13,0))</f>
        <v>Tornillo DIN 933 M6x30 rosca completa zincado</v>
      </c>
      <c r="J1093" s="32" t="str">
        <f aca="false">INDEX(Productos!$C$2:$C$13,MATCH($H1093,Productos!$A$2:$A$13,0))</f>
        <v>Métrica</v>
      </c>
      <c r="K1093" s="31" t="s">
        <v>246</v>
      </c>
      <c r="L1093" s="46" t="n">
        <v>79</v>
      </c>
      <c r="M1093" s="50" t="n">
        <f aca="false">INDEX(Productos!$F$2:$F$13,MATCH($H1093,Productos!$A$2:$A$13,0))</f>
        <v>32</v>
      </c>
      <c r="N1093" s="51" t="n">
        <v>0.035</v>
      </c>
      <c r="O1093" s="52" t="n">
        <f aca="false">M1093*(1-N1093)</f>
        <v>30.88</v>
      </c>
      <c r="P1093" s="21" t="n">
        <f aca="false">L1093*O1093</f>
        <v>2439.52</v>
      </c>
      <c r="Q1093" s="50" t="n">
        <f aca="false">INDEX(Productos!$E$2:$E$13,MATCH($H1093,Productos!$A$2:$A$13,0))*INDEX(Parametros!$B$26:$B$43,MATCH($C1093,Parametros!$A$26:$A$43,0))</f>
        <v>17.1312</v>
      </c>
      <c r="R1093" s="21" t="n">
        <f aca="false">L1093*Q1093</f>
        <v>1353.3648</v>
      </c>
      <c r="S1093" s="18" t="n">
        <f aca="false">L1093*INDEX(Parametros!$B$20:$B$22,MATCH($E1093,Parametros!$A$20:$A$22,0))</f>
        <v>67.15</v>
      </c>
      <c r="T1093" s="18" t="n">
        <f aca="false">P1093*INDEX(Parametros!$B$13:$B$16,MATCH($F1093,Parametros!$A$13:$A$16,0))</f>
        <v>85.3832</v>
      </c>
      <c r="U1093" s="21" t="n">
        <f aca="false">P1093-R1093-S1093-T1093</f>
        <v>933.622</v>
      </c>
      <c r="V1093" s="19" t="n">
        <f aca="false">IFERROR(U1093/P1093,0)</f>
        <v>0.38270725388601</v>
      </c>
      <c r="W1093" s="48" t="n">
        <f aca="false">B1093+INDEX(Parametros!$C$13:$C$16,MATCH($F1093,Parametros!$A$13:$A$16,0))</f>
        <v>46080</v>
      </c>
      <c r="X1093" s="31" t="s">
        <v>67</v>
      </c>
      <c r="Y1093" s="53" t="n">
        <f aca="false">IF(COUNTIF($A$2:$A1093,A1093)=1,1,0)</f>
        <v>1</v>
      </c>
    </row>
    <row r="1094" customFormat="false" ht="15" hidden="false" customHeight="false" outlineLevel="0" collapsed="false">
      <c r="A1094" s="31" t="s">
        <v>830</v>
      </c>
      <c r="B1094" s="36" t="n">
        <v>46036</v>
      </c>
      <c r="C1094" s="49" t="n">
        <f aca="false">DATE(YEAR(B1094),MONTH(B1094),1)</f>
        <v>46023</v>
      </c>
      <c r="D1094" s="31" t="s">
        <v>220</v>
      </c>
      <c r="E1094" s="31" t="s">
        <v>42</v>
      </c>
      <c r="F1094" s="31" t="s">
        <v>46</v>
      </c>
      <c r="G1094" s="31" t="s">
        <v>61</v>
      </c>
      <c r="H1094" s="31" t="s">
        <v>173</v>
      </c>
      <c r="I1094" s="32" t="str">
        <f aca="false">INDEX(Productos!$B$2:$B$13,MATCH($H1094,Productos!$A$2:$A$13,0))</f>
        <v>Tornillo DIN 933 M12x70 clase 8.8</v>
      </c>
      <c r="J1094" s="32" t="str">
        <f aca="false">INDEX(Productos!$C$2:$C$13,MATCH($H1094,Productos!$A$2:$A$13,0))</f>
        <v>Métrica</v>
      </c>
      <c r="K1094" s="31" t="s">
        <v>246</v>
      </c>
      <c r="L1094" s="46" t="n">
        <v>71</v>
      </c>
      <c r="M1094" s="50" t="n">
        <f aca="false">INDEX(Productos!$F$2:$F$13,MATCH($H1094,Productos!$A$2:$A$13,0))</f>
        <v>64</v>
      </c>
      <c r="N1094" s="51" t="n">
        <v>0.162</v>
      </c>
      <c r="O1094" s="52" t="n">
        <f aca="false">M1094*(1-N1094)</f>
        <v>53.632</v>
      </c>
      <c r="P1094" s="21" t="n">
        <f aca="false">L1094*O1094</f>
        <v>3807.872</v>
      </c>
      <c r="Q1094" s="50" t="n">
        <f aca="false">INDEX(Productos!$E$2:$E$13,MATCH($H1094,Productos!$A$2:$A$13,0))*INDEX(Parametros!$B$26:$B$43,MATCH($C1094,Parametros!$A$26:$A$43,0))</f>
        <v>34.572</v>
      </c>
      <c r="R1094" s="21" t="n">
        <f aca="false">L1094*Q1094</f>
        <v>2454.612</v>
      </c>
      <c r="S1094" s="18" t="n">
        <f aca="false">L1094*INDEX(Parametros!$B$20:$B$22,MATCH($E1094,Parametros!$A$20:$A$22,0))</f>
        <v>170.4</v>
      </c>
      <c r="T1094" s="18" t="n">
        <f aca="false">P1094*INDEX(Parametros!$B$13:$B$16,MATCH($F1094,Parametros!$A$13:$A$16,0))</f>
        <v>152.31488</v>
      </c>
      <c r="U1094" s="21" t="n">
        <f aca="false">P1094-R1094-S1094-T1094</f>
        <v>1030.54512</v>
      </c>
      <c r="V1094" s="19" t="n">
        <f aca="false">IFERROR(U1094/P1094,0)</f>
        <v>0.270635441527446</v>
      </c>
      <c r="W1094" s="48" t="n">
        <f aca="false">B1094+INDEX(Parametros!$C$13:$C$16,MATCH($F1094,Parametros!$A$13:$A$16,0))</f>
        <v>46111</v>
      </c>
      <c r="X1094" s="31" t="s">
        <v>67</v>
      </c>
      <c r="Y1094" s="53" t="n">
        <f aca="false">IF(COUNTIF($A$2:$A1094,A1094)=1,1,0)</f>
        <v>1</v>
      </c>
    </row>
    <row r="1095" customFormat="false" ht="15" hidden="false" customHeight="false" outlineLevel="0" collapsed="false">
      <c r="A1095" s="31" t="s">
        <v>830</v>
      </c>
      <c r="B1095" s="36" t="n">
        <v>46036</v>
      </c>
      <c r="C1095" s="49" t="n">
        <f aca="false">DATE(YEAR(B1095),MONTH(B1095),1)</f>
        <v>46023</v>
      </c>
      <c r="D1095" s="31" t="s">
        <v>220</v>
      </c>
      <c r="E1095" s="31" t="s">
        <v>42</v>
      </c>
      <c r="F1095" s="31" t="s">
        <v>46</v>
      </c>
      <c r="G1095" s="31" t="s">
        <v>61</v>
      </c>
      <c r="H1095" s="31" t="s">
        <v>179</v>
      </c>
      <c r="I1095" s="32" t="str">
        <f aca="false">INDEX(Productos!$B$2:$B$13,MATCH($H1095,Productos!$A$2:$A$13,0))</f>
        <v>Autotaladrante DIN 7504 4,8x38 zincado</v>
      </c>
      <c r="J1095" s="32" t="str">
        <f aca="false">INDEX(Productos!$C$2:$C$13,MATCH($H1095,Productos!$A$2:$A$13,0))</f>
        <v>Autotaladrante</v>
      </c>
      <c r="K1095" s="31" t="s">
        <v>246</v>
      </c>
      <c r="L1095" s="46" t="n">
        <v>69</v>
      </c>
      <c r="M1095" s="50" t="n">
        <f aca="false">INDEX(Productos!$F$2:$F$13,MATCH($H1095,Productos!$A$2:$A$13,0))</f>
        <v>29.5</v>
      </c>
      <c r="N1095" s="51" t="n">
        <v>0.135</v>
      </c>
      <c r="O1095" s="52" t="n">
        <f aca="false">M1095*(1-N1095)</f>
        <v>25.5175</v>
      </c>
      <c r="P1095" s="21" t="n">
        <f aca="false">L1095*O1095</f>
        <v>1760.7075</v>
      </c>
      <c r="Q1095" s="50" t="n">
        <f aca="false">INDEX(Productos!$E$2:$E$13,MATCH($H1095,Productos!$A$2:$A$13,0))*INDEX(Parametros!$B$26:$B$43,MATCH($C1095,Parametros!$A$26:$A$43,0))</f>
        <v>15.6864</v>
      </c>
      <c r="R1095" s="21" t="n">
        <f aca="false">L1095*Q1095</f>
        <v>1082.3616</v>
      </c>
      <c r="S1095" s="18" t="n">
        <f aca="false">L1095*INDEX(Parametros!$B$20:$B$22,MATCH($E1095,Parametros!$A$20:$A$22,0))</f>
        <v>165.6</v>
      </c>
      <c r="T1095" s="18" t="n">
        <f aca="false">P1095*INDEX(Parametros!$B$13:$B$16,MATCH($F1095,Parametros!$A$13:$A$16,0))</f>
        <v>70.4283</v>
      </c>
      <c r="U1095" s="21" t="n">
        <f aca="false">P1095-R1095-S1095-T1095</f>
        <v>442.3176</v>
      </c>
      <c r="V1095" s="19" t="n">
        <f aca="false">IFERROR(U1095/P1095,0)</f>
        <v>0.25121583227197</v>
      </c>
      <c r="W1095" s="48" t="n">
        <f aca="false">B1095+INDEX(Parametros!$C$13:$C$16,MATCH($F1095,Parametros!$A$13:$A$16,0))</f>
        <v>46111</v>
      </c>
      <c r="X1095" s="31" t="s">
        <v>67</v>
      </c>
      <c r="Y1095" s="53" t="n">
        <f aca="false">IF(COUNTIF($A$2:$A1095,A1095)=1,1,0)</f>
        <v>0</v>
      </c>
    </row>
    <row r="1096" customFormat="false" ht="15" hidden="false" customHeight="false" outlineLevel="0" collapsed="false">
      <c r="A1096" s="31" t="s">
        <v>831</v>
      </c>
      <c r="B1096" s="36" t="n">
        <v>46036</v>
      </c>
      <c r="C1096" s="49" t="n">
        <f aca="false">DATE(YEAR(B1096),MONTH(B1096),1)</f>
        <v>46023</v>
      </c>
      <c r="D1096" s="31" t="s">
        <v>223</v>
      </c>
      <c r="E1096" s="31" t="s">
        <v>43</v>
      </c>
      <c r="F1096" s="31" t="s">
        <v>46</v>
      </c>
      <c r="G1096" s="31" t="s">
        <v>59</v>
      </c>
      <c r="H1096" s="31" t="s">
        <v>181</v>
      </c>
      <c r="I1096" s="32" t="str">
        <f aca="false">INDEX(Productos!$B$2:$B$13,MATCH($H1096,Productos!$A$2:$A$13,0))</f>
        <v>Autotaladrante 5,5x55 punta broca</v>
      </c>
      <c r="J1096" s="32" t="str">
        <f aca="false">INDEX(Productos!$C$2:$C$13,MATCH($H1096,Productos!$A$2:$A$13,0))</f>
        <v>Autotaladrante</v>
      </c>
      <c r="K1096" s="31" t="s">
        <v>246</v>
      </c>
      <c r="L1096" s="46" t="n">
        <v>53</v>
      </c>
      <c r="M1096" s="50" t="n">
        <f aca="false">INDEX(Productos!$F$2:$F$13,MATCH($H1096,Productos!$A$2:$A$13,0))</f>
        <v>39</v>
      </c>
      <c r="N1096" s="51" t="n">
        <v>0.176</v>
      </c>
      <c r="O1096" s="52" t="n">
        <f aca="false">M1096*(1-N1096)</f>
        <v>32.136</v>
      </c>
      <c r="P1096" s="21" t="n">
        <f aca="false">L1096*O1096</f>
        <v>1703.208</v>
      </c>
      <c r="Q1096" s="50" t="n">
        <f aca="false">INDEX(Productos!$E$2:$E$13,MATCH($H1096,Productos!$A$2:$A$13,0))*INDEX(Parametros!$B$26:$B$43,MATCH($C1096,Parametros!$A$26:$A$43,0))</f>
        <v>20.9496</v>
      </c>
      <c r="R1096" s="21" t="n">
        <f aca="false">L1096*Q1096</f>
        <v>1110.3288</v>
      </c>
      <c r="S1096" s="18" t="n">
        <f aca="false">L1096*INDEX(Parametros!$B$20:$B$22,MATCH($E1096,Parametros!$A$20:$A$22,0))</f>
        <v>100.7</v>
      </c>
      <c r="T1096" s="18" t="n">
        <f aca="false">P1096*INDEX(Parametros!$B$13:$B$16,MATCH($F1096,Parametros!$A$13:$A$16,0))</f>
        <v>68.12832</v>
      </c>
      <c r="U1096" s="21" t="n">
        <f aca="false">P1096-R1096-S1096-T1096</f>
        <v>424.05088</v>
      </c>
      <c r="V1096" s="19" t="n">
        <f aca="false">IFERROR(U1096/P1096,0)</f>
        <v>0.248971869554394</v>
      </c>
      <c r="W1096" s="48" t="n">
        <f aca="false">B1096+INDEX(Parametros!$C$13:$C$16,MATCH($F1096,Parametros!$A$13:$A$16,0))</f>
        <v>46111</v>
      </c>
      <c r="X1096" s="31" t="s">
        <v>67</v>
      </c>
      <c r="Y1096" s="53" t="n">
        <f aca="false">IF(COUNTIF($A$2:$A1096,A1096)=1,1,0)</f>
        <v>1</v>
      </c>
    </row>
    <row r="1097" customFormat="false" ht="15" hidden="false" customHeight="false" outlineLevel="0" collapsed="false">
      <c r="A1097" s="31" t="s">
        <v>832</v>
      </c>
      <c r="B1097" s="36" t="n">
        <v>46038</v>
      </c>
      <c r="C1097" s="49" t="n">
        <f aca="false">DATE(YEAR(B1097),MONTH(B1097),1)</f>
        <v>46023</v>
      </c>
      <c r="D1097" s="31" t="s">
        <v>193</v>
      </c>
      <c r="E1097" s="31" t="s">
        <v>41</v>
      </c>
      <c r="F1097" s="31" t="s">
        <v>45</v>
      </c>
      <c r="G1097" s="31" t="s">
        <v>62</v>
      </c>
      <c r="H1097" s="31" t="s">
        <v>167</v>
      </c>
      <c r="I1097" s="32" t="str">
        <f aca="false">INDEX(Productos!$B$2:$B$13,MATCH($H1097,Productos!$A$2:$A$13,0))</f>
        <v>Tornillo DIN 912 M6x25 Allen zincado</v>
      </c>
      <c r="J1097" s="32" t="str">
        <f aca="false">INDEX(Productos!$C$2:$C$13,MATCH($H1097,Productos!$A$2:$A$13,0))</f>
        <v>Métrica</v>
      </c>
      <c r="K1097" s="31" t="s">
        <v>246</v>
      </c>
      <c r="L1097" s="46" t="n">
        <v>274</v>
      </c>
      <c r="M1097" s="50" t="n">
        <f aca="false">INDEX(Productos!$F$2:$F$13,MATCH($H1097,Productos!$A$2:$A$13,0))</f>
        <v>42</v>
      </c>
      <c r="N1097" s="51" t="n">
        <v>0.156</v>
      </c>
      <c r="O1097" s="52" t="n">
        <f aca="false">M1097*(1-N1097)</f>
        <v>35.448</v>
      </c>
      <c r="P1097" s="21" t="n">
        <f aca="false">L1097*O1097</f>
        <v>9712.752</v>
      </c>
      <c r="Q1097" s="50" t="n">
        <f aca="false">INDEX(Productos!$E$2:$E$13,MATCH($H1097,Productos!$A$2:$A$13,0))*INDEX(Parametros!$B$26:$B$43,MATCH($C1097,Parametros!$A$26:$A$43,0))</f>
        <v>22.4976</v>
      </c>
      <c r="R1097" s="21" t="n">
        <f aca="false">L1097*Q1097</f>
        <v>6164.3424</v>
      </c>
      <c r="S1097" s="18" t="n">
        <f aca="false">L1097*INDEX(Parametros!$B$20:$B$22,MATCH($E1097,Parametros!$A$20:$A$22,0))</f>
        <v>232.9</v>
      </c>
      <c r="T1097" s="18" t="n">
        <f aca="false">P1097*INDEX(Parametros!$B$13:$B$16,MATCH($F1097,Parametros!$A$13:$A$16,0))</f>
        <v>291.38256</v>
      </c>
      <c r="U1097" s="21" t="n">
        <f aca="false">P1097-R1097-S1097-T1097</f>
        <v>3024.12704</v>
      </c>
      <c r="V1097" s="19" t="n">
        <f aca="false">IFERROR(U1097/P1097,0)</f>
        <v>0.311356352967727</v>
      </c>
      <c r="W1097" s="48" t="n">
        <f aca="false">B1097+INDEX(Parametros!$C$13:$C$16,MATCH($F1097,Parametros!$A$13:$A$16,0))</f>
        <v>46098</v>
      </c>
      <c r="X1097" s="31" t="s">
        <v>67</v>
      </c>
      <c r="Y1097" s="53" t="n">
        <f aca="false">IF(COUNTIF($A$2:$A1097,A1097)=1,1,0)</f>
        <v>1</v>
      </c>
    </row>
    <row r="1098" customFormat="false" ht="15" hidden="false" customHeight="false" outlineLevel="0" collapsed="false">
      <c r="A1098" s="31" t="s">
        <v>833</v>
      </c>
      <c r="B1098" s="36" t="n">
        <v>46041</v>
      </c>
      <c r="C1098" s="49" t="n">
        <f aca="false">DATE(YEAR(B1098),MONTH(B1098),1)</f>
        <v>46023</v>
      </c>
      <c r="D1098" s="31" t="s">
        <v>200</v>
      </c>
      <c r="E1098" s="31" t="s">
        <v>41</v>
      </c>
      <c r="F1098" s="31" t="s">
        <v>45</v>
      </c>
      <c r="G1098" s="31" t="s">
        <v>62</v>
      </c>
      <c r="H1098" s="31" t="s">
        <v>169</v>
      </c>
      <c r="I1098" s="32" t="str">
        <f aca="false">INDEX(Productos!$B$2:$B$13,MATCH($H1098,Productos!$A$2:$A$13,0))</f>
        <v>Tornillo DIN 912 M10x60 Allen inox A2</v>
      </c>
      <c r="J1098" s="32" t="str">
        <f aca="false">INDEX(Productos!$C$2:$C$13,MATCH($H1098,Productos!$A$2:$A$13,0))</f>
        <v>Inoxidable</v>
      </c>
      <c r="K1098" s="31" t="s">
        <v>246</v>
      </c>
      <c r="L1098" s="46" t="n">
        <v>70</v>
      </c>
      <c r="M1098" s="50" t="n">
        <f aca="false">INDEX(Productos!$F$2:$F$13,MATCH($H1098,Productos!$A$2:$A$13,0))</f>
        <v>79</v>
      </c>
      <c r="N1098" s="51" t="n">
        <v>0.183</v>
      </c>
      <c r="O1098" s="52" t="n">
        <f aca="false">M1098*(1-N1098)</f>
        <v>64.543</v>
      </c>
      <c r="P1098" s="21" t="n">
        <f aca="false">L1098*O1098</f>
        <v>4518.01</v>
      </c>
      <c r="Q1098" s="50" t="n">
        <f aca="false">INDEX(Productos!$E$2:$E$13,MATCH($H1098,Productos!$A$2:$A$13,0))*INDEX(Parametros!$B$26:$B$43,MATCH($C1098,Parametros!$A$26:$A$43,0))</f>
        <v>43.344</v>
      </c>
      <c r="R1098" s="21" t="n">
        <f aca="false">L1098*Q1098</f>
        <v>3034.08</v>
      </c>
      <c r="S1098" s="18" t="n">
        <f aca="false">L1098*INDEX(Parametros!$B$20:$B$22,MATCH($E1098,Parametros!$A$20:$A$22,0))</f>
        <v>59.5</v>
      </c>
      <c r="T1098" s="18" t="n">
        <f aca="false">P1098*INDEX(Parametros!$B$13:$B$16,MATCH($F1098,Parametros!$A$13:$A$16,0))</f>
        <v>135.5403</v>
      </c>
      <c r="U1098" s="21" t="n">
        <f aca="false">P1098-R1098-S1098-T1098</f>
        <v>1288.8897</v>
      </c>
      <c r="V1098" s="19" t="n">
        <f aca="false">IFERROR(U1098/P1098,0)</f>
        <v>0.285278186635266</v>
      </c>
      <c r="W1098" s="48" t="n">
        <f aca="false">B1098+INDEX(Parametros!$C$13:$C$16,MATCH($F1098,Parametros!$A$13:$A$16,0))</f>
        <v>46101</v>
      </c>
      <c r="X1098" s="31" t="s">
        <v>67</v>
      </c>
      <c r="Y1098" s="53" t="n">
        <f aca="false">IF(COUNTIF($A$2:$A1098,A1098)=1,1,0)</f>
        <v>1</v>
      </c>
    </row>
    <row r="1099" customFormat="false" ht="15" hidden="false" customHeight="false" outlineLevel="0" collapsed="false">
      <c r="A1099" s="31" t="s">
        <v>833</v>
      </c>
      <c r="B1099" s="36" t="n">
        <v>46041</v>
      </c>
      <c r="C1099" s="49" t="n">
        <f aca="false">DATE(YEAR(B1099),MONTH(B1099),1)</f>
        <v>46023</v>
      </c>
      <c r="D1099" s="31" t="s">
        <v>200</v>
      </c>
      <c r="E1099" s="31" t="s">
        <v>41</v>
      </c>
      <c r="F1099" s="31" t="s">
        <v>45</v>
      </c>
      <c r="G1099" s="31" t="s">
        <v>62</v>
      </c>
      <c r="H1099" s="31" t="s">
        <v>163</v>
      </c>
      <c r="I1099" s="32" t="str">
        <f aca="false">INDEX(Productos!$B$2:$B$13,MATCH($H1099,Productos!$A$2:$A$13,0))</f>
        <v>Tornillo DIN 933 M6x30 rosca completa zincado</v>
      </c>
      <c r="J1099" s="32" t="str">
        <f aca="false">INDEX(Productos!$C$2:$C$13,MATCH($H1099,Productos!$A$2:$A$13,0))</f>
        <v>Métrica</v>
      </c>
      <c r="K1099" s="31" t="s">
        <v>246</v>
      </c>
      <c r="L1099" s="46" t="n">
        <v>133</v>
      </c>
      <c r="M1099" s="50" t="n">
        <f aca="false">INDEX(Productos!$F$2:$F$13,MATCH($H1099,Productos!$A$2:$A$13,0))</f>
        <v>32</v>
      </c>
      <c r="N1099" s="51" t="n">
        <v>0.157</v>
      </c>
      <c r="O1099" s="52" t="n">
        <f aca="false">M1099*(1-N1099)</f>
        <v>26.976</v>
      </c>
      <c r="P1099" s="21" t="n">
        <f aca="false">L1099*O1099</f>
        <v>3587.808</v>
      </c>
      <c r="Q1099" s="50" t="n">
        <f aca="false">INDEX(Productos!$E$2:$E$13,MATCH($H1099,Productos!$A$2:$A$13,0))*INDEX(Parametros!$B$26:$B$43,MATCH($C1099,Parametros!$A$26:$A$43,0))</f>
        <v>17.1312</v>
      </c>
      <c r="R1099" s="21" t="n">
        <f aca="false">L1099*Q1099</f>
        <v>2278.4496</v>
      </c>
      <c r="S1099" s="18" t="n">
        <f aca="false">L1099*INDEX(Parametros!$B$20:$B$22,MATCH($E1099,Parametros!$A$20:$A$22,0))</f>
        <v>113.05</v>
      </c>
      <c r="T1099" s="18" t="n">
        <f aca="false">P1099*INDEX(Parametros!$B$13:$B$16,MATCH($F1099,Parametros!$A$13:$A$16,0))</f>
        <v>107.63424</v>
      </c>
      <c r="U1099" s="21" t="n">
        <f aca="false">P1099-R1099-S1099-T1099</f>
        <v>1088.67416</v>
      </c>
      <c r="V1099" s="19" t="n">
        <f aca="false">IFERROR(U1099/P1099,0)</f>
        <v>0.303437129300119</v>
      </c>
      <c r="W1099" s="48" t="n">
        <f aca="false">B1099+INDEX(Parametros!$C$13:$C$16,MATCH($F1099,Parametros!$A$13:$A$16,0))</f>
        <v>46101</v>
      </c>
      <c r="X1099" s="31" t="s">
        <v>67</v>
      </c>
      <c r="Y1099" s="53" t="n">
        <f aca="false">IF(COUNTIF($A$2:$A1099,A1099)=1,1,0)</f>
        <v>0</v>
      </c>
    </row>
    <row r="1100" customFormat="false" ht="15" hidden="false" customHeight="false" outlineLevel="0" collapsed="false">
      <c r="A1100" s="31" t="s">
        <v>833</v>
      </c>
      <c r="B1100" s="36" t="n">
        <v>46041</v>
      </c>
      <c r="C1100" s="49" t="n">
        <f aca="false">DATE(YEAR(B1100),MONTH(B1100),1)</f>
        <v>46023</v>
      </c>
      <c r="D1100" s="31" t="s">
        <v>200</v>
      </c>
      <c r="E1100" s="31" t="s">
        <v>41</v>
      </c>
      <c r="F1100" s="31" t="s">
        <v>45</v>
      </c>
      <c r="G1100" s="31" t="s">
        <v>62</v>
      </c>
      <c r="H1100" s="31" t="s">
        <v>177</v>
      </c>
      <c r="I1100" s="32" t="str">
        <f aca="false">INDEX(Productos!$B$2:$B$13,MATCH($H1100,Productos!$A$2:$A$13,0))</f>
        <v>Tirafondo madera 6x100 cabeza plana Torx</v>
      </c>
      <c r="J1100" s="32" t="str">
        <f aca="false">INDEX(Productos!$C$2:$C$13,MATCH($H1100,Productos!$A$2:$A$13,0))</f>
        <v>Madera</v>
      </c>
      <c r="K1100" s="31" t="s">
        <v>246</v>
      </c>
      <c r="L1100" s="46" t="n">
        <v>275</v>
      </c>
      <c r="M1100" s="50" t="n">
        <f aca="false">INDEX(Productos!$F$2:$F$13,MATCH($H1100,Productos!$A$2:$A$13,0))</f>
        <v>34</v>
      </c>
      <c r="N1100" s="51" t="n">
        <v>0.154</v>
      </c>
      <c r="O1100" s="52" t="n">
        <f aca="false">M1100*(1-N1100)</f>
        <v>28.764</v>
      </c>
      <c r="P1100" s="21" t="n">
        <f aca="false">L1100*O1100</f>
        <v>7910.1</v>
      </c>
      <c r="Q1100" s="50" t="n">
        <f aca="false">INDEX(Productos!$E$2:$E$13,MATCH($H1100,Productos!$A$2:$A$13,0))*INDEX(Parametros!$B$26:$B$43,MATCH($C1100,Parametros!$A$26:$A$43,0))</f>
        <v>18.3696</v>
      </c>
      <c r="R1100" s="21" t="n">
        <f aca="false">L1100*Q1100</f>
        <v>5051.64</v>
      </c>
      <c r="S1100" s="18" t="n">
        <f aca="false">L1100*INDEX(Parametros!$B$20:$B$22,MATCH($E1100,Parametros!$A$20:$A$22,0))</f>
        <v>233.75</v>
      </c>
      <c r="T1100" s="18" t="n">
        <f aca="false">P1100*INDEX(Parametros!$B$13:$B$16,MATCH($F1100,Parametros!$A$13:$A$16,0))</f>
        <v>237.303</v>
      </c>
      <c r="U1100" s="21" t="n">
        <f aca="false">P1100-R1100-S1100-T1100</f>
        <v>2387.407</v>
      </c>
      <c r="V1100" s="19" t="n">
        <f aca="false">IFERROR(U1100/P1100,0)</f>
        <v>0.301817549714921</v>
      </c>
      <c r="W1100" s="48" t="n">
        <f aca="false">B1100+INDEX(Parametros!$C$13:$C$16,MATCH($F1100,Parametros!$A$13:$A$16,0))</f>
        <v>46101</v>
      </c>
      <c r="X1100" s="31" t="s">
        <v>67</v>
      </c>
      <c r="Y1100" s="53" t="n">
        <f aca="false">IF(COUNTIF($A$2:$A1100,A1100)=1,1,0)</f>
        <v>0</v>
      </c>
    </row>
    <row r="1101" customFormat="false" ht="15" hidden="false" customHeight="false" outlineLevel="0" collapsed="false">
      <c r="A1101" s="31" t="s">
        <v>834</v>
      </c>
      <c r="B1101" s="36" t="n">
        <v>46041</v>
      </c>
      <c r="C1101" s="49" t="n">
        <f aca="false">DATE(YEAR(B1101),MONTH(B1101),1)</f>
        <v>46023</v>
      </c>
      <c r="D1101" s="31" t="s">
        <v>223</v>
      </c>
      <c r="E1101" s="31" t="s">
        <v>43</v>
      </c>
      <c r="F1101" s="31" t="s">
        <v>46</v>
      </c>
      <c r="G1101" s="31" t="s">
        <v>59</v>
      </c>
      <c r="H1101" s="31" t="s">
        <v>163</v>
      </c>
      <c r="I1101" s="32" t="str">
        <f aca="false">INDEX(Productos!$B$2:$B$13,MATCH($H1101,Productos!$A$2:$A$13,0))</f>
        <v>Tornillo DIN 933 M6x30 rosca completa zincado</v>
      </c>
      <c r="J1101" s="32" t="str">
        <f aca="false">INDEX(Productos!$C$2:$C$13,MATCH($H1101,Productos!$A$2:$A$13,0))</f>
        <v>Métrica</v>
      </c>
      <c r="K1101" s="31" t="s">
        <v>246</v>
      </c>
      <c r="L1101" s="46" t="n">
        <v>148</v>
      </c>
      <c r="M1101" s="50" t="n">
        <f aca="false">INDEX(Productos!$F$2:$F$13,MATCH($H1101,Productos!$A$2:$A$13,0))</f>
        <v>32</v>
      </c>
      <c r="N1101" s="51" t="n">
        <v>0.12</v>
      </c>
      <c r="O1101" s="52" t="n">
        <f aca="false">M1101*(1-N1101)</f>
        <v>28.16</v>
      </c>
      <c r="P1101" s="21" t="n">
        <f aca="false">L1101*O1101</f>
        <v>4167.68</v>
      </c>
      <c r="Q1101" s="50" t="n">
        <f aca="false">INDEX(Productos!$E$2:$E$13,MATCH($H1101,Productos!$A$2:$A$13,0))*INDEX(Parametros!$B$26:$B$43,MATCH($C1101,Parametros!$A$26:$A$43,0))</f>
        <v>17.1312</v>
      </c>
      <c r="R1101" s="21" t="n">
        <f aca="false">L1101*Q1101</f>
        <v>2535.4176</v>
      </c>
      <c r="S1101" s="18" t="n">
        <f aca="false">L1101*INDEX(Parametros!$B$20:$B$22,MATCH($E1101,Parametros!$A$20:$A$22,0))</f>
        <v>281.2</v>
      </c>
      <c r="T1101" s="18" t="n">
        <f aca="false">P1101*INDEX(Parametros!$B$13:$B$16,MATCH($F1101,Parametros!$A$13:$A$16,0))</f>
        <v>166.7072</v>
      </c>
      <c r="U1101" s="21" t="n">
        <f aca="false">P1101-R1101-S1101-T1101</f>
        <v>1184.3552</v>
      </c>
      <c r="V1101" s="19" t="n">
        <f aca="false">IFERROR(U1101/P1101,0)</f>
        <v>0.284176136363636</v>
      </c>
      <c r="W1101" s="48" t="n">
        <f aca="false">B1101+INDEX(Parametros!$C$13:$C$16,MATCH($F1101,Parametros!$A$13:$A$16,0))</f>
        <v>46116</v>
      </c>
      <c r="X1101" s="31" t="s">
        <v>67</v>
      </c>
      <c r="Y1101" s="53" t="n">
        <f aca="false">IF(COUNTIF($A$2:$A1101,A1101)=1,1,0)</f>
        <v>1</v>
      </c>
    </row>
    <row r="1102" customFormat="false" ht="15" hidden="false" customHeight="false" outlineLevel="0" collapsed="false">
      <c r="A1102" s="31" t="s">
        <v>835</v>
      </c>
      <c r="B1102" s="36" t="n">
        <v>46041</v>
      </c>
      <c r="C1102" s="49" t="n">
        <f aca="false">DATE(YEAR(B1102),MONTH(B1102),1)</f>
        <v>46023</v>
      </c>
      <c r="D1102" s="31" t="s">
        <v>198</v>
      </c>
      <c r="E1102" s="31" t="s">
        <v>41</v>
      </c>
      <c r="F1102" s="31" t="s">
        <v>46</v>
      </c>
      <c r="G1102" s="31" t="s">
        <v>58</v>
      </c>
      <c r="H1102" s="31" t="s">
        <v>163</v>
      </c>
      <c r="I1102" s="32" t="str">
        <f aca="false">INDEX(Productos!$B$2:$B$13,MATCH($H1102,Productos!$A$2:$A$13,0))</f>
        <v>Tornillo DIN 933 M6x30 rosca completa zincado</v>
      </c>
      <c r="J1102" s="32" t="str">
        <f aca="false">INDEX(Productos!$C$2:$C$13,MATCH($H1102,Productos!$A$2:$A$13,0))</f>
        <v>Métrica</v>
      </c>
      <c r="K1102" s="31" t="s">
        <v>246</v>
      </c>
      <c r="L1102" s="46" t="n">
        <v>176</v>
      </c>
      <c r="M1102" s="50" t="n">
        <f aca="false">INDEX(Productos!$F$2:$F$13,MATCH($H1102,Productos!$A$2:$A$13,0))</f>
        <v>32</v>
      </c>
      <c r="N1102" s="51" t="n">
        <v>0.148</v>
      </c>
      <c r="O1102" s="52" t="n">
        <f aca="false">M1102*(1-N1102)</f>
        <v>27.264</v>
      </c>
      <c r="P1102" s="21" t="n">
        <f aca="false">L1102*O1102</f>
        <v>4798.464</v>
      </c>
      <c r="Q1102" s="50" t="n">
        <f aca="false">INDEX(Productos!$E$2:$E$13,MATCH($H1102,Productos!$A$2:$A$13,0))*INDEX(Parametros!$B$26:$B$43,MATCH($C1102,Parametros!$A$26:$A$43,0))</f>
        <v>17.1312</v>
      </c>
      <c r="R1102" s="21" t="n">
        <f aca="false">L1102*Q1102</f>
        <v>3015.0912</v>
      </c>
      <c r="S1102" s="18" t="n">
        <f aca="false">L1102*INDEX(Parametros!$B$20:$B$22,MATCH($E1102,Parametros!$A$20:$A$22,0))</f>
        <v>149.6</v>
      </c>
      <c r="T1102" s="18" t="n">
        <f aca="false">P1102*INDEX(Parametros!$B$13:$B$16,MATCH($F1102,Parametros!$A$13:$A$16,0))</f>
        <v>191.93856</v>
      </c>
      <c r="U1102" s="21" t="n">
        <f aca="false">P1102-R1102-S1102-T1102</f>
        <v>1441.83424</v>
      </c>
      <c r="V1102" s="19" t="n">
        <f aca="false">IFERROR(U1102/P1102,0)</f>
        <v>0.300478286384976</v>
      </c>
      <c r="W1102" s="48" t="n">
        <f aca="false">B1102+INDEX(Parametros!$C$13:$C$16,MATCH($F1102,Parametros!$A$13:$A$16,0))</f>
        <v>46116</v>
      </c>
      <c r="X1102" s="31" t="s">
        <v>67</v>
      </c>
      <c r="Y1102" s="53" t="n">
        <f aca="false">IF(COUNTIF($A$2:$A1102,A1102)=1,1,0)</f>
        <v>1</v>
      </c>
    </row>
    <row r="1103" customFormat="false" ht="15" hidden="false" customHeight="false" outlineLevel="0" collapsed="false">
      <c r="A1103" s="31" t="s">
        <v>835</v>
      </c>
      <c r="B1103" s="36" t="n">
        <v>46041</v>
      </c>
      <c r="C1103" s="49" t="n">
        <f aca="false">DATE(YEAR(B1103),MONTH(B1103),1)</f>
        <v>46023</v>
      </c>
      <c r="D1103" s="31" t="s">
        <v>198</v>
      </c>
      <c r="E1103" s="31" t="s">
        <v>41</v>
      </c>
      <c r="F1103" s="31" t="s">
        <v>46</v>
      </c>
      <c r="G1103" s="31" t="s">
        <v>58</v>
      </c>
      <c r="H1103" s="31" t="s">
        <v>175</v>
      </c>
      <c r="I1103" s="32" t="str">
        <f aca="false">INDEX(Productos!$B$2:$B$13,MATCH($H1103,Productos!$A$2:$A$13,0))</f>
        <v>Tirafondo madera 5x60 cabeza plana Torx</v>
      </c>
      <c r="J1103" s="32" t="str">
        <f aca="false">INDEX(Productos!$C$2:$C$13,MATCH($H1103,Productos!$A$2:$A$13,0))</f>
        <v>Madera</v>
      </c>
      <c r="K1103" s="31" t="s">
        <v>246</v>
      </c>
      <c r="L1103" s="46" t="n">
        <v>26</v>
      </c>
      <c r="M1103" s="50" t="n">
        <f aca="false">INDEX(Productos!$F$2:$F$13,MATCH($H1103,Productos!$A$2:$A$13,0))</f>
        <v>26</v>
      </c>
      <c r="N1103" s="51" t="n">
        <v>0.113</v>
      </c>
      <c r="O1103" s="52" t="n">
        <f aca="false">M1103*(1-N1103)</f>
        <v>23.062</v>
      </c>
      <c r="P1103" s="21" t="n">
        <f aca="false">L1103*O1103</f>
        <v>599.612</v>
      </c>
      <c r="Q1103" s="50" t="n">
        <f aca="false">INDEX(Productos!$E$2:$E$13,MATCH($H1103,Productos!$A$2:$A$13,0))*INDEX(Parametros!$B$26:$B$43,MATCH($C1103,Parametros!$A$26:$A$43,0))</f>
        <v>13.8288</v>
      </c>
      <c r="R1103" s="21" t="n">
        <f aca="false">L1103*Q1103</f>
        <v>359.5488</v>
      </c>
      <c r="S1103" s="18" t="n">
        <f aca="false">L1103*INDEX(Parametros!$B$20:$B$22,MATCH($E1103,Parametros!$A$20:$A$22,0))</f>
        <v>22.1</v>
      </c>
      <c r="T1103" s="18" t="n">
        <f aca="false">P1103*INDEX(Parametros!$B$13:$B$16,MATCH($F1103,Parametros!$A$13:$A$16,0))</f>
        <v>23.98448</v>
      </c>
      <c r="U1103" s="21" t="n">
        <f aca="false">P1103-R1103-S1103-T1103</f>
        <v>193.97872</v>
      </c>
      <c r="V1103" s="19" t="n">
        <f aca="false">IFERROR(U1103/P1103,0)</f>
        <v>0.323507067903911</v>
      </c>
      <c r="W1103" s="48" t="n">
        <f aca="false">B1103+INDEX(Parametros!$C$13:$C$16,MATCH($F1103,Parametros!$A$13:$A$16,0))</f>
        <v>46116</v>
      </c>
      <c r="X1103" s="31" t="s">
        <v>67</v>
      </c>
      <c r="Y1103" s="53" t="n">
        <f aca="false">IF(COUNTIF($A$2:$A1103,A1103)=1,1,0)</f>
        <v>0</v>
      </c>
    </row>
    <row r="1104" customFormat="false" ht="15" hidden="false" customHeight="false" outlineLevel="0" collapsed="false">
      <c r="A1104" s="31" t="s">
        <v>835</v>
      </c>
      <c r="B1104" s="36" t="n">
        <v>46041</v>
      </c>
      <c r="C1104" s="49" t="n">
        <f aca="false">DATE(YEAR(B1104),MONTH(B1104),1)</f>
        <v>46023</v>
      </c>
      <c r="D1104" s="31" t="s">
        <v>198</v>
      </c>
      <c r="E1104" s="31" t="s">
        <v>41</v>
      </c>
      <c r="F1104" s="31" t="s">
        <v>46</v>
      </c>
      <c r="G1104" s="31" t="s">
        <v>58</v>
      </c>
      <c r="H1104" s="31" t="s">
        <v>173</v>
      </c>
      <c r="I1104" s="32" t="str">
        <f aca="false">INDEX(Productos!$B$2:$B$13,MATCH($H1104,Productos!$A$2:$A$13,0))</f>
        <v>Tornillo DIN 933 M12x70 clase 8.8</v>
      </c>
      <c r="J1104" s="32" t="str">
        <f aca="false">INDEX(Productos!$C$2:$C$13,MATCH($H1104,Productos!$A$2:$A$13,0))</f>
        <v>Métrica</v>
      </c>
      <c r="K1104" s="31" t="s">
        <v>246</v>
      </c>
      <c r="L1104" s="46" t="n">
        <v>28</v>
      </c>
      <c r="M1104" s="50" t="n">
        <f aca="false">INDEX(Productos!$F$2:$F$13,MATCH($H1104,Productos!$A$2:$A$13,0))</f>
        <v>64</v>
      </c>
      <c r="N1104" s="51" t="n">
        <v>0.136</v>
      </c>
      <c r="O1104" s="52" t="n">
        <f aca="false">M1104*(1-N1104)</f>
        <v>55.296</v>
      </c>
      <c r="P1104" s="21" t="n">
        <f aca="false">L1104*O1104</f>
        <v>1548.288</v>
      </c>
      <c r="Q1104" s="50" t="n">
        <f aca="false">INDEX(Productos!$E$2:$E$13,MATCH($H1104,Productos!$A$2:$A$13,0))*INDEX(Parametros!$B$26:$B$43,MATCH($C1104,Parametros!$A$26:$A$43,0))</f>
        <v>34.572</v>
      </c>
      <c r="R1104" s="21" t="n">
        <f aca="false">L1104*Q1104</f>
        <v>968.016</v>
      </c>
      <c r="S1104" s="18" t="n">
        <f aca="false">L1104*INDEX(Parametros!$B$20:$B$22,MATCH($E1104,Parametros!$A$20:$A$22,0))</f>
        <v>23.8</v>
      </c>
      <c r="T1104" s="18" t="n">
        <f aca="false">P1104*INDEX(Parametros!$B$13:$B$16,MATCH($F1104,Parametros!$A$13:$A$16,0))</f>
        <v>61.93152</v>
      </c>
      <c r="U1104" s="21" t="n">
        <f aca="false">P1104-R1104-S1104-T1104</f>
        <v>494.54048</v>
      </c>
      <c r="V1104" s="19" t="n">
        <f aca="false">IFERROR(U1104/P1104,0)</f>
        <v>0.319411168981482</v>
      </c>
      <c r="W1104" s="48" t="n">
        <f aca="false">B1104+INDEX(Parametros!$C$13:$C$16,MATCH($F1104,Parametros!$A$13:$A$16,0))</f>
        <v>46116</v>
      </c>
      <c r="X1104" s="31" t="s">
        <v>67</v>
      </c>
      <c r="Y1104" s="53" t="n">
        <f aca="false">IF(COUNTIF($A$2:$A1104,A1104)=1,1,0)</f>
        <v>0</v>
      </c>
    </row>
    <row r="1105" customFormat="false" ht="15" hidden="false" customHeight="false" outlineLevel="0" collapsed="false">
      <c r="A1105" s="31" t="s">
        <v>836</v>
      </c>
      <c r="B1105" s="36" t="n">
        <v>46041</v>
      </c>
      <c r="C1105" s="49" t="n">
        <f aca="false">DATE(YEAR(B1105),MONTH(B1105),1)</f>
        <v>46023</v>
      </c>
      <c r="D1105" s="31" t="s">
        <v>192</v>
      </c>
      <c r="E1105" s="31" t="s">
        <v>41</v>
      </c>
      <c r="F1105" s="31" t="s">
        <v>45</v>
      </c>
      <c r="G1105" s="31" t="s">
        <v>58</v>
      </c>
      <c r="H1105" s="31" t="s">
        <v>185</v>
      </c>
      <c r="I1105" s="32" t="str">
        <f aca="false">INDEX(Productos!$B$2:$B$13,MATCH($H1105,Productos!$A$2:$A$13,0))</f>
        <v>Varilla roscada M10 x 1 m zincada</v>
      </c>
      <c r="J1105" s="32" t="str">
        <f aca="false">INDEX(Productos!$C$2:$C$13,MATCH($H1105,Productos!$A$2:$A$13,0))</f>
        <v>Especial</v>
      </c>
      <c r="K1105" s="31" t="s">
        <v>246</v>
      </c>
      <c r="L1105" s="46" t="n">
        <v>157</v>
      </c>
      <c r="M1105" s="50" t="n">
        <f aca="false">INDEX(Productos!$F$2:$F$13,MATCH($H1105,Productos!$A$2:$A$13,0))</f>
        <v>54</v>
      </c>
      <c r="N1105" s="51" t="n">
        <v>0.162</v>
      </c>
      <c r="O1105" s="52" t="n">
        <f aca="false">M1105*(1-N1105)</f>
        <v>45.252</v>
      </c>
      <c r="P1105" s="21" t="n">
        <f aca="false">L1105*O1105</f>
        <v>7104.564</v>
      </c>
      <c r="Q1105" s="50" t="n">
        <f aca="false">INDEX(Productos!$E$2:$E$13,MATCH($H1105,Productos!$A$2:$A$13,0))*INDEX(Parametros!$B$26:$B$43,MATCH($C1105,Parametros!$A$26:$A$43,0))</f>
        <v>29.412</v>
      </c>
      <c r="R1105" s="21" t="n">
        <f aca="false">L1105*Q1105</f>
        <v>4617.684</v>
      </c>
      <c r="S1105" s="18" t="n">
        <f aca="false">L1105*INDEX(Parametros!$B$20:$B$22,MATCH($E1105,Parametros!$A$20:$A$22,0))</f>
        <v>133.45</v>
      </c>
      <c r="T1105" s="18" t="n">
        <f aca="false">P1105*INDEX(Parametros!$B$13:$B$16,MATCH($F1105,Parametros!$A$13:$A$16,0))</f>
        <v>213.13692</v>
      </c>
      <c r="U1105" s="21" t="n">
        <f aca="false">P1105-R1105-S1105-T1105</f>
        <v>2140.29308</v>
      </c>
      <c r="V1105" s="19" t="n">
        <f aca="false">IFERROR(U1105/P1105,0)</f>
        <v>0.301256077079466</v>
      </c>
      <c r="W1105" s="48" t="n">
        <f aca="false">B1105+INDEX(Parametros!$C$13:$C$16,MATCH($F1105,Parametros!$A$13:$A$16,0))</f>
        <v>46101</v>
      </c>
      <c r="X1105" s="31" t="s">
        <v>67</v>
      </c>
      <c r="Y1105" s="53" t="n">
        <f aca="false">IF(COUNTIF($A$2:$A1105,A1105)=1,1,0)</f>
        <v>1</v>
      </c>
    </row>
    <row r="1106" customFormat="false" ht="15" hidden="false" customHeight="false" outlineLevel="0" collapsed="false">
      <c r="A1106" s="31" t="s">
        <v>836</v>
      </c>
      <c r="B1106" s="36" t="n">
        <v>46041</v>
      </c>
      <c r="C1106" s="49" t="n">
        <f aca="false">DATE(YEAR(B1106),MONTH(B1106),1)</f>
        <v>46023</v>
      </c>
      <c r="D1106" s="31" t="s">
        <v>192</v>
      </c>
      <c r="E1106" s="31" t="s">
        <v>41</v>
      </c>
      <c r="F1106" s="31" t="s">
        <v>45</v>
      </c>
      <c r="G1106" s="31" t="s">
        <v>58</v>
      </c>
      <c r="H1106" s="31" t="s">
        <v>171</v>
      </c>
      <c r="I1106" s="32" t="str">
        <f aca="false">INDEX(Productos!$B$2:$B$13,MATCH($H1106,Productos!$A$2:$A$13,0))</f>
        <v>Tornillo DIN 7991 M8x30 avellanado inox A2</v>
      </c>
      <c r="J1106" s="32" t="str">
        <f aca="false">INDEX(Productos!$C$2:$C$13,MATCH($H1106,Productos!$A$2:$A$13,0))</f>
        <v>Inoxidable</v>
      </c>
      <c r="K1106" s="31" t="s">
        <v>246</v>
      </c>
      <c r="L1106" s="46" t="n">
        <v>46</v>
      </c>
      <c r="M1106" s="50" t="n">
        <f aca="false">INDEX(Productos!$F$2:$F$13,MATCH($H1106,Productos!$A$2:$A$13,0))</f>
        <v>88</v>
      </c>
      <c r="N1106" s="51" t="n">
        <v>0.217</v>
      </c>
      <c r="O1106" s="52" t="n">
        <f aca="false">M1106*(1-N1106)</f>
        <v>68.904</v>
      </c>
      <c r="P1106" s="21" t="n">
        <f aca="false">L1106*O1106</f>
        <v>3169.584</v>
      </c>
      <c r="Q1106" s="50" t="n">
        <f aca="false">INDEX(Productos!$E$2:$E$13,MATCH($H1106,Productos!$A$2:$A$13,0))*INDEX(Parametros!$B$26:$B$43,MATCH($C1106,Parametros!$A$26:$A$43,0))</f>
        <v>47.988</v>
      </c>
      <c r="R1106" s="21" t="n">
        <f aca="false">L1106*Q1106</f>
        <v>2207.448</v>
      </c>
      <c r="S1106" s="18" t="n">
        <f aca="false">L1106*INDEX(Parametros!$B$20:$B$22,MATCH($E1106,Parametros!$A$20:$A$22,0))</f>
        <v>39.1</v>
      </c>
      <c r="T1106" s="18" t="n">
        <f aca="false">P1106*INDEX(Parametros!$B$13:$B$16,MATCH($F1106,Parametros!$A$13:$A$16,0))</f>
        <v>95.08752</v>
      </c>
      <c r="U1106" s="21" t="n">
        <f aca="false">P1106-R1106-S1106-T1106</f>
        <v>827.94848</v>
      </c>
      <c r="V1106" s="19" t="n">
        <f aca="false">IFERROR(U1106/P1106,0)</f>
        <v>0.261216765354696</v>
      </c>
      <c r="W1106" s="48" t="n">
        <f aca="false">B1106+INDEX(Parametros!$C$13:$C$16,MATCH($F1106,Parametros!$A$13:$A$16,0))</f>
        <v>46101</v>
      </c>
      <c r="X1106" s="31" t="s">
        <v>67</v>
      </c>
      <c r="Y1106" s="53" t="n">
        <f aca="false">IF(COUNTIF($A$2:$A1106,A1106)=1,1,0)</f>
        <v>0</v>
      </c>
    </row>
    <row r="1107" customFormat="false" ht="15" hidden="false" customHeight="false" outlineLevel="0" collapsed="false">
      <c r="A1107" s="31" t="s">
        <v>836</v>
      </c>
      <c r="B1107" s="36" t="n">
        <v>46041</v>
      </c>
      <c r="C1107" s="49" t="n">
        <f aca="false">DATE(YEAR(B1107),MONTH(B1107),1)</f>
        <v>46023</v>
      </c>
      <c r="D1107" s="31" t="s">
        <v>192</v>
      </c>
      <c r="E1107" s="31" t="s">
        <v>41</v>
      </c>
      <c r="F1107" s="31" t="s">
        <v>45</v>
      </c>
      <c r="G1107" s="31" t="s">
        <v>58</v>
      </c>
      <c r="H1107" s="31" t="s">
        <v>167</v>
      </c>
      <c r="I1107" s="32" t="str">
        <f aca="false">INDEX(Productos!$B$2:$B$13,MATCH($H1107,Productos!$A$2:$A$13,0))</f>
        <v>Tornillo DIN 912 M6x25 Allen zincado</v>
      </c>
      <c r="J1107" s="32" t="str">
        <f aca="false">INDEX(Productos!$C$2:$C$13,MATCH($H1107,Productos!$A$2:$A$13,0))</f>
        <v>Métrica</v>
      </c>
      <c r="K1107" s="31" t="s">
        <v>246</v>
      </c>
      <c r="L1107" s="46" t="n">
        <v>140</v>
      </c>
      <c r="M1107" s="50" t="n">
        <f aca="false">INDEX(Productos!$F$2:$F$13,MATCH($H1107,Productos!$A$2:$A$13,0))</f>
        <v>42</v>
      </c>
      <c r="N1107" s="51" t="n">
        <v>0.161</v>
      </c>
      <c r="O1107" s="52" t="n">
        <f aca="false">M1107*(1-N1107)</f>
        <v>35.238</v>
      </c>
      <c r="P1107" s="21" t="n">
        <f aca="false">L1107*O1107</f>
        <v>4933.32</v>
      </c>
      <c r="Q1107" s="50" t="n">
        <f aca="false">INDEX(Productos!$E$2:$E$13,MATCH($H1107,Productos!$A$2:$A$13,0))*INDEX(Parametros!$B$26:$B$43,MATCH($C1107,Parametros!$A$26:$A$43,0))</f>
        <v>22.4976</v>
      </c>
      <c r="R1107" s="21" t="n">
        <f aca="false">L1107*Q1107</f>
        <v>3149.664</v>
      </c>
      <c r="S1107" s="18" t="n">
        <f aca="false">L1107*INDEX(Parametros!$B$20:$B$22,MATCH($E1107,Parametros!$A$20:$A$22,0))</f>
        <v>119</v>
      </c>
      <c r="T1107" s="18" t="n">
        <f aca="false">P1107*INDEX(Parametros!$B$13:$B$16,MATCH($F1107,Parametros!$A$13:$A$16,0))</f>
        <v>147.9996</v>
      </c>
      <c r="U1107" s="21" t="n">
        <f aca="false">P1107-R1107-S1107-T1107</f>
        <v>1516.6564</v>
      </c>
      <c r="V1107" s="19" t="n">
        <f aca="false">IFERROR(U1107/P1107,0)</f>
        <v>0.307431182246438</v>
      </c>
      <c r="W1107" s="48" t="n">
        <f aca="false">B1107+INDEX(Parametros!$C$13:$C$16,MATCH($F1107,Parametros!$A$13:$A$16,0))</f>
        <v>46101</v>
      </c>
      <c r="X1107" s="31" t="s">
        <v>67</v>
      </c>
      <c r="Y1107" s="53" t="n">
        <f aca="false">IF(COUNTIF($A$2:$A1107,A1107)=1,1,0)</f>
        <v>0</v>
      </c>
    </row>
    <row r="1108" customFormat="false" ht="15" hidden="false" customHeight="false" outlineLevel="0" collapsed="false">
      <c r="A1108" s="31" t="s">
        <v>837</v>
      </c>
      <c r="B1108" s="36" t="n">
        <v>46041</v>
      </c>
      <c r="C1108" s="49" t="n">
        <f aca="false">DATE(YEAR(B1108),MONTH(B1108),1)</f>
        <v>46023</v>
      </c>
      <c r="D1108" s="31" t="s">
        <v>208</v>
      </c>
      <c r="E1108" s="31" t="s">
        <v>41</v>
      </c>
      <c r="F1108" s="31" t="s">
        <v>46</v>
      </c>
      <c r="G1108" s="31" t="s">
        <v>58</v>
      </c>
      <c r="H1108" s="31" t="s">
        <v>177</v>
      </c>
      <c r="I1108" s="32" t="str">
        <f aca="false">INDEX(Productos!$B$2:$B$13,MATCH($H1108,Productos!$A$2:$A$13,0))</f>
        <v>Tirafondo madera 6x100 cabeza plana Torx</v>
      </c>
      <c r="J1108" s="32" t="str">
        <f aca="false">INDEX(Productos!$C$2:$C$13,MATCH($H1108,Productos!$A$2:$A$13,0))</f>
        <v>Madera</v>
      </c>
      <c r="K1108" s="31" t="s">
        <v>246</v>
      </c>
      <c r="L1108" s="46" t="n">
        <v>124</v>
      </c>
      <c r="M1108" s="50" t="n">
        <f aca="false">INDEX(Productos!$F$2:$F$13,MATCH($H1108,Productos!$A$2:$A$13,0))</f>
        <v>34</v>
      </c>
      <c r="N1108" s="51" t="n">
        <v>0.153</v>
      </c>
      <c r="O1108" s="52" t="n">
        <f aca="false">M1108*(1-N1108)</f>
        <v>28.798</v>
      </c>
      <c r="P1108" s="21" t="n">
        <f aca="false">L1108*O1108</f>
        <v>3570.952</v>
      </c>
      <c r="Q1108" s="50" t="n">
        <f aca="false">INDEX(Productos!$E$2:$E$13,MATCH($H1108,Productos!$A$2:$A$13,0))*INDEX(Parametros!$B$26:$B$43,MATCH($C1108,Parametros!$A$26:$A$43,0))</f>
        <v>18.3696</v>
      </c>
      <c r="R1108" s="21" t="n">
        <f aca="false">L1108*Q1108</f>
        <v>2277.8304</v>
      </c>
      <c r="S1108" s="18" t="n">
        <f aca="false">L1108*INDEX(Parametros!$B$20:$B$22,MATCH($E1108,Parametros!$A$20:$A$22,0))</f>
        <v>105.4</v>
      </c>
      <c r="T1108" s="18" t="n">
        <f aca="false">P1108*INDEX(Parametros!$B$13:$B$16,MATCH($F1108,Parametros!$A$13:$A$16,0))</f>
        <v>142.83808</v>
      </c>
      <c r="U1108" s="21" t="n">
        <f aca="false">P1108-R1108-S1108-T1108</f>
        <v>1044.88352</v>
      </c>
      <c r="V1108" s="19" t="n">
        <f aca="false">IFERROR(U1108/P1108,0)</f>
        <v>0.292606431002153</v>
      </c>
      <c r="W1108" s="48" t="n">
        <f aca="false">B1108+INDEX(Parametros!$C$13:$C$16,MATCH($F1108,Parametros!$A$13:$A$16,0))</f>
        <v>46116</v>
      </c>
      <c r="X1108" s="31" t="s">
        <v>67</v>
      </c>
      <c r="Y1108" s="53" t="n">
        <f aca="false">IF(COUNTIF($A$2:$A1108,A1108)=1,1,0)</f>
        <v>1</v>
      </c>
    </row>
    <row r="1109" customFormat="false" ht="15" hidden="false" customHeight="false" outlineLevel="0" collapsed="false">
      <c r="A1109" s="31" t="s">
        <v>838</v>
      </c>
      <c r="B1109" s="36" t="n">
        <v>46041</v>
      </c>
      <c r="C1109" s="49" t="n">
        <f aca="false">DATE(YEAR(B1109),MONTH(B1109),1)</f>
        <v>46023</v>
      </c>
      <c r="D1109" s="31" t="s">
        <v>212</v>
      </c>
      <c r="E1109" s="31" t="s">
        <v>42</v>
      </c>
      <c r="F1109" s="31" t="s">
        <v>45</v>
      </c>
      <c r="G1109" s="31" t="s">
        <v>61</v>
      </c>
      <c r="H1109" s="31" t="s">
        <v>181</v>
      </c>
      <c r="I1109" s="32" t="str">
        <f aca="false">INDEX(Productos!$B$2:$B$13,MATCH($H1109,Productos!$A$2:$A$13,0))</f>
        <v>Autotaladrante 5,5x55 punta broca</v>
      </c>
      <c r="J1109" s="32" t="str">
        <f aca="false">INDEX(Productos!$C$2:$C$13,MATCH($H1109,Productos!$A$2:$A$13,0))</f>
        <v>Autotaladrante</v>
      </c>
      <c r="K1109" s="31" t="s">
        <v>246</v>
      </c>
      <c r="L1109" s="46" t="n">
        <v>110</v>
      </c>
      <c r="M1109" s="50" t="n">
        <f aca="false">INDEX(Productos!$F$2:$F$13,MATCH($H1109,Productos!$A$2:$A$13,0))</f>
        <v>39</v>
      </c>
      <c r="N1109" s="51" t="n">
        <v>0.175</v>
      </c>
      <c r="O1109" s="52" t="n">
        <f aca="false">M1109*(1-N1109)</f>
        <v>32.175</v>
      </c>
      <c r="P1109" s="21" t="n">
        <f aca="false">L1109*O1109</f>
        <v>3539.25</v>
      </c>
      <c r="Q1109" s="50" t="n">
        <f aca="false">INDEX(Productos!$E$2:$E$13,MATCH($H1109,Productos!$A$2:$A$13,0))*INDEX(Parametros!$B$26:$B$43,MATCH($C1109,Parametros!$A$26:$A$43,0))</f>
        <v>20.9496</v>
      </c>
      <c r="R1109" s="21" t="n">
        <f aca="false">L1109*Q1109</f>
        <v>2304.456</v>
      </c>
      <c r="S1109" s="18" t="n">
        <f aca="false">L1109*INDEX(Parametros!$B$20:$B$22,MATCH($E1109,Parametros!$A$20:$A$22,0))</f>
        <v>264</v>
      </c>
      <c r="T1109" s="18" t="n">
        <f aca="false">P1109*INDEX(Parametros!$B$13:$B$16,MATCH($F1109,Parametros!$A$13:$A$16,0))</f>
        <v>106.1775</v>
      </c>
      <c r="U1109" s="21" t="n">
        <f aca="false">P1109-R1109-S1109-T1109</f>
        <v>864.616499999999</v>
      </c>
      <c r="V1109" s="19" t="n">
        <f aca="false">IFERROR(U1109/P1109,0)</f>
        <v>0.244293706293706</v>
      </c>
      <c r="W1109" s="48" t="n">
        <f aca="false">B1109+INDEX(Parametros!$C$13:$C$16,MATCH($F1109,Parametros!$A$13:$A$16,0))</f>
        <v>46101</v>
      </c>
      <c r="X1109" s="31" t="s">
        <v>67</v>
      </c>
      <c r="Y1109" s="53" t="n">
        <f aca="false">IF(COUNTIF($A$2:$A1109,A1109)=1,1,0)</f>
        <v>1</v>
      </c>
    </row>
    <row r="1110" customFormat="false" ht="15" hidden="false" customHeight="false" outlineLevel="0" collapsed="false">
      <c r="A1110" s="31" t="s">
        <v>838</v>
      </c>
      <c r="B1110" s="36" t="n">
        <v>46041</v>
      </c>
      <c r="C1110" s="49" t="n">
        <f aca="false">DATE(YEAR(B1110),MONTH(B1110),1)</f>
        <v>46023</v>
      </c>
      <c r="D1110" s="31" t="s">
        <v>212</v>
      </c>
      <c r="E1110" s="31" t="s">
        <v>42</v>
      </c>
      <c r="F1110" s="31" t="s">
        <v>45</v>
      </c>
      <c r="G1110" s="31" t="s">
        <v>61</v>
      </c>
      <c r="H1110" s="31" t="s">
        <v>183</v>
      </c>
      <c r="I1110" s="32" t="str">
        <f aca="false">INDEX(Productos!$B$2:$B$13,MATCH($H1110,Productos!$A$2:$A$13,0))</f>
        <v>Tornillo estructural M16x90 clase 10.9</v>
      </c>
      <c r="J1110" s="32" t="str">
        <f aca="false">INDEX(Productos!$C$2:$C$13,MATCH($H1110,Productos!$A$2:$A$13,0))</f>
        <v>Especial</v>
      </c>
      <c r="K1110" s="31" t="s">
        <v>246</v>
      </c>
      <c r="L1110" s="46" t="n">
        <v>88</v>
      </c>
      <c r="M1110" s="50" t="n">
        <f aca="false">INDEX(Productos!$F$2:$F$13,MATCH($H1110,Productos!$A$2:$A$13,0))</f>
        <v>112</v>
      </c>
      <c r="N1110" s="51" t="n">
        <v>0.19</v>
      </c>
      <c r="O1110" s="52" t="n">
        <f aca="false">M1110*(1-N1110)</f>
        <v>90.72</v>
      </c>
      <c r="P1110" s="21" t="n">
        <f aca="false">L1110*O1110</f>
        <v>7983.36</v>
      </c>
      <c r="Q1110" s="50" t="n">
        <f aca="false">INDEX(Productos!$E$2:$E$13,MATCH($H1110,Productos!$A$2:$A$13,0))*INDEX(Parametros!$B$26:$B$43,MATCH($C1110,Parametros!$A$26:$A$43,0))</f>
        <v>61.92</v>
      </c>
      <c r="R1110" s="21" t="n">
        <f aca="false">L1110*Q1110</f>
        <v>5448.96</v>
      </c>
      <c r="S1110" s="18" t="n">
        <f aca="false">L1110*INDEX(Parametros!$B$20:$B$22,MATCH($E1110,Parametros!$A$20:$A$22,0))</f>
        <v>211.2</v>
      </c>
      <c r="T1110" s="18" t="n">
        <f aca="false">P1110*INDEX(Parametros!$B$13:$B$16,MATCH($F1110,Parametros!$A$13:$A$16,0))</f>
        <v>239.5008</v>
      </c>
      <c r="U1110" s="21" t="n">
        <f aca="false">P1110-R1110-S1110-T1110</f>
        <v>2083.6992</v>
      </c>
      <c r="V1110" s="19" t="n">
        <f aca="false">IFERROR(U1110/P1110,0)</f>
        <v>0.261005291005291</v>
      </c>
      <c r="W1110" s="48" t="n">
        <f aca="false">B1110+INDEX(Parametros!$C$13:$C$16,MATCH($F1110,Parametros!$A$13:$A$16,0))</f>
        <v>46101</v>
      </c>
      <c r="X1110" s="31" t="s">
        <v>67</v>
      </c>
      <c r="Y1110" s="53" t="n">
        <f aca="false">IF(COUNTIF($A$2:$A1110,A1110)=1,1,0)</f>
        <v>0</v>
      </c>
    </row>
    <row r="1111" customFormat="false" ht="15" hidden="false" customHeight="false" outlineLevel="0" collapsed="false">
      <c r="A1111" s="31" t="s">
        <v>839</v>
      </c>
      <c r="B1111" s="36" t="n">
        <v>46042</v>
      </c>
      <c r="C1111" s="49" t="n">
        <f aca="false">DATE(YEAR(B1111),MONTH(B1111),1)</f>
        <v>46023</v>
      </c>
      <c r="D1111" s="31" t="s">
        <v>206</v>
      </c>
      <c r="E1111" s="31" t="s">
        <v>41</v>
      </c>
      <c r="F1111" s="31" t="s">
        <v>46</v>
      </c>
      <c r="G1111" s="31" t="s">
        <v>58</v>
      </c>
      <c r="H1111" s="31" t="s">
        <v>181</v>
      </c>
      <c r="I1111" s="32" t="str">
        <f aca="false">INDEX(Productos!$B$2:$B$13,MATCH($H1111,Productos!$A$2:$A$13,0))</f>
        <v>Autotaladrante 5,5x55 punta broca</v>
      </c>
      <c r="J1111" s="32" t="str">
        <f aca="false">INDEX(Productos!$C$2:$C$13,MATCH($H1111,Productos!$A$2:$A$13,0))</f>
        <v>Autotaladrante</v>
      </c>
      <c r="K1111" s="31" t="s">
        <v>246</v>
      </c>
      <c r="L1111" s="46" t="n">
        <v>42</v>
      </c>
      <c r="M1111" s="50" t="n">
        <f aca="false">INDEX(Productos!$F$2:$F$13,MATCH($H1111,Productos!$A$2:$A$13,0))</f>
        <v>39</v>
      </c>
      <c r="N1111" s="51" t="n">
        <v>0.096</v>
      </c>
      <c r="O1111" s="52" t="n">
        <f aca="false">M1111*(1-N1111)</f>
        <v>35.256</v>
      </c>
      <c r="P1111" s="21" t="n">
        <f aca="false">L1111*O1111</f>
        <v>1480.752</v>
      </c>
      <c r="Q1111" s="50" t="n">
        <f aca="false">INDEX(Productos!$E$2:$E$13,MATCH($H1111,Productos!$A$2:$A$13,0))*INDEX(Parametros!$B$26:$B$43,MATCH($C1111,Parametros!$A$26:$A$43,0))</f>
        <v>20.9496</v>
      </c>
      <c r="R1111" s="21" t="n">
        <f aca="false">L1111*Q1111</f>
        <v>879.8832</v>
      </c>
      <c r="S1111" s="18" t="n">
        <f aca="false">L1111*INDEX(Parametros!$B$20:$B$22,MATCH($E1111,Parametros!$A$20:$A$22,0))</f>
        <v>35.7</v>
      </c>
      <c r="T1111" s="18" t="n">
        <f aca="false">P1111*INDEX(Parametros!$B$13:$B$16,MATCH($F1111,Parametros!$A$13:$A$16,0))</f>
        <v>59.23008</v>
      </c>
      <c r="U1111" s="21" t="n">
        <f aca="false">P1111-R1111-S1111-T1111</f>
        <v>505.93872</v>
      </c>
      <c r="V1111" s="19" t="n">
        <f aca="false">IFERROR(U1111/P1111,0)</f>
        <v>0.341676877694577</v>
      </c>
      <c r="W1111" s="48" t="n">
        <f aca="false">B1111+INDEX(Parametros!$C$13:$C$16,MATCH($F1111,Parametros!$A$13:$A$16,0))</f>
        <v>46117</v>
      </c>
      <c r="X1111" s="31" t="s">
        <v>67</v>
      </c>
      <c r="Y1111" s="53" t="n">
        <f aca="false">IF(COUNTIF($A$2:$A1111,A1111)=1,1,0)</f>
        <v>1</v>
      </c>
    </row>
    <row r="1112" customFormat="false" ht="15" hidden="false" customHeight="false" outlineLevel="0" collapsed="false">
      <c r="A1112" s="31" t="s">
        <v>839</v>
      </c>
      <c r="B1112" s="36" t="n">
        <v>46042</v>
      </c>
      <c r="C1112" s="49" t="n">
        <f aca="false">DATE(YEAR(B1112),MONTH(B1112),1)</f>
        <v>46023</v>
      </c>
      <c r="D1112" s="31" t="s">
        <v>206</v>
      </c>
      <c r="E1112" s="31" t="s">
        <v>41</v>
      </c>
      <c r="F1112" s="31" t="s">
        <v>46</v>
      </c>
      <c r="G1112" s="31" t="s">
        <v>58</v>
      </c>
      <c r="H1112" s="31" t="s">
        <v>163</v>
      </c>
      <c r="I1112" s="32" t="str">
        <f aca="false">INDEX(Productos!$B$2:$B$13,MATCH($H1112,Productos!$A$2:$A$13,0))</f>
        <v>Tornillo DIN 933 M6x30 rosca completa zincado</v>
      </c>
      <c r="J1112" s="32" t="str">
        <f aca="false">INDEX(Productos!$C$2:$C$13,MATCH($H1112,Productos!$A$2:$A$13,0))</f>
        <v>Métrica</v>
      </c>
      <c r="K1112" s="31" t="s">
        <v>246</v>
      </c>
      <c r="L1112" s="46" t="n">
        <v>300</v>
      </c>
      <c r="M1112" s="50" t="n">
        <f aca="false">INDEX(Productos!$F$2:$F$13,MATCH($H1112,Productos!$A$2:$A$13,0))</f>
        <v>32</v>
      </c>
      <c r="N1112" s="51" t="n">
        <v>0.16</v>
      </c>
      <c r="O1112" s="52" t="n">
        <f aca="false">M1112*(1-N1112)</f>
        <v>26.88</v>
      </c>
      <c r="P1112" s="21" t="n">
        <f aca="false">L1112*O1112</f>
        <v>8064</v>
      </c>
      <c r="Q1112" s="50" t="n">
        <f aca="false">INDEX(Productos!$E$2:$E$13,MATCH($H1112,Productos!$A$2:$A$13,0))*INDEX(Parametros!$B$26:$B$43,MATCH($C1112,Parametros!$A$26:$A$43,0))</f>
        <v>17.1312</v>
      </c>
      <c r="R1112" s="21" t="n">
        <f aca="false">L1112*Q1112</f>
        <v>5139.36</v>
      </c>
      <c r="S1112" s="18" t="n">
        <f aca="false">L1112*INDEX(Parametros!$B$20:$B$22,MATCH($E1112,Parametros!$A$20:$A$22,0))</f>
        <v>255</v>
      </c>
      <c r="T1112" s="18" t="n">
        <f aca="false">P1112*INDEX(Parametros!$B$13:$B$16,MATCH($F1112,Parametros!$A$13:$A$16,0))</f>
        <v>322.56</v>
      </c>
      <c r="U1112" s="21" t="n">
        <f aca="false">P1112-R1112-S1112-T1112</f>
        <v>2347.08</v>
      </c>
      <c r="V1112" s="19" t="n">
        <f aca="false">IFERROR(U1112/P1112,0)</f>
        <v>0.291056547619048</v>
      </c>
      <c r="W1112" s="48" t="n">
        <f aca="false">B1112+INDEX(Parametros!$C$13:$C$16,MATCH($F1112,Parametros!$A$13:$A$16,0))</f>
        <v>46117</v>
      </c>
      <c r="X1112" s="31" t="s">
        <v>67</v>
      </c>
      <c r="Y1112" s="53" t="n">
        <f aca="false">IF(COUNTIF($A$2:$A1112,A1112)=1,1,0)</f>
        <v>0</v>
      </c>
    </row>
    <row r="1113" customFormat="false" ht="15" hidden="false" customHeight="false" outlineLevel="0" collapsed="false">
      <c r="A1113" s="31" t="s">
        <v>839</v>
      </c>
      <c r="B1113" s="36" t="n">
        <v>46042</v>
      </c>
      <c r="C1113" s="49" t="n">
        <f aca="false">DATE(YEAR(B1113),MONTH(B1113),1)</f>
        <v>46023</v>
      </c>
      <c r="D1113" s="31" t="s">
        <v>206</v>
      </c>
      <c r="E1113" s="31" t="s">
        <v>41</v>
      </c>
      <c r="F1113" s="31" t="s">
        <v>46</v>
      </c>
      <c r="G1113" s="31" t="s">
        <v>58</v>
      </c>
      <c r="H1113" s="31" t="s">
        <v>171</v>
      </c>
      <c r="I1113" s="32" t="str">
        <f aca="false">INDEX(Productos!$B$2:$B$13,MATCH($H1113,Productos!$A$2:$A$13,0))</f>
        <v>Tornillo DIN 7991 M8x30 avellanado inox A2</v>
      </c>
      <c r="J1113" s="32" t="str">
        <f aca="false">INDEX(Productos!$C$2:$C$13,MATCH($H1113,Productos!$A$2:$A$13,0))</f>
        <v>Inoxidable</v>
      </c>
      <c r="K1113" s="31" t="s">
        <v>246</v>
      </c>
      <c r="L1113" s="46" t="n">
        <v>40</v>
      </c>
      <c r="M1113" s="50" t="n">
        <f aca="false">INDEX(Productos!$F$2:$F$13,MATCH($H1113,Productos!$A$2:$A$13,0))</f>
        <v>88</v>
      </c>
      <c r="N1113" s="51" t="n">
        <v>0.084</v>
      </c>
      <c r="O1113" s="52" t="n">
        <f aca="false">M1113*(1-N1113)</f>
        <v>80.608</v>
      </c>
      <c r="P1113" s="21" t="n">
        <f aca="false">L1113*O1113</f>
        <v>3224.32</v>
      </c>
      <c r="Q1113" s="50" t="n">
        <f aca="false">INDEX(Productos!$E$2:$E$13,MATCH($H1113,Productos!$A$2:$A$13,0))*INDEX(Parametros!$B$26:$B$43,MATCH($C1113,Parametros!$A$26:$A$43,0))</f>
        <v>47.988</v>
      </c>
      <c r="R1113" s="21" t="n">
        <f aca="false">L1113*Q1113</f>
        <v>1919.52</v>
      </c>
      <c r="S1113" s="18" t="n">
        <f aca="false">L1113*INDEX(Parametros!$B$20:$B$22,MATCH($E1113,Parametros!$A$20:$A$22,0))</f>
        <v>34</v>
      </c>
      <c r="T1113" s="18" t="n">
        <f aca="false">P1113*INDEX(Parametros!$B$13:$B$16,MATCH($F1113,Parametros!$A$13:$A$16,0))</f>
        <v>128.9728</v>
      </c>
      <c r="U1113" s="21" t="n">
        <f aca="false">P1113-R1113-S1113-T1113</f>
        <v>1141.8272</v>
      </c>
      <c r="V1113" s="19" t="n">
        <f aca="false">IFERROR(U1113/P1113,0)</f>
        <v>0.354129614926558</v>
      </c>
      <c r="W1113" s="48" t="n">
        <f aca="false">B1113+INDEX(Parametros!$C$13:$C$16,MATCH($F1113,Parametros!$A$13:$A$16,0))</f>
        <v>46117</v>
      </c>
      <c r="X1113" s="31" t="s">
        <v>67</v>
      </c>
      <c r="Y1113" s="53" t="n">
        <f aca="false">IF(COUNTIF($A$2:$A1113,A1113)=1,1,0)</f>
        <v>0</v>
      </c>
    </row>
    <row r="1114" customFormat="false" ht="15" hidden="false" customHeight="false" outlineLevel="0" collapsed="false">
      <c r="A1114" s="31" t="s">
        <v>840</v>
      </c>
      <c r="B1114" s="36" t="n">
        <v>46043</v>
      </c>
      <c r="C1114" s="49" t="n">
        <f aca="false">DATE(YEAR(B1114),MONTH(B1114),1)</f>
        <v>46023</v>
      </c>
      <c r="D1114" s="31" t="s">
        <v>192</v>
      </c>
      <c r="E1114" s="31" t="s">
        <v>41</v>
      </c>
      <c r="F1114" s="31" t="s">
        <v>45</v>
      </c>
      <c r="G1114" s="31" t="s">
        <v>58</v>
      </c>
      <c r="H1114" s="31" t="s">
        <v>173</v>
      </c>
      <c r="I1114" s="32" t="str">
        <f aca="false">INDEX(Productos!$B$2:$B$13,MATCH($H1114,Productos!$A$2:$A$13,0))</f>
        <v>Tornillo DIN 933 M12x70 clase 8.8</v>
      </c>
      <c r="J1114" s="32" t="str">
        <f aca="false">INDEX(Productos!$C$2:$C$13,MATCH($H1114,Productos!$A$2:$A$13,0))</f>
        <v>Métrica</v>
      </c>
      <c r="K1114" s="31" t="s">
        <v>246</v>
      </c>
      <c r="L1114" s="46" t="n">
        <v>53</v>
      </c>
      <c r="M1114" s="50" t="n">
        <f aca="false">INDEX(Productos!$F$2:$F$13,MATCH($H1114,Productos!$A$2:$A$13,0))</f>
        <v>64</v>
      </c>
      <c r="N1114" s="51" t="n">
        <v>0.157</v>
      </c>
      <c r="O1114" s="52" t="n">
        <f aca="false">M1114*(1-N1114)</f>
        <v>53.952</v>
      </c>
      <c r="P1114" s="21" t="n">
        <f aca="false">L1114*O1114</f>
        <v>2859.456</v>
      </c>
      <c r="Q1114" s="50" t="n">
        <f aca="false">INDEX(Productos!$E$2:$E$13,MATCH($H1114,Productos!$A$2:$A$13,0))*INDEX(Parametros!$B$26:$B$43,MATCH($C1114,Parametros!$A$26:$A$43,0))</f>
        <v>34.572</v>
      </c>
      <c r="R1114" s="21" t="n">
        <f aca="false">L1114*Q1114</f>
        <v>1832.316</v>
      </c>
      <c r="S1114" s="18" t="n">
        <f aca="false">L1114*INDEX(Parametros!$B$20:$B$22,MATCH($E1114,Parametros!$A$20:$A$22,0))</f>
        <v>45.05</v>
      </c>
      <c r="T1114" s="18" t="n">
        <f aca="false">P1114*INDEX(Parametros!$B$13:$B$16,MATCH($F1114,Parametros!$A$13:$A$16,0))</f>
        <v>85.78368</v>
      </c>
      <c r="U1114" s="21" t="n">
        <f aca="false">P1114-R1114-S1114-T1114</f>
        <v>896.30632</v>
      </c>
      <c r="V1114" s="19" t="n">
        <f aca="false">IFERROR(U1114/P1114,0)</f>
        <v>0.313453440094899</v>
      </c>
      <c r="W1114" s="48" t="n">
        <f aca="false">B1114+INDEX(Parametros!$C$13:$C$16,MATCH($F1114,Parametros!$A$13:$A$16,0))</f>
        <v>46103</v>
      </c>
      <c r="X1114" s="31" t="s">
        <v>69</v>
      </c>
      <c r="Y1114" s="53" t="n">
        <f aca="false">IF(COUNTIF($A$2:$A1114,A1114)=1,1,0)</f>
        <v>1</v>
      </c>
    </row>
    <row r="1115" customFormat="false" ht="15" hidden="false" customHeight="false" outlineLevel="0" collapsed="false">
      <c r="A1115" s="31" t="s">
        <v>841</v>
      </c>
      <c r="B1115" s="36" t="n">
        <v>46043</v>
      </c>
      <c r="C1115" s="49" t="n">
        <f aca="false">DATE(YEAR(B1115),MONTH(B1115),1)</f>
        <v>46023</v>
      </c>
      <c r="D1115" s="31" t="s">
        <v>206</v>
      </c>
      <c r="E1115" s="31" t="s">
        <v>41</v>
      </c>
      <c r="F1115" s="31" t="s">
        <v>46</v>
      </c>
      <c r="G1115" s="31" t="s">
        <v>58</v>
      </c>
      <c r="H1115" s="31" t="s">
        <v>183</v>
      </c>
      <c r="I1115" s="32" t="str">
        <f aca="false">INDEX(Productos!$B$2:$B$13,MATCH($H1115,Productos!$A$2:$A$13,0))</f>
        <v>Tornillo estructural M16x90 clase 10.9</v>
      </c>
      <c r="J1115" s="32" t="str">
        <f aca="false">INDEX(Productos!$C$2:$C$13,MATCH($H1115,Productos!$A$2:$A$13,0))</f>
        <v>Especial</v>
      </c>
      <c r="K1115" s="31" t="s">
        <v>246</v>
      </c>
      <c r="L1115" s="46" t="n">
        <v>125</v>
      </c>
      <c r="M1115" s="50" t="n">
        <f aca="false">INDEX(Productos!$F$2:$F$13,MATCH($H1115,Productos!$A$2:$A$13,0))</f>
        <v>112</v>
      </c>
      <c r="N1115" s="51" t="n">
        <v>0.152</v>
      </c>
      <c r="O1115" s="52" t="n">
        <f aca="false">M1115*(1-N1115)</f>
        <v>94.976</v>
      </c>
      <c r="P1115" s="21" t="n">
        <f aca="false">L1115*O1115</f>
        <v>11872</v>
      </c>
      <c r="Q1115" s="50" t="n">
        <f aca="false">INDEX(Productos!$E$2:$E$13,MATCH($H1115,Productos!$A$2:$A$13,0))*INDEX(Parametros!$B$26:$B$43,MATCH($C1115,Parametros!$A$26:$A$43,0))</f>
        <v>61.92</v>
      </c>
      <c r="R1115" s="21" t="n">
        <f aca="false">L1115*Q1115</f>
        <v>7740</v>
      </c>
      <c r="S1115" s="18" t="n">
        <f aca="false">L1115*INDEX(Parametros!$B$20:$B$22,MATCH($E1115,Parametros!$A$20:$A$22,0))</f>
        <v>106.25</v>
      </c>
      <c r="T1115" s="18" t="n">
        <f aca="false">P1115*INDEX(Parametros!$B$13:$B$16,MATCH($F1115,Parametros!$A$13:$A$16,0))</f>
        <v>474.88</v>
      </c>
      <c r="U1115" s="21" t="n">
        <f aca="false">P1115-R1115-S1115-T1115</f>
        <v>3550.87</v>
      </c>
      <c r="V1115" s="19" t="n">
        <f aca="false">IFERROR(U1115/P1115,0)</f>
        <v>0.299096192722372</v>
      </c>
      <c r="W1115" s="48" t="n">
        <f aca="false">B1115+INDEX(Parametros!$C$13:$C$16,MATCH($F1115,Parametros!$A$13:$A$16,0))</f>
        <v>46118</v>
      </c>
      <c r="X1115" s="31" t="s">
        <v>67</v>
      </c>
      <c r="Y1115" s="53" t="n">
        <f aca="false">IF(COUNTIF($A$2:$A1115,A1115)=1,1,0)</f>
        <v>1</v>
      </c>
    </row>
    <row r="1116" customFormat="false" ht="15" hidden="false" customHeight="false" outlineLevel="0" collapsed="false">
      <c r="A1116" s="31" t="s">
        <v>841</v>
      </c>
      <c r="B1116" s="36" t="n">
        <v>46043</v>
      </c>
      <c r="C1116" s="49" t="n">
        <f aca="false">DATE(YEAR(B1116),MONTH(B1116),1)</f>
        <v>46023</v>
      </c>
      <c r="D1116" s="31" t="s">
        <v>206</v>
      </c>
      <c r="E1116" s="31" t="s">
        <v>41</v>
      </c>
      <c r="F1116" s="31" t="s">
        <v>46</v>
      </c>
      <c r="G1116" s="31" t="s">
        <v>58</v>
      </c>
      <c r="H1116" s="31" t="s">
        <v>181</v>
      </c>
      <c r="I1116" s="32" t="str">
        <f aca="false">INDEX(Productos!$B$2:$B$13,MATCH($H1116,Productos!$A$2:$A$13,0))</f>
        <v>Autotaladrante 5,5x55 punta broca</v>
      </c>
      <c r="J1116" s="32" t="str">
        <f aca="false">INDEX(Productos!$C$2:$C$13,MATCH($H1116,Productos!$A$2:$A$13,0))</f>
        <v>Autotaladrante</v>
      </c>
      <c r="K1116" s="31" t="s">
        <v>246</v>
      </c>
      <c r="L1116" s="46" t="n">
        <v>37</v>
      </c>
      <c r="M1116" s="50" t="n">
        <f aca="false">INDEX(Productos!$F$2:$F$13,MATCH($H1116,Productos!$A$2:$A$13,0))</f>
        <v>39</v>
      </c>
      <c r="N1116" s="51" t="n">
        <v>0.18</v>
      </c>
      <c r="O1116" s="52" t="n">
        <f aca="false">M1116*(1-N1116)</f>
        <v>31.98</v>
      </c>
      <c r="P1116" s="21" t="n">
        <f aca="false">L1116*O1116</f>
        <v>1183.26</v>
      </c>
      <c r="Q1116" s="50" t="n">
        <f aca="false">INDEX(Productos!$E$2:$E$13,MATCH($H1116,Productos!$A$2:$A$13,0))*INDEX(Parametros!$B$26:$B$43,MATCH($C1116,Parametros!$A$26:$A$43,0))</f>
        <v>20.9496</v>
      </c>
      <c r="R1116" s="21" t="n">
        <f aca="false">L1116*Q1116</f>
        <v>775.1352</v>
      </c>
      <c r="S1116" s="18" t="n">
        <f aca="false">L1116*INDEX(Parametros!$B$20:$B$22,MATCH($E1116,Parametros!$A$20:$A$22,0))</f>
        <v>31.45</v>
      </c>
      <c r="T1116" s="18" t="n">
        <f aca="false">P1116*INDEX(Parametros!$B$13:$B$16,MATCH($F1116,Parametros!$A$13:$A$16,0))</f>
        <v>47.3304</v>
      </c>
      <c r="U1116" s="21" t="n">
        <f aca="false">P1116-R1116-S1116-T1116</f>
        <v>329.3444</v>
      </c>
      <c r="V1116" s="19" t="n">
        <f aca="false">IFERROR(U1116/P1116,0)</f>
        <v>0.27833646028768</v>
      </c>
      <c r="W1116" s="48" t="n">
        <f aca="false">B1116+INDEX(Parametros!$C$13:$C$16,MATCH($F1116,Parametros!$A$13:$A$16,0))</f>
        <v>46118</v>
      </c>
      <c r="X1116" s="31" t="s">
        <v>69</v>
      </c>
      <c r="Y1116" s="53" t="n">
        <f aca="false">IF(COUNTIF($A$2:$A1116,A1116)=1,1,0)</f>
        <v>0</v>
      </c>
    </row>
    <row r="1117" customFormat="false" ht="15" hidden="false" customHeight="false" outlineLevel="0" collapsed="false">
      <c r="A1117" s="31" t="s">
        <v>841</v>
      </c>
      <c r="B1117" s="36" t="n">
        <v>46043</v>
      </c>
      <c r="C1117" s="49" t="n">
        <f aca="false">DATE(YEAR(B1117),MONTH(B1117),1)</f>
        <v>46023</v>
      </c>
      <c r="D1117" s="31" t="s">
        <v>206</v>
      </c>
      <c r="E1117" s="31" t="s">
        <v>41</v>
      </c>
      <c r="F1117" s="31" t="s">
        <v>46</v>
      </c>
      <c r="G1117" s="31" t="s">
        <v>58</v>
      </c>
      <c r="H1117" s="31" t="s">
        <v>179</v>
      </c>
      <c r="I1117" s="32" t="str">
        <f aca="false">INDEX(Productos!$B$2:$B$13,MATCH($H1117,Productos!$A$2:$A$13,0))</f>
        <v>Autotaladrante DIN 7504 4,8x38 zincado</v>
      </c>
      <c r="J1117" s="32" t="str">
        <f aca="false">INDEX(Productos!$C$2:$C$13,MATCH($H1117,Productos!$A$2:$A$13,0))</f>
        <v>Autotaladrante</v>
      </c>
      <c r="K1117" s="31" t="s">
        <v>246</v>
      </c>
      <c r="L1117" s="46" t="n">
        <v>249</v>
      </c>
      <c r="M1117" s="50" t="n">
        <f aca="false">INDEX(Productos!$F$2:$F$13,MATCH($H1117,Productos!$A$2:$A$13,0))</f>
        <v>29.5</v>
      </c>
      <c r="N1117" s="51" t="n">
        <v>0.161</v>
      </c>
      <c r="O1117" s="52" t="n">
        <f aca="false">M1117*(1-N1117)</f>
        <v>24.7505</v>
      </c>
      <c r="P1117" s="21" t="n">
        <f aca="false">L1117*O1117</f>
        <v>6162.8745</v>
      </c>
      <c r="Q1117" s="50" t="n">
        <f aca="false">INDEX(Productos!$E$2:$E$13,MATCH($H1117,Productos!$A$2:$A$13,0))*INDEX(Parametros!$B$26:$B$43,MATCH($C1117,Parametros!$A$26:$A$43,0))</f>
        <v>15.6864</v>
      </c>
      <c r="R1117" s="21" t="n">
        <f aca="false">L1117*Q1117</f>
        <v>3905.9136</v>
      </c>
      <c r="S1117" s="18" t="n">
        <f aca="false">L1117*INDEX(Parametros!$B$20:$B$22,MATCH($E1117,Parametros!$A$20:$A$22,0))</f>
        <v>211.65</v>
      </c>
      <c r="T1117" s="18" t="n">
        <f aca="false">P1117*INDEX(Parametros!$B$13:$B$16,MATCH($F1117,Parametros!$A$13:$A$16,0))</f>
        <v>246.51498</v>
      </c>
      <c r="U1117" s="21" t="n">
        <f aca="false">P1117-R1117-S1117-T1117</f>
        <v>1798.79592</v>
      </c>
      <c r="V1117" s="19" t="n">
        <f aca="false">IFERROR(U1117/P1117,0)</f>
        <v>0.291876123714672</v>
      </c>
      <c r="W1117" s="48" t="n">
        <f aca="false">B1117+INDEX(Parametros!$C$13:$C$16,MATCH($F1117,Parametros!$A$13:$A$16,0))</f>
        <v>46118</v>
      </c>
      <c r="X1117" s="31" t="s">
        <v>67</v>
      </c>
      <c r="Y1117" s="53" t="n">
        <f aca="false">IF(COUNTIF($A$2:$A1117,A1117)=1,1,0)</f>
        <v>0</v>
      </c>
    </row>
    <row r="1118" customFormat="false" ht="15" hidden="false" customHeight="false" outlineLevel="0" collapsed="false">
      <c r="A1118" s="31" t="s">
        <v>842</v>
      </c>
      <c r="B1118" s="36" t="n">
        <v>46045</v>
      </c>
      <c r="C1118" s="49" t="n">
        <f aca="false">DATE(YEAR(B1118),MONTH(B1118),1)</f>
        <v>46023</v>
      </c>
      <c r="D1118" s="31" t="s">
        <v>219</v>
      </c>
      <c r="E1118" s="31" t="s">
        <v>42</v>
      </c>
      <c r="F1118" s="31" t="s">
        <v>45</v>
      </c>
      <c r="G1118" s="31" t="s">
        <v>61</v>
      </c>
      <c r="H1118" s="31" t="s">
        <v>181</v>
      </c>
      <c r="I1118" s="32" t="str">
        <f aca="false">INDEX(Productos!$B$2:$B$13,MATCH($H1118,Productos!$A$2:$A$13,0))</f>
        <v>Autotaladrante 5,5x55 punta broca</v>
      </c>
      <c r="J1118" s="32" t="str">
        <f aca="false">INDEX(Productos!$C$2:$C$13,MATCH($H1118,Productos!$A$2:$A$13,0))</f>
        <v>Autotaladrante</v>
      </c>
      <c r="K1118" s="31" t="s">
        <v>246</v>
      </c>
      <c r="L1118" s="46" t="n">
        <v>163</v>
      </c>
      <c r="M1118" s="50" t="n">
        <f aca="false">INDEX(Productos!$F$2:$F$13,MATCH($H1118,Productos!$A$2:$A$13,0))</f>
        <v>39</v>
      </c>
      <c r="N1118" s="51" t="n">
        <v>0.149</v>
      </c>
      <c r="O1118" s="52" t="n">
        <f aca="false">M1118*(1-N1118)</f>
        <v>33.189</v>
      </c>
      <c r="P1118" s="21" t="n">
        <f aca="false">L1118*O1118</f>
        <v>5409.807</v>
      </c>
      <c r="Q1118" s="50" t="n">
        <f aca="false">INDEX(Productos!$E$2:$E$13,MATCH($H1118,Productos!$A$2:$A$13,0))*INDEX(Parametros!$B$26:$B$43,MATCH($C1118,Parametros!$A$26:$A$43,0))</f>
        <v>20.9496</v>
      </c>
      <c r="R1118" s="21" t="n">
        <f aca="false">L1118*Q1118</f>
        <v>3414.7848</v>
      </c>
      <c r="S1118" s="18" t="n">
        <f aca="false">L1118*INDEX(Parametros!$B$20:$B$22,MATCH($E1118,Parametros!$A$20:$A$22,0))</f>
        <v>391.2</v>
      </c>
      <c r="T1118" s="18" t="n">
        <f aca="false">P1118*INDEX(Parametros!$B$13:$B$16,MATCH($F1118,Parametros!$A$13:$A$16,0))</f>
        <v>162.29421</v>
      </c>
      <c r="U1118" s="21" t="n">
        <f aca="false">P1118-R1118-S1118-T1118</f>
        <v>1441.52799</v>
      </c>
      <c r="V1118" s="19" t="n">
        <f aca="false">IFERROR(U1118/P1118,0)</f>
        <v>0.266465696465696</v>
      </c>
      <c r="W1118" s="48" t="n">
        <f aca="false">B1118+INDEX(Parametros!$C$13:$C$16,MATCH($F1118,Parametros!$A$13:$A$16,0))</f>
        <v>46105</v>
      </c>
      <c r="X1118" s="31" t="s">
        <v>67</v>
      </c>
      <c r="Y1118" s="53" t="n">
        <f aca="false">IF(COUNTIF($A$2:$A1118,A1118)=1,1,0)</f>
        <v>1</v>
      </c>
    </row>
    <row r="1119" customFormat="false" ht="15" hidden="false" customHeight="false" outlineLevel="0" collapsed="false">
      <c r="A1119" s="31" t="s">
        <v>843</v>
      </c>
      <c r="B1119" s="36" t="n">
        <v>46045</v>
      </c>
      <c r="C1119" s="49" t="n">
        <f aca="false">DATE(YEAR(B1119),MONTH(B1119),1)</f>
        <v>46023</v>
      </c>
      <c r="D1119" s="31" t="s">
        <v>191</v>
      </c>
      <c r="E1119" s="31" t="s">
        <v>41</v>
      </c>
      <c r="F1119" s="31" t="s">
        <v>47</v>
      </c>
      <c r="G1119" s="31" t="s">
        <v>58</v>
      </c>
      <c r="H1119" s="31" t="s">
        <v>165</v>
      </c>
      <c r="I1119" s="32" t="str">
        <f aca="false">INDEX(Productos!$B$2:$B$13,MATCH($H1119,Productos!$A$2:$A$13,0))</f>
        <v>Tornillo DIN 933 M8x40 rosca completa zincado</v>
      </c>
      <c r="J1119" s="32" t="str">
        <f aca="false">INDEX(Productos!$C$2:$C$13,MATCH($H1119,Productos!$A$2:$A$13,0))</f>
        <v>Métrica</v>
      </c>
      <c r="K1119" s="31" t="s">
        <v>246</v>
      </c>
      <c r="L1119" s="46" t="n">
        <v>23</v>
      </c>
      <c r="M1119" s="50" t="n">
        <f aca="false">INDEX(Productos!$F$2:$F$13,MATCH($H1119,Productos!$A$2:$A$13,0))</f>
        <v>37.5</v>
      </c>
      <c r="N1119" s="51" t="n">
        <v>0.055</v>
      </c>
      <c r="O1119" s="52" t="n">
        <f aca="false">M1119*(1-N1119)</f>
        <v>35.4375</v>
      </c>
      <c r="P1119" s="21" t="n">
        <f aca="false">L1119*O1119</f>
        <v>815.0625</v>
      </c>
      <c r="Q1119" s="50" t="n">
        <f aca="false">INDEX(Productos!$E$2:$E$13,MATCH($H1119,Productos!$A$2:$A$13,0))*INDEX(Parametros!$B$26:$B$43,MATCH($C1119,Parametros!$A$26:$A$43,0))</f>
        <v>20.0208</v>
      </c>
      <c r="R1119" s="21" t="n">
        <f aca="false">L1119*Q1119</f>
        <v>460.4784</v>
      </c>
      <c r="S1119" s="18" t="n">
        <f aca="false">L1119*INDEX(Parametros!$B$20:$B$22,MATCH($E1119,Parametros!$A$20:$A$22,0))</f>
        <v>19.55</v>
      </c>
      <c r="T1119" s="18" t="n">
        <f aca="false">P1119*INDEX(Parametros!$B$13:$B$16,MATCH($F1119,Parametros!$A$13:$A$16,0))</f>
        <v>28.5271875</v>
      </c>
      <c r="U1119" s="21" t="n">
        <f aca="false">P1119-R1119-S1119-T1119</f>
        <v>306.5069125</v>
      </c>
      <c r="V1119" s="19" t="n">
        <f aca="false">IFERROR(U1119/P1119,0)</f>
        <v>0.376053262786596</v>
      </c>
      <c r="W1119" s="48" t="n">
        <f aca="false">B1119+INDEX(Parametros!$C$13:$C$16,MATCH($F1119,Parametros!$A$13:$A$16,0))</f>
        <v>46090</v>
      </c>
      <c r="X1119" s="31" t="s">
        <v>67</v>
      </c>
      <c r="Y1119" s="53" t="n">
        <f aca="false">IF(COUNTIF($A$2:$A1119,A1119)=1,1,0)</f>
        <v>1</v>
      </c>
    </row>
    <row r="1120" customFormat="false" ht="15" hidden="false" customHeight="false" outlineLevel="0" collapsed="false">
      <c r="A1120" s="31" t="s">
        <v>843</v>
      </c>
      <c r="B1120" s="36" t="n">
        <v>46045</v>
      </c>
      <c r="C1120" s="49" t="n">
        <f aca="false">DATE(YEAR(B1120),MONTH(B1120),1)</f>
        <v>46023</v>
      </c>
      <c r="D1120" s="31" t="s">
        <v>191</v>
      </c>
      <c r="E1120" s="31" t="s">
        <v>41</v>
      </c>
      <c r="F1120" s="31" t="s">
        <v>47</v>
      </c>
      <c r="G1120" s="31" t="s">
        <v>58</v>
      </c>
      <c r="H1120" s="31" t="s">
        <v>169</v>
      </c>
      <c r="I1120" s="32" t="str">
        <f aca="false">INDEX(Productos!$B$2:$B$13,MATCH($H1120,Productos!$A$2:$A$13,0))</f>
        <v>Tornillo DIN 912 M10x60 Allen inox A2</v>
      </c>
      <c r="J1120" s="32" t="str">
        <f aca="false">INDEX(Productos!$C$2:$C$13,MATCH($H1120,Productos!$A$2:$A$13,0))</f>
        <v>Inoxidable</v>
      </c>
      <c r="K1120" s="31" t="s">
        <v>246</v>
      </c>
      <c r="L1120" s="46" t="n">
        <v>21</v>
      </c>
      <c r="M1120" s="50" t="n">
        <f aca="false">INDEX(Productos!$F$2:$F$13,MATCH($H1120,Productos!$A$2:$A$13,0))</f>
        <v>79</v>
      </c>
      <c r="N1120" s="51" t="n">
        <v>0.048</v>
      </c>
      <c r="O1120" s="52" t="n">
        <f aca="false">M1120*(1-N1120)</f>
        <v>75.208</v>
      </c>
      <c r="P1120" s="21" t="n">
        <f aca="false">L1120*O1120</f>
        <v>1579.368</v>
      </c>
      <c r="Q1120" s="50" t="n">
        <f aca="false">INDEX(Productos!$E$2:$E$13,MATCH($H1120,Productos!$A$2:$A$13,0))*INDEX(Parametros!$B$26:$B$43,MATCH($C1120,Parametros!$A$26:$A$43,0))</f>
        <v>43.344</v>
      </c>
      <c r="R1120" s="21" t="n">
        <f aca="false">L1120*Q1120</f>
        <v>910.224</v>
      </c>
      <c r="S1120" s="18" t="n">
        <f aca="false">L1120*INDEX(Parametros!$B$20:$B$22,MATCH($E1120,Parametros!$A$20:$A$22,0))</f>
        <v>17.85</v>
      </c>
      <c r="T1120" s="18" t="n">
        <f aca="false">P1120*INDEX(Parametros!$B$13:$B$16,MATCH($F1120,Parametros!$A$13:$A$16,0))</f>
        <v>55.27788</v>
      </c>
      <c r="U1120" s="21" t="n">
        <f aca="false">P1120-R1120-S1120-T1120</f>
        <v>596.01612</v>
      </c>
      <c r="V1120" s="19" t="n">
        <f aca="false">IFERROR(U1120/P1120,0)</f>
        <v>0.37737634294224</v>
      </c>
      <c r="W1120" s="48" t="n">
        <f aca="false">B1120+INDEX(Parametros!$C$13:$C$16,MATCH($F1120,Parametros!$A$13:$A$16,0))</f>
        <v>46090</v>
      </c>
      <c r="X1120" s="31" t="s">
        <v>67</v>
      </c>
      <c r="Y1120" s="53" t="n">
        <f aca="false">IF(COUNTIF($A$2:$A1120,A1120)=1,1,0)</f>
        <v>0</v>
      </c>
    </row>
    <row r="1121" customFormat="false" ht="15" hidden="false" customHeight="false" outlineLevel="0" collapsed="false">
      <c r="A1121" s="31" t="s">
        <v>843</v>
      </c>
      <c r="B1121" s="36" t="n">
        <v>46045</v>
      </c>
      <c r="C1121" s="49" t="n">
        <f aca="false">DATE(YEAR(B1121),MONTH(B1121),1)</f>
        <v>46023</v>
      </c>
      <c r="D1121" s="31" t="s">
        <v>191</v>
      </c>
      <c r="E1121" s="31" t="s">
        <v>41</v>
      </c>
      <c r="F1121" s="31" t="s">
        <v>47</v>
      </c>
      <c r="G1121" s="31" t="s">
        <v>58</v>
      </c>
      <c r="H1121" s="31" t="s">
        <v>183</v>
      </c>
      <c r="I1121" s="32" t="str">
        <f aca="false">INDEX(Productos!$B$2:$B$13,MATCH($H1121,Productos!$A$2:$A$13,0))</f>
        <v>Tornillo estructural M16x90 clase 10.9</v>
      </c>
      <c r="J1121" s="32" t="str">
        <f aca="false">INDEX(Productos!$C$2:$C$13,MATCH($H1121,Productos!$A$2:$A$13,0))</f>
        <v>Especial</v>
      </c>
      <c r="K1121" s="31" t="s">
        <v>246</v>
      </c>
      <c r="L1121" s="46" t="n">
        <v>30</v>
      </c>
      <c r="M1121" s="50" t="n">
        <f aca="false">INDEX(Productos!$F$2:$F$13,MATCH($H1121,Productos!$A$2:$A$13,0))</f>
        <v>112</v>
      </c>
      <c r="N1121" s="51" t="n">
        <v>0.079</v>
      </c>
      <c r="O1121" s="52" t="n">
        <f aca="false">M1121*(1-N1121)</f>
        <v>103.152</v>
      </c>
      <c r="P1121" s="21" t="n">
        <f aca="false">L1121*O1121</f>
        <v>3094.56</v>
      </c>
      <c r="Q1121" s="50" t="n">
        <f aca="false">INDEX(Productos!$E$2:$E$13,MATCH($H1121,Productos!$A$2:$A$13,0))*INDEX(Parametros!$B$26:$B$43,MATCH($C1121,Parametros!$A$26:$A$43,0))</f>
        <v>61.92</v>
      </c>
      <c r="R1121" s="21" t="n">
        <f aca="false">L1121*Q1121</f>
        <v>1857.6</v>
      </c>
      <c r="S1121" s="18" t="n">
        <f aca="false">L1121*INDEX(Parametros!$B$20:$B$22,MATCH($E1121,Parametros!$A$20:$A$22,0))</f>
        <v>25.5</v>
      </c>
      <c r="T1121" s="18" t="n">
        <f aca="false">P1121*INDEX(Parametros!$B$13:$B$16,MATCH($F1121,Parametros!$A$13:$A$16,0))</f>
        <v>108.3096</v>
      </c>
      <c r="U1121" s="21" t="n">
        <f aca="false">P1121-R1121-S1121-T1121</f>
        <v>1103.1504</v>
      </c>
      <c r="V1121" s="19" t="n">
        <f aca="false">IFERROR(U1121/P1121,0)</f>
        <v>0.356480533581511</v>
      </c>
      <c r="W1121" s="48" t="n">
        <f aca="false">B1121+INDEX(Parametros!$C$13:$C$16,MATCH($F1121,Parametros!$A$13:$A$16,0))</f>
        <v>46090</v>
      </c>
      <c r="X1121" s="31" t="s">
        <v>67</v>
      </c>
      <c r="Y1121" s="53" t="n">
        <f aca="false">IF(COUNTIF($A$2:$A1121,A1121)=1,1,0)</f>
        <v>0</v>
      </c>
    </row>
    <row r="1122" customFormat="false" ht="15" hidden="false" customHeight="false" outlineLevel="0" collapsed="false">
      <c r="A1122" s="31" t="s">
        <v>844</v>
      </c>
      <c r="B1122" s="36" t="n">
        <v>46045</v>
      </c>
      <c r="C1122" s="49" t="n">
        <f aca="false">DATE(YEAR(B1122),MONTH(B1122),1)</f>
        <v>46023</v>
      </c>
      <c r="D1122" s="31" t="s">
        <v>228</v>
      </c>
      <c r="E1122" s="31" t="s">
        <v>43</v>
      </c>
      <c r="F1122" s="31" t="s">
        <v>47</v>
      </c>
      <c r="G1122" s="31" t="s">
        <v>59</v>
      </c>
      <c r="H1122" s="31" t="s">
        <v>181</v>
      </c>
      <c r="I1122" s="32" t="str">
        <f aca="false">INDEX(Productos!$B$2:$B$13,MATCH($H1122,Productos!$A$2:$A$13,0))</f>
        <v>Autotaladrante 5,5x55 punta broca</v>
      </c>
      <c r="J1122" s="32" t="str">
        <f aca="false">INDEX(Productos!$C$2:$C$13,MATCH($H1122,Productos!$A$2:$A$13,0))</f>
        <v>Autotaladrante</v>
      </c>
      <c r="K1122" s="31" t="s">
        <v>246</v>
      </c>
      <c r="L1122" s="46" t="n">
        <v>36</v>
      </c>
      <c r="M1122" s="50" t="n">
        <f aca="false">INDEX(Productos!$F$2:$F$13,MATCH($H1122,Productos!$A$2:$A$13,0))</f>
        <v>39</v>
      </c>
      <c r="N1122" s="51" t="n">
        <v>0.099</v>
      </c>
      <c r="O1122" s="52" t="n">
        <f aca="false">M1122*(1-N1122)</f>
        <v>35.139</v>
      </c>
      <c r="P1122" s="21" t="n">
        <f aca="false">L1122*O1122</f>
        <v>1265.004</v>
      </c>
      <c r="Q1122" s="50" t="n">
        <f aca="false">INDEX(Productos!$E$2:$E$13,MATCH($H1122,Productos!$A$2:$A$13,0))*INDEX(Parametros!$B$26:$B$43,MATCH($C1122,Parametros!$A$26:$A$43,0))</f>
        <v>20.9496</v>
      </c>
      <c r="R1122" s="21" t="n">
        <f aca="false">L1122*Q1122</f>
        <v>754.1856</v>
      </c>
      <c r="S1122" s="18" t="n">
        <f aca="false">L1122*INDEX(Parametros!$B$20:$B$22,MATCH($E1122,Parametros!$A$20:$A$22,0))</f>
        <v>68.4</v>
      </c>
      <c r="T1122" s="18" t="n">
        <f aca="false">P1122*INDEX(Parametros!$B$13:$B$16,MATCH($F1122,Parametros!$A$13:$A$16,0))</f>
        <v>44.27514</v>
      </c>
      <c r="U1122" s="21" t="n">
        <f aca="false">P1122-R1122-S1122-T1122</f>
        <v>398.14326</v>
      </c>
      <c r="V1122" s="19" t="n">
        <f aca="false">IFERROR(U1122/P1122,0)</f>
        <v>0.314736759725661</v>
      </c>
      <c r="W1122" s="48" t="n">
        <f aca="false">B1122+INDEX(Parametros!$C$13:$C$16,MATCH($F1122,Parametros!$A$13:$A$16,0))</f>
        <v>46090</v>
      </c>
      <c r="X1122" s="31" t="s">
        <v>67</v>
      </c>
      <c r="Y1122" s="53" t="n">
        <f aca="false">IF(COUNTIF($A$2:$A1122,A1122)=1,1,0)</f>
        <v>1</v>
      </c>
    </row>
    <row r="1123" customFormat="false" ht="15" hidden="false" customHeight="false" outlineLevel="0" collapsed="false">
      <c r="A1123" s="31" t="s">
        <v>844</v>
      </c>
      <c r="B1123" s="36" t="n">
        <v>46045</v>
      </c>
      <c r="C1123" s="49" t="n">
        <f aca="false">DATE(YEAR(B1123),MONTH(B1123),1)</f>
        <v>46023</v>
      </c>
      <c r="D1123" s="31" t="s">
        <v>228</v>
      </c>
      <c r="E1123" s="31" t="s">
        <v>43</v>
      </c>
      <c r="F1123" s="31" t="s">
        <v>47</v>
      </c>
      <c r="G1123" s="31" t="s">
        <v>59</v>
      </c>
      <c r="H1123" s="31" t="s">
        <v>165</v>
      </c>
      <c r="I1123" s="32" t="str">
        <f aca="false">INDEX(Productos!$B$2:$B$13,MATCH($H1123,Productos!$A$2:$A$13,0))</f>
        <v>Tornillo DIN 933 M8x40 rosca completa zincado</v>
      </c>
      <c r="J1123" s="32" t="str">
        <f aca="false">INDEX(Productos!$C$2:$C$13,MATCH($H1123,Productos!$A$2:$A$13,0))</f>
        <v>Métrica</v>
      </c>
      <c r="K1123" s="31" t="s">
        <v>246</v>
      </c>
      <c r="L1123" s="46" t="n">
        <v>74</v>
      </c>
      <c r="M1123" s="50" t="n">
        <f aca="false">INDEX(Productos!$F$2:$F$13,MATCH($H1123,Productos!$A$2:$A$13,0))</f>
        <v>37.5</v>
      </c>
      <c r="N1123" s="51" t="n">
        <v>0.052</v>
      </c>
      <c r="O1123" s="52" t="n">
        <f aca="false">M1123*(1-N1123)</f>
        <v>35.55</v>
      </c>
      <c r="P1123" s="21" t="n">
        <f aca="false">L1123*O1123</f>
        <v>2630.7</v>
      </c>
      <c r="Q1123" s="50" t="n">
        <f aca="false">INDEX(Productos!$E$2:$E$13,MATCH($H1123,Productos!$A$2:$A$13,0))*INDEX(Parametros!$B$26:$B$43,MATCH($C1123,Parametros!$A$26:$A$43,0))</f>
        <v>20.0208</v>
      </c>
      <c r="R1123" s="21" t="n">
        <f aca="false">L1123*Q1123</f>
        <v>1481.5392</v>
      </c>
      <c r="S1123" s="18" t="n">
        <f aca="false">L1123*INDEX(Parametros!$B$20:$B$22,MATCH($E1123,Parametros!$A$20:$A$22,0))</f>
        <v>140.6</v>
      </c>
      <c r="T1123" s="18" t="n">
        <f aca="false">P1123*INDEX(Parametros!$B$13:$B$16,MATCH($F1123,Parametros!$A$13:$A$16,0))</f>
        <v>92.0745</v>
      </c>
      <c r="U1123" s="21" t="n">
        <f aca="false">P1123-R1123-S1123-T1123</f>
        <v>916.4863</v>
      </c>
      <c r="V1123" s="19" t="n">
        <f aca="false">IFERROR(U1123/P1123,0)</f>
        <v>0.348381153305204</v>
      </c>
      <c r="W1123" s="48" t="n">
        <f aca="false">B1123+INDEX(Parametros!$C$13:$C$16,MATCH($F1123,Parametros!$A$13:$A$16,0))</f>
        <v>46090</v>
      </c>
      <c r="X1123" s="31" t="s">
        <v>67</v>
      </c>
      <c r="Y1123" s="53" t="n">
        <f aca="false">IF(COUNTIF($A$2:$A1123,A1123)=1,1,0)</f>
        <v>0</v>
      </c>
    </row>
    <row r="1124" customFormat="false" ht="15" hidden="false" customHeight="false" outlineLevel="0" collapsed="false">
      <c r="A1124" s="31" t="s">
        <v>844</v>
      </c>
      <c r="B1124" s="36" t="n">
        <v>46045</v>
      </c>
      <c r="C1124" s="49" t="n">
        <f aca="false">DATE(YEAR(B1124),MONTH(B1124),1)</f>
        <v>46023</v>
      </c>
      <c r="D1124" s="31" t="s">
        <v>228</v>
      </c>
      <c r="E1124" s="31" t="s">
        <v>43</v>
      </c>
      <c r="F1124" s="31" t="s">
        <v>47</v>
      </c>
      <c r="G1124" s="31" t="s">
        <v>59</v>
      </c>
      <c r="H1124" s="31" t="s">
        <v>183</v>
      </c>
      <c r="I1124" s="32" t="str">
        <f aca="false">INDEX(Productos!$B$2:$B$13,MATCH($H1124,Productos!$A$2:$A$13,0))</f>
        <v>Tornillo estructural M16x90 clase 10.9</v>
      </c>
      <c r="J1124" s="32" t="str">
        <f aca="false">INDEX(Productos!$C$2:$C$13,MATCH($H1124,Productos!$A$2:$A$13,0))</f>
        <v>Especial</v>
      </c>
      <c r="K1124" s="31" t="s">
        <v>246</v>
      </c>
      <c r="L1124" s="46" t="n">
        <v>34</v>
      </c>
      <c r="M1124" s="50" t="n">
        <f aca="false">INDEX(Productos!$F$2:$F$13,MATCH($H1124,Productos!$A$2:$A$13,0))</f>
        <v>112</v>
      </c>
      <c r="N1124" s="51" t="n">
        <v>0.059</v>
      </c>
      <c r="O1124" s="52" t="n">
        <f aca="false">M1124*(1-N1124)</f>
        <v>105.392</v>
      </c>
      <c r="P1124" s="21" t="n">
        <f aca="false">L1124*O1124</f>
        <v>3583.328</v>
      </c>
      <c r="Q1124" s="50" t="n">
        <f aca="false">INDEX(Productos!$E$2:$E$13,MATCH($H1124,Productos!$A$2:$A$13,0))*INDEX(Parametros!$B$26:$B$43,MATCH($C1124,Parametros!$A$26:$A$43,0))</f>
        <v>61.92</v>
      </c>
      <c r="R1124" s="21" t="n">
        <f aca="false">L1124*Q1124</f>
        <v>2105.28</v>
      </c>
      <c r="S1124" s="18" t="n">
        <f aca="false">L1124*INDEX(Parametros!$B$20:$B$22,MATCH($E1124,Parametros!$A$20:$A$22,0))</f>
        <v>64.6</v>
      </c>
      <c r="T1124" s="18" t="n">
        <f aca="false">P1124*INDEX(Parametros!$B$13:$B$16,MATCH($F1124,Parametros!$A$13:$A$16,0))</f>
        <v>125.41648</v>
      </c>
      <c r="U1124" s="21" t="n">
        <f aca="false">P1124-R1124-S1124-T1124</f>
        <v>1288.03152</v>
      </c>
      <c r="V1124" s="19" t="n">
        <f aca="false">IFERROR(U1124/P1124,0)</f>
        <v>0.359451191741309</v>
      </c>
      <c r="W1124" s="48" t="n">
        <f aca="false">B1124+INDEX(Parametros!$C$13:$C$16,MATCH($F1124,Parametros!$A$13:$A$16,0))</f>
        <v>46090</v>
      </c>
      <c r="X1124" s="31" t="s">
        <v>67</v>
      </c>
      <c r="Y1124" s="53" t="n">
        <f aca="false">IF(COUNTIF($A$2:$A1124,A1124)=1,1,0)</f>
        <v>0</v>
      </c>
    </row>
    <row r="1125" customFormat="false" ht="15" hidden="false" customHeight="false" outlineLevel="0" collapsed="false">
      <c r="A1125" s="31" t="s">
        <v>845</v>
      </c>
      <c r="B1125" s="36" t="n">
        <v>46048</v>
      </c>
      <c r="C1125" s="49" t="n">
        <f aca="false">DATE(YEAR(B1125),MONTH(B1125),1)</f>
        <v>46023</v>
      </c>
      <c r="D1125" s="31" t="s">
        <v>222</v>
      </c>
      <c r="E1125" s="31" t="s">
        <v>43</v>
      </c>
      <c r="F1125" s="31" t="s">
        <v>45</v>
      </c>
      <c r="G1125" s="31" t="s">
        <v>59</v>
      </c>
      <c r="H1125" s="31" t="s">
        <v>173</v>
      </c>
      <c r="I1125" s="32" t="str">
        <f aca="false">INDEX(Productos!$B$2:$B$13,MATCH($H1125,Productos!$A$2:$A$13,0))</f>
        <v>Tornillo DIN 933 M12x70 clase 8.8</v>
      </c>
      <c r="J1125" s="32" t="str">
        <f aca="false">INDEX(Productos!$C$2:$C$13,MATCH($H1125,Productos!$A$2:$A$13,0))</f>
        <v>Métrica</v>
      </c>
      <c r="K1125" s="31" t="s">
        <v>246</v>
      </c>
      <c r="L1125" s="46" t="n">
        <v>27</v>
      </c>
      <c r="M1125" s="50" t="n">
        <f aca="false">INDEX(Productos!$F$2:$F$13,MATCH($H1125,Productos!$A$2:$A$13,0))</f>
        <v>64</v>
      </c>
      <c r="N1125" s="51" t="n">
        <v>0.158</v>
      </c>
      <c r="O1125" s="52" t="n">
        <f aca="false">M1125*(1-N1125)</f>
        <v>53.888</v>
      </c>
      <c r="P1125" s="21" t="n">
        <f aca="false">L1125*O1125</f>
        <v>1454.976</v>
      </c>
      <c r="Q1125" s="50" t="n">
        <f aca="false">INDEX(Productos!$E$2:$E$13,MATCH($H1125,Productos!$A$2:$A$13,0))*INDEX(Parametros!$B$26:$B$43,MATCH($C1125,Parametros!$A$26:$A$43,0))</f>
        <v>34.572</v>
      </c>
      <c r="R1125" s="21" t="n">
        <f aca="false">L1125*Q1125</f>
        <v>933.444</v>
      </c>
      <c r="S1125" s="18" t="n">
        <f aca="false">L1125*INDEX(Parametros!$B$20:$B$22,MATCH($E1125,Parametros!$A$20:$A$22,0))</f>
        <v>51.3</v>
      </c>
      <c r="T1125" s="18" t="n">
        <f aca="false">P1125*INDEX(Parametros!$B$13:$B$16,MATCH($F1125,Parametros!$A$13:$A$16,0))</f>
        <v>43.64928</v>
      </c>
      <c r="U1125" s="21" t="n">
        <f aca="false">P1125-R1125-S1125-T1125</f>
        <v>426.58272</v>
      </c>
      <c r="V1125" s="19" t="n">
        <f aca="false">IFERROR(U1125/P1125,0)</f>
        <v>0.293188836104513</v>
      </c>
      <c r="W1125" s="48" t="n">
        <f aca="false">B1125+INDEX(Parametros!$C$13:$C$16,MATCH($F1125,Parametros!$A$13:$A$16,0))</f>
        <v>46108</v>
      </c>
      <c r="X1125" s="31" t="s">
        <v>67</v>
      </c>
      <c r="Y1125" s="53" t="n">
        <f aca="false">IF(COUNTIF($A$2:$A1125,A1125)=1,1,0)</f>
        <v>1</v>
      </c>
    </row>
    <row r="1126" customFormat="false" ht="15" hidden="false" customHeight="false" outlineLevel="0" collapsed="false">
      <c r="A1126" s="31" t="s">
        <v>845</v>
      </c>
      <c r="B1126" s="36" t="n">
        <v>46048</v>
      </c>
      <c r="C1126" s="49" t="n">
        <f aca="false">DATE(YEAR(B1126),MONTH(B1126),1)</f>
        <v>46023</v>
      </c>
      <c r="D1126" s="31" t="s">
        <v>222</v>
      </c>
      <c r="E1126" s="31" t="s">
        <v>43</v>
      </c>
      <c r="F1126" s="31" t="s">
        <v>45</v>
      </c>
      <c r="G1126" s="31" t="s">
        <v>59</v>
      </c>
      <c r="H1126" s="31" t="s">
        <v>175</v>
      </c>
      <c r="I1126" s="32" t="str">
        <f aca="false">INDEX(Productos!$B$2:$B$13,MATCH($H1126,Productos!$A$2:$A$13,0))</f>
        <v>Tirafondo madera 5x60 cabeza plana Torx</v>
      </c>
      <c r="J1126" s="32" t="str">
        <f aca="false">INDEX(Productos!$C$2:$C$13,MATCH($H1126,Productos!$A$2:$A$13,0))</f>
        <v>Madera</v>
      </c>
      <c r="K1126" s="31" t="s">
        <v>246</v>
      </c>
      <c r="L1126" s="46" t="n">
        <v>71</v>
      </c>
      <c r="M1126" s="50" t="n">
        <f aca="false">INDEX(Productos!$F$2:$F$13,MATCH($H1126,Productos!$A$2:$A$13,0))</f>
        <v>26</v>
      </c>
      <c r="N1126" s="51" t="n">
        <v>0.159</v>
      </c>
      <c r="O1126" s="52" t="n">
        <f aca="false">M1126*(1-N1126)</f>
        <v>21.866</v>
      </c>
      <c r="P1126" s="21" t="n">
        <f aca="false">L1126*O1126</f>
        <v>1552.486</v>
      </c>
      <c r="Q1126" s="50" t="n">
        <f aca="false">INDEX(Productos!$E$2:$E$13,MATCH($H1126,Productos!$A$2:$A$13,0))*INDEX(Parametros!$B$26:$B$43,MATCH($C1126,Parametros!$A$26:$A$43,0))</f>
        <v>13.8288</v>
      </c>
      <c r="R1126" s="21" t="n">
        <f aca="false">L1126*Q1126</f>
        <v>981.8448</v>
      </c>
      <c r="S1126" s="18" t="n">
        <f aca="false">L1126*INDEX(Parametros!$B$20:$B$22,MATCH($E1126,Parametros!$A$20:$A$22,0))</f>
        <v>134.9</v>
      </c>
      <c r="T1126" s="18" t="n">
        <f aca="false">P1126*INDEX(Parametros!$B$13:$B$16,MATCH($F1126,Parametros!$A$13:$A$16,0))</f>
        <v>46.57458</v>
      </c>
      <c r="U1126" s="21" t="n">
        <f aca="false">P1126-R1126-S1126-T1126</f>
        <v>389.16662</v>
      </c>
      <c r="V1126" s="19" t="n">
        <f aca="false">IFERROR(U1126/P1126,0)</f>
        <v>0.250673191255831</v>
      </c>
      <c r="W1126" s="48" t="n">
        <f aca="false">B1126+INDEX(Parametros!$C$13:$C$16,MATCH($F1126,Parametros!$A$13:$A$16,0))</f>
        <v>46108</v>
      </c>
      <c r="X1126" s="31" t="s">
        <v>67</v>
      </c>
      <c r="Y1126" s="53" t="n">
        <f aca="false">IF(COUNTIF($A$2:$A1126,A1126)=1,1,0)</f>
        <v>0</v>
      </c>
    </row>
    <row r="1127" customFormat="false" ht="15" hidden="false" customHeight="false" outlineLevel="0" collapsed="false">
      <c r="A1127" s="31" t="s">
        <v>846</v>
      </c>
      <c r="B1127" s="36" t="n">
        <v>46048</v>
      </c>
      <c r="C1127" s="49" t="n">
        <f aca="false">DATE(YEAR(B1127),MONTH(B1127),1)</f>
        <v>46023</v>
      </c>
      <c r="D1127" s="31" t="s">
        <v>209</v>
      </c>
      <c r="E1127" s="31" t="s">
        <v>41</v>
      </c>
      <c r="F1127" s="31" t="s">
        <v>45</v>
      </c>
      <c r="G1127" s="31" t="s">
        <v>62</v>
      </c>
      <c r="H1127" s="31" t="s">
        <v>169</v>
      </c>
      <c r="I1127" s="32" t="str">
        <f aca="false">INDEX(Productos!$B$2:$B$13,MATCH($H1127,Productos!$A$2:$A$13,0))</f>
        <v>Tornillo DIN 912 M10x60 Allen inox A2</v>
      </c>
      <c r="J1127" s="32" t="str">
        <f aca="false">INDEX(Productos!$C$2:$C$13,MATCH($H1127,Productos!$A$2:$A$13,0))</f>
        <v>Inoxidable</v>
      </c>
      <c r="K1127" s="31" t="s">
        <v>246</v>
      </c>
      <c r="L1127" s="46" t="n">
        <v>91</v>
      </c>
      <c r="M1127" s="50" t="n">
        <f aca="false">INDEX(Productos!$F$2:$F$13,MATCH($H1127,Productos!$A$2:$A$13,0))</f>
        <v>79</v>
      </c>
      <c r="N1127" s="51" t="n">
        <v>0.148</v>
      </c>
      <c r="O1127" s="52" t="n">
        <f aca="false">M1127*(1-N1127)</f>
        <v>67.308</v>
      </c>
      <c r="P1127" s="21" t="n">
        <f aca="false">L1127*O1127</f>
        <v>6125.028</v>
      </c>
      <c r="Q1127" s="50" t="n">
        <f aca="false">INDEX(Productos!$E$2:$E$13,MATCH($H1127,Productos!$A$2:$A$13,0))*INDEX(Parametros!$B$26:$B$43,MATCH($C1127,Parametros!$A$26:$A$43,0))</f>
        <v>43.344</v>
      </c>
      <c r="R1127" s="21" t="n">
        <f aca="false">L1127*Q1127</f>
        <v>3944.304</v>
      </c>
      <c r="S1127" s="18" t="n">
        <f aca="false">L1127*INDEX(Parametros!$B$20:$B$22,MATCH($E1127,Parametros!$A$20:$A$22,0))</f>
        <v>77.35</v>
      </c>
      <c r="T1127" s="18" t="n">
        <f aca="false">P1127*INDEX(Parametros!$B$13:$B$16,MATCH($F1127,Parametros!$A$13:$A$16,0))</f>
        <v>183.75084</v>
      </c>
      <c r="U1127" s="21" t="n">
        <f aca="false">P1127-R1127-S1127-T1127</f>
        <v>1919.62316</v>
      </c>
      <c r="V1127" s="19" t="n">
        <f aca="false">IFERROR(U1127/P1127,0)</f>
        <v>0.313406430142034</v>
      </c>
      <c r="W1127" s="48" t="n">
        <f aca="false">B1127+INDEX(Parametros!$C$13:$C$16,MATCH($F1127,Parametros!$A$13:$A$16,0))</f>
        <v>46108</v>
      </c>
      <c r="X1127" s="31" t="s">
        <v>67</v>
      </c>
      <c r="Y1127" s="53" t="n">
        <f aca="false">IF(COUNTIF($A$2:$A1127,A1127)=1,1,0)</f>
        <v>1</v>
      </c>
    </row>
    <row r="1128" customFormat="false" ht="15" hidden="false" customHeight="false" outlineLevel="0" collapsed="false">
      <c r="A1128" s="31" t="s">
        <v>846</v>
      </c>
      <c r="B1128" s="36" t="n">
        <v>46048</v>
      </c>
      <c r="C1128" s="49" t="n">
        <f aca="false">DATE(YEAR(B1128),MONTH(B1128),1)</f>
        <v>46023</v>
      </c>
      <c r="D1128" s="31" t="s">
        <v>209</v>
      </c>
      <c r="E1128" s="31" t="s">
        <v>41</v>
      </c>
      <c r="F1128" s="31" t="s">
        <v>45</v>
      </c>
      <c r="G1128" s="31" t="s">
        <v>62</v>
      </c>
      <c r="H1128" s="31" t="s">
        <v>181</v>
      </c>
      <c r="I1128" s="32" t="str">
        <f aca="false">INDEX(Productos!$B$2:$B$13,MATCH($H1128,Productos!$A$2:$A$13,0))</f>
        <v>Autotaladrante 5,5x55 punta broca</v>
      </c>
      <c r="J1128" s="32" t="str">
        <f aca="false">INDEX(Productos!$C$2:$C$13,MATCH($H1128,Productos!$A$2:$A$13,0))</f>
        <v>Autotaladrante</v>
      </c>
      <c r="K1128" s="31" t="s">
        <v>246</v>
      </c>
      <c r="L1128" s="46" t="n">
        <v>96</v>
      </c>
      <c r="M1128" s="50" t="n">
        <f aca="false">INDEX(Productos!$F$2:$F$13,MATCH($H1128,Productos!$A$2:$A$13,0))</f>
        <v>39</v>
      </c>
      <c r="N1128" s="51" t="n">
        <v>0.121</v>
      </c>
      <c r="O1128" s="52" t="n">
        <f aca="false">M1128*(1-N1128)</f>
        <v>34.281</v>
      </c>
      <c r="P1128" s="21" t="n">
        <f aca="false">L1128*O1128</f>
        <v>3290.976</v>
      </c>
      <c r="Q1128" s="50" t="n">
        <f aca="false">INDEX(Productos!$E$2:$E$13,MATCH($H1128,Productos!$A$2:$A$13,0))*INDEX(Parametros!$B$26:$B$43,MATCH($C1128,Parametros!$A$26:$A$43,0))</f>
        <v>20.9496</v>
      </c>
      <c r="R1128" s="21" t="n">
        <f aca="false">L1128*Q1128</f>
        <v>2011.1616</v>
      </c>
      <c r="S1128" s="18" t="n">
        <f aca="false">L1128*INDEX(Parametros!$B$20:$B$22,MATCH($E1128,Parametros!$A$20:$A$22,0))</f>
        <v>81.6</v>
      </c>
      <c r="T1128" s="18" t="n">
        <f aca="false">P1128*INDEX(Parametros!$B$13:$B$16,MATCH($F1128,Parametros!$A$13:$A$16,0))</f>
        <v>98.72928</v>
      </c>
      <c r="U1128" s="21" t="n">
        <f aca="false">P1128-R1128-S1128-T1128</f>
        <v>1099.48512</v>
      </c>
      <c r="V1128" s="19" t="n">
        <f aca="false">IFERROR(U1128/P1128,0)</f>
        <v>0.33409089583151</v>
      </c>
      <c r="W1128" s="48" t="n">
        <f aca="false">B1128+INDEX(Parametros!$C$13:$C$16,MATCH($F1128,Parametros!$A$13:$A$16,0))</f>
        <v>46108</v>
      </c>
      <c r="X1128" s="31" t="s">
        <v>67</v>
      </c>
      <c r="Y1128" s="53" t="n">
        <f aca="false">IF(COUNTIF($A$2:$A1128,A1128)=1,1,0)</f>
        <v>0</v>
      </c>
    </row>
    <row r="1129" customFormat="false" ht="15" hidden="false" customHeight="false" outlineLevel="0" collapsed="false">
      <c r="A1129" s="31" t="s">
        <v>846</v>
      </c>
      <c r="B1129" s="36" t="n">
        <v>46048</v>
      </c>
      <c r="C1129" s="49" t="n">
        <f aca="false">DATE(YEAR(B1129),MONTH(B1129),1)</f>
        <v>46023</v>
      </c>
      <c r="D1129" s="31" t="s">
        <v>209</v>
      </c>
      <c r="E1129" s="31" t="s">
        <v>41</v>
      </c>
      <c r="F1129" s="31" t="s">
        <v>45</v>
      </c>
      <c r="G1129" s="31" t="s">
        <v>62</v>
      </c>
      <c r="H1129" s="31" t="s">
        <v>183</v>
      </c>
      <c r="I1129" s="32" t="str">
        <f aca="false">INDEX(Productos!$B$2:$B$13,MATCH($H1129,Productos!$A$2:$A$13,0))</f>
        <v>Tornillo estructural M16x90 clase 10.9</v>
      </c>
      <c r="J1129" s="32" t="str">
        <f aca="false">INDEX(Productos!$C$2:$C$13,MATCH($H1129,Productos!$A$2:$A$13,0))</f>
        <v>Especial</v>
      </c>
      <c r="K1129" s="31" t="s">
        <v>246</v>
      </c>
      <c r="L1129" s="46" t="n">
        <v>92</v>
      </c>
      <c r="M1129" s="50" t="n">
        <f aca="false">INDEX(Productos!$F$2:$F$13,MATCH($H1129,Productos!$A$2:$A$13,0))</f>
        <v>112</v>
      </c>
      <c r="N1129" s="51" t="n">
        <v>0.164</v>
      </c>
      <c r="O1129" s="52" t="n">
        <f aca="false">M1129*(1-N1129)</f>
        <v>93.632</v>
      </c>
      <c r="P1129" s="21" t="n">
        <f aca="false">L1129*O1129</f>
        <v>8614.144</v>
      </c>
      <c r="Q1129" s="50" t="n">
        <f aca="false">INDEX(Productos!$E$2:$E$13,MATCH($H1129,Productos!$A$2:$A$13,0))*INDEX(Parametros!$B$26:$B$43,MATCH($C1129,Parametros!$A$26:$A$43,0))</f>
        <v>61.92</v>
      </c>
      <c r="R1129" s="21" t="n">
        <f aca="false">L1129*Q1129</f>
        <v>5696.64</v>
      </c>
      <c r="S1129" s="18" t="n">
        <f aca="false">L1129*INDEX(Parametros!$B$20:$B$22,MATCH($E1129,Parametros!$A$20:$A$22,0))</f>
        <v>78.2</v>
      </c>
      <c r="T1129" s="18" t="n">
        <f aca="false">P1129*INDEX(Parametros!$B$13:$B$16,MATCH($F1129,Parametros!$A$13:$A$16,0))</f>
        <v>258.42432</v>
      </c>
      <c r="U1129" s="21" t="n">
        <f aca="false">P1129-R1129-S1129-T1129</f>
        <v>2580.87968</v>
      </c>
      <c r="V1129" s="19" t="n">
        <f aca="false">IFERROR(U1129/P1129,0)</f>
        <v>0.29960953520164</v>
      </c>
      <c r="W1129" s="48" t="n">
        <f aca="false">B1129+INDEX(Parametros!$C$13:$C$16,MATCH($F1129,Parametros!$A$13:$A$16,0))</f>
        <v>46108</v>
      </c>
      <c r="X1129" s="31" t="s">
        <v>67</v>
      </c>
      <c r="Y1129" s="53" t="n">
        <f aca="false">IF(COUNTIF($A$2:$A1129,A1129)=1,1,0)</f>
        <v>0</v>
      </c>
    </row>
    <row r="1130" customFormat="false" ht="15" hidden="false" customHeight="false" outlineLevel="0" collapsed="false">
      <c r="A1130" s="31" t="s">
        <v>847</v>
      </c>
      <c r="B1130" s="36" t="n">
        <v>46048</v>
      </c>
      <c r="C1130" s="49" t="n">
        <f aca="false">DATE(YEAR(B1130),MONTH(B1130),1)</f>
        <v>46023</v>
      </c>
      <c r="D1130" s="31" t="s">
        <v>219</v>
      </c>
      <c r="E1130" s="31" t="s">
        <v>42</v>
      </c>
      <c r="F1130" s="31" t="s">
        <v>45</v>
      </c>
      <c r="G1130" s="31" t="s">
        <v>61</v>
      </c>
      <c r="H1130" s="31" t="s">
        <v>163</v>
      </c>
      <c r="I1130" s="32" t="str">
        <f aca="false">INDEX(Productos!$B$2:$B$13,MATCH($H1130,Productos!$A$2:$A$13,0))</f>
        <v>Tornillo DIN 933 M6x30 rosca completa zincado</v>
      </c>
      <c r="J1130" s="32" t="str">
        <f aca="false">INDEX(Productos!$C$2:$C$13,MATCH($H1130,Productos!$A$2:$A$13,0))</f>
        <v>Métrica</v>
      </c>
      <c r="K1130" s="31" t="s">
        <v>246</v>
      </c>
      <c r="L1130" s="46" t="n">
        <v>52</v>
      </c>
      <c r="M1130" s="50" t="n">
        <f aca="false">INDEX(Productos!$F$2:$F$13,MATCH($H1130,Productos!$A$2:$A$13,0))</f>
        <v>32</v>
      </c>
      <c r="N1130" s="51" t="n">
        <v>0.165</v>
      </c>
      <c r="O1130" s="52" t="n">
        <f aca="false">M1130*(1-N1130)</f>
        <v>26.72</v>
      </c>
      <c r="P1130" s="21" t="n">
        <f aca="false">L1130*O1130</f>
        <v>1389.44</v>
      </c>
      <c r="Q1130" s="50" t="n">
        <f aca="false">INDEX(Productos!$E$2:$E$13,MATCH($H1130,Productos!$A$2:$A$13,0))*INDEX(Parametros!$B$26:$B$43,MATCH($C1130,Parametros!$A$26:$A$43,0))</f>
        <v>17.1312</v>
      </c>
      <c r="R1130" s="21" t="n">
        <f aca="false">L1130*Q1130</f>
        <v>890.8224</v>
      </c>
      <c r="S1130" s="18" t="n">
        <f aca="false">L1130*INDEX(Parametros!$B$20:$B$22,MATCH($E1130,Parametros!$A$20:$A$22,0))</f>
        <v>124.8</v>
      </c>
      <c r="T1130" s="18" t="n">
        <f aca="false">P1130*INDEX(Parametros!$B$13:$B$16,MATCH($F1130,Parametros!$A$13:$A$16,0))</f>
        <v>41.6832</v>
      </c>
      <c r="U1130" s="21" t="n">
        <f aca="false">P1130-R1130-S1130-T1130</f>
        <v>332.1344</v>
      </c>
      <c r="V1130" s="19" t="n">
        <f aca="false">IFERROR(U1130/P1130,0)</f>
        <v>0.239041916167665</v>
      </c>
      <c r="W1130" s="48" t="n">
        <f aca="false">B1130+INDEX(Parametros!$C$13:$C$16,MATCH($F1130,Parametros!$A$13:$A$16,0))</f>
        <v>46108</v>
      </c>
      <c r="X1130" s="31" t="s">
        <v>67</v>
      </c>
      <c r="Y1130" s="53" t="n">
        <f aca="false">IF(COUNTIF($A$2:$A1130,A1130)=1,1,0)</f>
        <v>1</v>
      </c>
    </row>
    <row r="1131" customFormat="false" ht="15" hidden="false" customHeight="false" outlineLevel="0" collapsed="false">
      <c r="A1131" s="31" t="s">
        <v>847</v>
      </c>
      <c r="B1131" s="36" t="n">
        <v>46048</v>
      </c>
      <c r="C1131" s="49" t="n">
        <f aca="false">DATE(YEAR(B1131),MONTH(B1131),1)</f>
        <v>46023</v>
      </c>
      <c r="D1131" s="31" t="s">
        <v>219</v>
      </c>
      <c r="E1131" s="31" t="s">
        <v>42</v>
      </c>
      <c r="F1131" s="31" t="s">
        <v>45</v>
      </c>
      <c r="G1131" s="31" t="s">
        <v>61</v>
      </c>
      <c r="H1131" s="31" t="s">
        <v>171</v>
      </c>
      <c r="I1131" s="32" t="str">
        <f aca="false">INDEX(Productos!$B$2:$B$13,MATCH($H1131,Productos!$A$2:$A$13,0))</f>
        <v>Tornillo DIN 7991 M8x30 avellanado inox A2</v>
      </c>
      <c r="J1131" s="32" t="str">
        <f aca="false">INDEX(Productos!$C$2:$C$13,MATCH($H1131,Productos!$A$2:$A$13,0))</f>
        <v>Inoxidable</v>
      </c>
      <c r="K1131" s="31" t="s">
        <v>246</v>
      </c>
      <c r="L1131" s="46" t="n">
        <v>21</v>
      </c>
      <c r="M1131" s="50" t="n">
        <f aca="false">INDEX(Productos!$F$2:$F$13,MATCH($H1131,Productos!$A$2:$A$13,0))</f>
        <v>88</v>
      </c>
      <c r="N1131" s="51" t="n">
        <v>0.21</v>
      </c>
      <c r="O1131" s="52" t="n">
        <f aca="false">M1131*(1-N1131)</f>
        <v>69.52</v>
      </c>
      <c r="P1131" s="21" t="n">
        <f aca="false">L1131*O1131</f>
        <v>1459.92</v>
      </c>
      <c r="Q1131" s="50" t="n">
        <f aca="false">INDEX(Productos!$E$2:$E$13,MATCH($H1131,Productos!$A$2:$A$13,0))*INDEX(Parametros!$B$26:$B$43,MATCH($C1131,Parametros!$A$26:$A$43,0))</f>
        <v>47.988</v>
      </c>
      <c r="R1131" s="21" t="n">
        <f aca="false">L1131*Q1131</f>
        <v>1007.748</v>
      </c>
      <c r="S1131" s="18" t="n">
        <f aca="false">L1131*INDEX(Parametros!$B$20:$B$22,MATCH($E1131,Parametros!$A$20:$A$22,0))</f>
        <v>50.4</v>
      </c>
      <c r="T1131" s="18" t="n">
        <f aca="false">P1131*INDEX(Parametros!$B$13:$B$16,MATCH($F1131,Parametros!$A$13:$A$16,0))</f>
        <v>43.7976</v>
      </c>
      <c r="U1131" s="21" t="n">
        <f aca="false">P1131-R1131-S1131-T1131</f>
        <v>357.9744</v>
      </c>
      <c r="V1131" s="19" t="n">
        <f aca="false">IFERROR(U1131/P1131,0)</f>
        <v>0.245201380897584</v>
      </c>
      <c r="W1131" s="48" t="n">
        <f aca="false">B1131+INDEX(Parametros!$C$13:$C$16,MATCH($F1131,Parametros!$A$13:$A$16,0))</f>
        <v>46108</v>
      </c>
      <c r="X1131" s="31" t="s">
        <v>67</v>
      </c>
      <c r="Y1131" s="53" t="n">
        <f aca="false">IF(COUNTIF($A$2:$A1131,A1131)=1,1,0)</f>
        <v>0</v>
      </c>
    </row>
    <row r="1132" customFormat="false" ht="15" hidden="false" customHeight="false" outlineLevel="0" collapsed="false">
      <c r="A1132" s="31" t="s">
        <v>847</v>
      </c>
      <c r="B1132" s="36" t="n">
        <v>46048</v>
      </c>
      <c r="C1132" s="49" t="n">
        <f aca="false">DATE(YEAR(B1132),MONTH(B1132),1)</f>
        <v>46023</v>
      </c>
      <c r="D1132" s="31" t="s">
        <v>219</v>
      </c>
      <c r="E1132" s="31" t="s">
        <v>42</v>
      </c>
      <c r="F1132" s="31" t="s">
        <v>45</v>
      </c>
      <c r="G1132" s="31" t="s">
        <v>61</v>
      </c>
      <c r="H1132" s="31" t="s">
        <v>169</v>
      </c>
      <c r="I1132" s="32" t="str">
        <f aca="false">INDEX(Productos!$B$2:$B$13,MATCH($H1132,Productos!$A$2:$A$13,0))</f>
        <v>Tornillo DIN 912 M10x60 Allen inox A2</v>
      </c>
      <c r="J1132" s="32" t="str">
        <f aca="false">INDEX(Productos!$C$2:$C$13,MATCH($H1132,Productos!$A$2:$A$13,0))</f>
        <v>Inoxidable</v>
      </c>
      <c r="K1132" s="31" t="s">
        <v>246</v>
      </c>
      <c r="L1132" s="46" t="n">
        <v>123</v>
      </c>
      <c r="M1132" s="50" t="n">
        <f aca="false">INDEX(Productos!$F$2:$F$13,MATCH($H1132,Productos!$A$2:$A$13,0))</f>
        <v>79</v>
      </c>
      <c r="N1132" s="51" t="n">
        <v>0.168</v>
      </c>
      <c r="O1132" s="52" t="n">
        <f aca="false">M1132*(1-N1132)</f>
        <v>65.728</v>
      </c>
      <c r="P1132" s="21" t="n">
        <f aca="false">L1132*O1132</f>
        <v>8084.544</v>
      </c>
      <c r="Q1132" s="50" t="n">
        <f aca="false">INDEX(Productos!$E$2:$E$13,MATCH($H1132,Productos!$A$2:$A$13,0))*INDEX(Parametros!$B$26:$B$43,MATCH($C1132,Parametros!$A$26:$A$43,0))</f>
        <v>43.344</v>
      </c>
      <c r="R1132" s="21" t="n">
        <f aca="false">L1132*Q1132</f>
        <v>5331.312</v>
      </c>
      <c r="S1132" s="18" t="n">
        <f aca="false">L1132*INDEX(Parametros!$B$20:$B$22,MATCH($E1132,Parametros!$A$20:$A$22,0))</f>
        <v>295.2</v>
      </c>
      <c r="T1132" s="18" t="n">
        <f aca="false">P1132*INDEX(Parametros!$B$13:$B$16,MATCH($F1132,Parametros!$A$13:$A$16,0))</f>
        <v>242.53632</v>
      </c>
      <c r="U1132" s="21" t="n">
        <f aca="false">P1132-R1132-S1132-T1132</f>
        <v>2215.49568</v>
      </c>
      <c r="V1132" s="19" t="n">
        <f aca="false">IFERROR(U1132/P1132,0)</f>
        <v>0.274040895813048</v>
      </c>
      <c r="W1132" s="48" t="n">
        <f aca="false">B1132+INDEX(Parametros!$C$13:$C$16,MATCH($F1132,Parametros!$A$13:$A$16,0))</f>
        <v>46108</v>
      </c>
      <c r="X1132" s="31" t="s">
        <v>69</v>
      </c>
      <c r="Y1132" s="53" t="n">
        <f aca="false">IF(COUNTIF($A$2:$A1132,A1132)=1,1,0)</f>
        <v>0</v>
      </c>
    </row>
    <row r="1133" customFormat="false" ht="15" hidden="false" customHeight="false" outlineLevel="0" collapsed="false">
      <c r="A1133" s="31" t="s">
        <v>848</v>
      </c>
      <c r="B1133" s="36" t="n">
        <v>46049</v>
      </c>
      <c r="C1133" s="49" t="n">
        <f aca="false">DATE(YEAR(B1133),MONTH(B1133),1)</f>
        <v>46023</v>
      </c>
      <c r="D1133" s="31" t="s">
        <v>211</v>
      </c>
      <c r="E1133" s="31" t="s">
        <v>41</v>
      </c>
      <c r="F1133" s="31" t="s">
        <v>48</v>
      </c>
      <c r="G1133" s="31" t="s">
        <v>60</v>
      </c>
      <c r="H1133" s="31" t="s">
        <v>185</v>
      </c>
      <c r="I1133" s="32" t="str">
        <f aca="false">INDEX(Productos!$B$2:$B$13,MATCH($H1133,Productos!$A$2:$A$13,0))</f>
        <v>Varilla roscada M10 x 1 m zincada</v>
      </c>
      <c r="J1133" s="32" t="str">
        <f aca="false">INDEX(Productos!$C$2:$C$13,MATCH($H1133,Productos!$A$2:$A$13,0))</f>
        <v>Especial</v>
      </c>
      <c r="K1133" s="31" t="s">
        <v>246</v>
      </c>
      <c r="L1133" s="46" t="n">
        <v>41</v>
      </c>
      <c r="M1133" s="50" t="n">
        <f aca="false">INDEX(Productos!$F$2:$F$13,MATCH($H1133,Productos!$A$2:$A$13,0))</f>
        <v>54</v>
      </c>
      <c r="N1133" s="51" t="n">
        <v>0.026</v>
      </c>
      <c r="O1133" s="52" t="n">
        <f aca="false">M1133*(1-N1133)</f>
        <v>52.596</v>
      </c>
      <c r="P1133" s="21" t="n">
        <f aca="false">L1133*O1133</f>
        <v>2156.436</v>
      </c>
      <c r="Q1133" s="50" t="n">
        <f aca="false">INDEX(Productos!$E$2:$E$13,MATCH($H1133,Productos!$A$2:$A$13,0))*INDEX(Parametros!$B$26:$B$43,MATCH($C1133,Parametros!$A$26:$A$43,0))</f>
        <v>29.412</v>
      </c>
      <c r="R1133" s="21" t="n">
        <f aca="false">L1133*Q1133</f>
        <v>1205.892</v>
      </c>
      <c r="S1133" s="18" t="n">
        <f aca="false">L1133*INDEX(Parametros!$B$20:$B$22,MATCH($E1133,Parametros!$A$20:$A$22,0))</f>
        <v>34.85</v>
      </c>
      <c r="T1133" s="18" t="n">
        <f aca="false">P1133*INDEX(Parametros!$B$13:$B$16,MATCH($F1133,Parametros!$A$13:$A$16,0))</f>
        <v>21.56436</v>
      </c>
      <c r="U1133" s="21" t="n">
        <f aca="false">P1133-R1133-S1133-T1133</f>
        <v>894.12964</v>
      </c>
      <c r="V1133" s="19" t="n">
        <f aca="false">IFERROR(U1133/P1133,0)</f>
        <v>0.414633051943113</v>
      </c>
      <c r="W1133" s="48" t="n">
        <f aca="false">B1133+INDEX(Parametros!$C$13:$C$16,MATCH($F1133,Parametros!$A$13:$A$16,0))</f>
        <v>46049</v>
      </c>
      <c r="X1133" s="31" t="s">
        <v>67</v>
      </c>
      <c r="Y1133" s="53" t="n">
        <f aca="false">IF(COUNTIF($A$2:$A1133,A1133)=1,1,0)</f>
        <v>1</v>
      </c>
    </row>
    <row r="1134" customFormat="false" ht="15" hidden="false" customHeight="false" outlineLevel="0" collapsed="false">
      <c r="A1134" s="31" t="s">
        <v>848</v>
      </c>
      <c r="B1134" s="36" t="n">
        <v>46049</v>
      </c>
      <c r="C1134" s="49" t="n">
        <f aca="false">DATE(YEAR(B1134),MONTH(B1134),1)</f>
        <v>46023</v>
      </c>
      <c r="D1134" s="31" t="s">
        <v>211</v>
      </c>
      <c r="E1134" s="31" t="s">
        <v>41</v>
      </c>
      <c r="F1134" s="31" t="s">
        <v>48</v>
      </c>
      <c r="G1134" s="31" t="s">
        <v>60</v>
      </c>
      <c r="H1134" s="31" t="s">
        <v>163</v>
      </c>
      <c r="I1134" s="32" t="str">
        <f aca="false">INDEX(Productos!$B$2:$B$13,MATCH($H1134,Productos!$A$2:$A$13,0))</f>
        <v>Tornillo DIN 933 M6x30 rosca completa zincado</v>
      </c>
      <c r="J1134" s="32" t="str">
        <f aca="false">INDEX(Productos!$C$2:$C$13,MATCH($H1134,Productos!$A$2:$A$13,0))</f>
        <v>Métrica</v>
      </c>
      <c r="K1134" s="31" t="s">
        <v>246</v>
      </c>
      <c r="L1134" s="46" t="n">
        <v>4</v>
      </c>
      <c r="M1134" s="50" t="n">
        <f aca="false">INDEX(Productos!$F$2:$F$13,MATCH($H1134,Productos!$A$2:$A$13,0))</f>
        <v>32</v>
      </c>
      <c r="N1134" s="51" t="n">
        <v>0.048</v>
      </c>
      <c r="O1134" s="52" t="n">
        <f aca="false">M1134*(1-N1134)</f>
        <v>30.464</v>
      </c>
      <c r="P1134" s="21" t="n">
        <f aca="false">L1134*O1134</f>
        <v>121.856</v>
      </c>
      <c r="Q1134" s="50" t="n">
        <f aca="false">INDEX(Productos!$E$2:$E$13,MATCH($H1134,Productos!$A$2:$A$13,0))*INDEX(Parametros!$B$26:$B$43,MATCH($C1134,Parametros!$A$26:$A$43,0))</f>
        <v>17.1312</v>
      </c>
      <c r="R1134" s="21" t="n">
        <f aca="false">L1134*Q1134</f>
        <v>68.5248</v>
      </c>
      <c r="S1134" s="18" t="n">
        <f aca="false">L1134*INDEX(Parametros!$B$20:$B$22,MATCH($E1134,Parametros!$A$20:$A$22,0))</f>
        <v>3.4</v>
      </c>
      <c r="T1134" s="18" t="n">
        <f aca="false">P1134*INDEX(Parametros!$B$13:$B$16,MATCH($F1134,Parametros!$A$13:$A$16,0))</f>
        <v>1.21856</v>
      </c>
      <c r="U1134" s="21" t="n">
        <f aca="false">P1134-R1134-S1134-T1134</f>
        <v>48.71264</v>
      </c>
      <c r="V1134" s="19" t="n">
        <f aca="false">IFERROR(U1134/P1134,0)</f>
        <v>0.399755777310924</v>
      </c>
      <c r="W1134" s="48" t="n">
        <f aca="false">B1134+INDEX(Parametros!$C$13:$C$16,MATCH($F1134,Parametros!$A$13:$A$16,0))</f>
        <v>46049</v>
      </c>
      <c r="X1134" s="31" t="s">
        <v>67</v>
      </c>
      <c r="Y1134" s="53" t="n">
        <f aca="false">IF(COUNTIF($A$2:$A1134,A1134)=1,1,0)</f>
        <v>0</v>
      </c>
    </row>
    <row r="1135" customFormat="false" ht="15" hidden="false" customHeight="false" outlineLevel="0" collapsed="false">
      <c r="A1135" s="31" t="s">
        <v>849</v>
      </c>
      <c r="B1135" s="36" t="n">
        <v>46049</v>
      </c>
      <c r="C1135" s="49" t="n">
        <f aca="false">DATE(YEAR(B1135),MONTH(B1135),1)</f>
        <v>46023</v>
      </c>
      <c r="D1135" s="31" t="s">
        <v>226</v>
      </c>
      <c r="E1135" s="31" t="s">
        <v>43</v>
      </c>
      <c r="F1135" s="31" t="s">
        <v>46</v>
      </c>
      <c r="G1135" s="31" t="s">
        <v>59</v>
      </c>
      <c r="H1135" s="31" t="s">
        <v>171</v>
      </c>
      <c r="I1135" s="32" t="str">
        <f aca="false">INDEX(Productos!$B$2:$B$13,MATCH($H1135,Productos!$A$2:$A$13,0))</f>
        <v>Tornillo DIN 7991 M8x30 avellanado inox A2</v>
      </c>
      <c r="J1135" s="32" t="str">
        <f aca="false">INDEX(Productos!$C$2:$C$13,MATCH($H1135,Productos!$A$2:$A$13,0))</f>
        <v>Inoxidable</v>
      </c>
      <c r="K1135" s="31" t="s">
        <v>246</v>
      </c>
      <c r="L1135" s="46" t="n">
        <v>53</v>
      </c>
      <c r="M1135" s="50" t="n">
        <f aca="false">INDEX(Productos!$F$2:$F$13,MATCH($H1135,Productos!$A$2:$A$13,0))</f>
        <v>88</v>
      </c>
      <c r="N1135" s="51" t="n">
        <v>0.15</v>
      </c>
      <c r="O1135" s="52" t="n">
        <f aca="false">M1135*(1-N1135)</f>
        <v>74.8</v>
      </c>
      <c r="P1135" s="21" t="n">
        <f aca="false">L1135*O1135</f>
        <v>3964.4</v>
      </c>
      <c r="Q1135" s="50" t="n">
        <f aca="false">INDEX(Productos!$E$2:$E$13,MATCH($H1135,Productos!$A$2:$A$13,0))*INDEX(Parametros!$B$26:$B$43,MATCH($C1135,Parametros!$A$26:$A$43,0))</f>
        <v>47.988</v>
      </c>
      <c r="R1135" s="21" t="n">
        <f aca="false">L1135*Q1135</f>
        <v>2543.364</v>
      </c>
      <c r="S1135" s="18" t="n">
        <f aca="false">L1135*INDEX(Parametros!$B$20:$B$22,MATCH($E1135,Parametros!$A$20:$A$22,0))</f>
        <v>100.7</v>
      </c>
      <c r="T1135" s="18" t="n">
        <f aca="false">P1135*INDEX(Parametros!$B$13:$B$16,MATCH($F1135,Parametros!$A$13:$A$16,0))</f>
        <v>158.576</v>
      </c>
      <c r="U1135" s="21" t="n">
        <f aca="false">P1135-R1135-S1135-T1135</f>
        <v>1161.76</v>
      </c>
      <c r="V1135" s="19" t="n">
        <f aca="false">IFERROR(U1135/P1135,0)</f>
        <v>0.293048128342246</v>
      </c>
      <c r="W1135" s="48" t="n">
        <f aca="false">B1135+INDEX(Parametros!$C$13:$C$16,MATCH($F1135,Parametros!$A$13:$A$16,0))</f>
        <v>46124</v>
      </c>
      <c r="X1135" s="31" t="s">
        <v>67</v>
      </c>
      <c r="Y1135" s="53" t="n">
        <f aca="false">IF(COUNTIF($A$2:$A1135,A1135)=1,1,0)</f>
        <v>1</v>
      </c>
    </row>
    <row r="1136" customFormat="false" ht="15" hidden="false" customHeight="false" outlineLevel="0" collapsed="false">
      <c r="A1136" s="31" t="s">
        <v>850</v>
      </c>
      <c r="B1136" s="36" t="n">
        <v>46049</v>
      </c>
      <c r="C1136" s="49" t="n">
        <f aca="false">DATE(YEAR(B1136),MONTH(B1136),1)</f>
        <v>46023</v>
      </c>
      <c r="D1136" s="31" t="s">
        <v>211</v>
      </c>
      <c r="E1136" s="31" t="s">
        <v>41</v>
      </c>
      <c r="F1136" s="31" t="s">
        <v>48</v>
      </c>
      <c r="G1136" s="31" t="s">
        <v>60</v>
      </c>
      <c r="H1136" s="31" t="s">
        <v>169</v>
      </c>
      <c r="I1136" s="32" t="str">
        <f aca="false">INDEX(Productos!$B$2:$B$13,MATCH($H1136,Productos!$A$2:$A$13,0))</f>
        <v>Tornillo DIN 912 M10x60 Allen inox A2</v>
      </c>
      <c r="J1136" s="32" t="str">
        <f aca="false">INDEX(Productos!$C$2:$C$13,MATCH($H1136,Productos!$A$2:$A$13,0))</f>
        <v>Inoxidable</v>
      </c>
      <c r="K1136" s="31" t="s">
        <v>246</v>
      </c>
      <c r="L1136" s="46" t="n">
        <v>23</v>
      </c>
      <c r="M1136" s="50" t="n">
        <f aca="false">INDEX(Productos!$F$2:$F$13,MATCH($H1136,Productos!$A$2:$A$13,0))</f>
        <v>79</v>
      </c>
      <c r="N1136" s="51" t="n">
        <v>0.031</v>
      </c>
      <c r="O1136" s="52" t="n">
        <f aca="false">M1136*(1-N1136)</f>
        <v>76.551</v>
      </c>
      <c r="P1136" s="21" t="n">
        <f aca="false">L1136*O1136</f>
        <v>1760.673</v>
      </c>
      <c r="Q1136" s="50" t="n">
        <f aca="false">INDEX(Productos!$E$2:$E$13,MATCH($H1136,Productos!$A$2:$A$13,0))*INDEX(Parametros!$B$26:$B$43,MATCH($C1136,Parametros!$A$26:$A$43,0))</f>
        <v>43.344</v>
      </c>
      <c r="R1136" s="21" t="n">
        <f aca="false">L1136*Q1136</f>
        <v>996.912</v>
      </c>
      <c r="S1136" s="18" t="n">
        <f aca="false">L1136*INDEX(Parametros!$B$20:$B$22,MATCH($E1136,Parametros!$A$20:$A$22,0))</f>
        <v>19.55</v>
      </c>
      <c r="T1136" s="18" t="n">
        <f aca="false">P1136*INDEX(Parametros!$B$13:$B$16,MATCH($F1136,Parametros!$A$13:$A$16,0))</f>
        <v>17.60673</v>
      </c>
      <c r="U1136" s="21" t="n">
        <f aca="false">P1136-R1136-S1136-T1136</f>
        <v>726.60427</v>
      </c>
      <c r="V1136" s="19" t="n">
        <f aca="false">IFERROR(U1136/P1136,0)</f>
        <v>0.412685529908166</v>
      </c>
      <c r="W1136" s="48" t="n">
        <f aca="false">B1136+INDEX(Parametros!$C$13:$C$16,MATCH($F1136,Parametros!$A$13:$A$16,0))</f>
        <v>46049</v>
      </c>
      <c r="X1136" s="31" t="s">
        <v>67</v>
      </c>
      <c r="Y1136" s="53" t="n">
        <f aca="false">IF(COUNTIF($A$2:$A1136,A1136)=1,1,0)</f>
        <v>1</v>
      </c>
    </row>
    <row r="1137" customFormat="false" ht="15" hidden="false" customHeight="false" outlineLevel="0" collapsed="false">
      <c r="A1137" s="31" t="s">
        <v>850</v>
      </c>
      <c r="B1137" s="36" t="n">
        <v>46049</v>
      </c>
      <c r="C1137" s="49" t="n">
        <f aca="false">DATE(YEAR(B1137),MONTH(B1137),1)</f>
        <v>46023</v>
      </c>
      <c r="D1137" s="31" t="s">
        <v>211</v>
      </c>
      <c r="E1137" s="31" t="s">
        <v>41</v>
      </c>
      <c r="F1137" s="31" t="s">
        <v>48</v>
      </c>
      <c r="G1137" s="31" t="s">
        <v>60</v>
      </c>
      <c r="H1137" s="31" t="s">
        <v>167</v>
      </c>
      <c r="I1137" s="32" t="str">
        <f aca="false">INDEX(Productos!$B$2:$B$13,MATCH($H1137,Productos!$A$2:$A$13,0))</f>
        <v>Tornillo DIN 912 M6x25 Allen zincado</v>
      </c>
      <c r="J1137" s="32" t="str">
        <f aca="false">INDEX(Productos!$C$2:$C$13,MATCH($H1137,Productos!$A$2:$A$13,0))</f>
        <v>Métrica</v>
      </c>
      <c r="K1137" s="31" t="s">
        <v>246</v>
      </c>
      <c r="L1137" s="46" t="n">
        <v>38</v>
      </c>
      <c r="M1137" s="50" t="n">
        <f aca="false">INDEX(Productos!$F$2:$F$13,MATCH($H1137,Productos!$A$2:$A$13,0))</f>
        <v>42</v>
      </c>
      <c r="N1137" s="51" t="n">
        <v>0.011</v>
      </c>
      <c r="O1137" s="52" t="n">
        <f aca="false">M1137*(1-N1137)</f>
        <v>41.538</v>
      </c>
      <c r="P1137" s="21" t="n">
        <f aca="false">L1137*O1137</f>
        <v>1578.444</v>
      </c>
      <c r="Q1137" s="50" t="n">
        <f aca="false">INDEX(Productos!$E$2:$E$13,MATCH($H1137,Productos!$A$2:$A$13,0))*INDEX(Parametros!$B$26:$B$43,MATCH($C1137,Parametros!$A$26:$A$43,0))</f>
        <v>22.4976</v>
      </c>
      <c r="R1137" s="21" t="n">
        <f aca="false">L1137*Q1137</f>
        <v>854.9088</v>
      </c>
      <c r="S1137" s="18" t="n">
        <f aca="false">L1137*INDEX(Parametros!$B$20:$B$22,MATCH($E1137,Parametros!$A$20:$A$22,0))</f>
        <v>32.3</v>
      </c>
      <c r="T1137" s="18" t="n">
        <f aca="false">P1137*INDEX(Parametros!$B$13:$B$16,MATCH($F1137,Parametros!$A$13:$A$16,0))</f>
        <v>15.78444</v>
      </c>
      <c r="U1137" s="21" t="n">
        <f aca="false">P1137-R1137-S1137-T1137</f>
        <v>675.45076</v>
      </c>
      <c r="V1137" s="19" t="n">
        <f aca="false">IFERROR(U1137/P1137,0)</f>
        <v>0.427921902835957</v>
      </c>
      <c r="W1137" s="48" t="n">
        <f aca="false">B1137+INDEX(Parametros!$C$13:$C$16,MATCH($F1137,Parametros!$A$13:$A$16,0))</f>
        <v>46049</v>
      </c>
      <c r="X1137" s="31" t="s">
        <v>67</v>
      </c>
      <c r="Y1137" s="53" t="n">
        <f aca="false">IF(COUNTIF($A$2:$A1137,A1137)=1,1,0)</f>
        <v>0</v>
      </c>
    </row>
    <row r="1138" customFormat="false" ht="15" hidden="false" customHeight="false" outlineLevel="0" collapsed="false">
      <c r="A1138" s="31" t="s">
        <v>851</v>
      </c>
      <c r="B1138" s="36" t="n">
        <v>46049</v>
      </c>
      <c r="C1138" s="49" t="n">
        <f aca="false">DATE(YEAR(B1138),MONTH(B1138),1)</f>
        <v>46023</v>
      </c>
      <c r="D1138" s="31" t="s">
        <v>215</v>
      </c>
      <c r="E1138" s="31" t="s">
        <v>42</v>
      </c>
      <c r="F1138" s="31" t="s">
        <v>46</v>
      </c>
      <c r="G1138" s="31" t="s">
        <v>61</v>
      </c>
      <c r="H1138" s="31" t="s">
        <v>169</v>
      </c>
      <c r="I1138" s="32" t="str">
        <f aca="false">INDEX(Productos!$B$2:$B$13,MATCH($H1138,Productos!$A$2:$A$13,0))</f>
        <v>Tornillo DIN 912 M10x60 Allen inox A2</v>
      </c>
      <c r="J1138" s="32" t="str">
        <f aca="false">INDEX(Productos!$C$2:$C$13,MATCH($H1138,Productos!$A$2:$A$13,0))</f>
        <v>Inoxidable</v>
      </c>
      <c r="K1138" s="31" t="s">
        <v>246</v>
      </c>
      <c r="L1138" s="46" t="n">
        <v>162</v>
      </c>
      <c r="M1138" s="50" t="n">
        <f aca="false">INDEX(Productos!$F$2:$F$13,MATCH($H1138,Productos!$A$2:$A$13,0))</f>
        <v>79</v>
      </c>
      <c r="N1138" s="51" t="n">
        <v>0.095</v>
      </c>
      <c r="O1138" s="52" t="n">
        <f aca="false">M1138*(1-N1138)</f>
        <v>71.495</v>
      </c>
      <c r="P1138" s="21" t="n">
        <f aca="false">L1138*O1138</f>
        <v>11582.19</v>
      </c>
      <c r="Q1138" s="50" t="n">
        <f aca="false">INDEX(Productos!$E$2:$E$13,MATCH($H1138,Productos!$A$2:$A$13,0))*INDEX(Parametros!$B$26:$B$43,MATCH($C1138,Parametros!$A$26:$A$43,0))</f>
        <v>43.344</v>
      </c>
      <c r="R1138" s="21" t="n">
        <f aca="false">L1138*Q1138</f>
        <v>7021.728</v>
      </c>
      <c r="S1138" s="18" t="n">
        <f aca="false">L1138*INDEX(Parametros!$B$20:$B$22,MATCH($E1138,Parametros!$A$20:$A$22,0))</f>
        <v>388.8</v>
      </c>
      <c r="T1138" s="18" t="n">
        <f aca="false">P1138*INDEX(Parametros!$B$13:$B$16,MATCH($F1138,Parametros!$A$13:$A$16,0))</f>
        <v>463.2876</v>
      </c>
      <c r="U1138" s="21" t="n">
        <f aca="false">P1138-R1138-S1138-T1138</f>
        <v>3708.3744</v>
      </c>
      <c r="V1138" s="19" t="n">
        <f aca="false">IFERROR(U1138/P1138,0)</f>
        <v>0.320179033498846</v>
      </c>
      <c r="W1138" s="48" t="n">
        <f aca="false">B1138+INDEX(Parametros!$C$13:$C$16,MATCH($F1138,Parametros!$A$13:$A$16,0))</f>
        <v>46124</v>
      </c>
      <c r="X1138" s="31" t="s">
        <v>67</v>
      </c>
      <c r="Y1138" s="53" t="n">
        <f aca="false">IF(COUNTIF($A$2:$A1138,A1138)=1,1,0)</f>
        <v>1</v>
      </c>
    </row>
    <row r="1139" customFormat="false" ht="15" hidden="false" customHeight="false" outlineLevel="0" collapsed="false">
      <c r="A1139" s="31" t="s">
        <v>851</v>
      </c>
      <c r="B1139" s="36" t="n">
        <v>46049</v>
      </c>
      <c r="C1139" s="49" t="n">
        <f aca="false">DATE(YEAR(B1139),MONTH(B1139),1)</f>
        <v>46023</v>
      </c>
      <c r="D1139" s="31" t="s">
        <v>215</v>
      </c>
      <c r="E1139" s="31" t="s">
        <v>42</v>
      </c>
      <c r="F1139" s="31" t="s">
        <v>46</v>
      </c>
      <c r="G1139" s="31" t="s">
        <v>61</v>
      </c>
      <c r="H1139" s="31" t="s">
        <v>175</v>
      </c>
      <c r="I1139" s="32" t="str">
        <f aca="false">INDEX(Productos!$B$2:$B$13,MATCH($H1139,Productos!$A$2:$A$13,0))</f>
        <v>Tirafondo madera 5x60 cabeza plana Torx</v>
      </c>
      <c r="J1139" s="32" t="str">
        <f aca="false">INDEX(Productos!$C$2:$C$13,MATCH($H1139,Productos!$A$2:$A$13,0))</f>
        <v>Madera</v>
      </c>
      <c r="K1139" s="31" t="s">
        <v>246</v>
      </c>
      <c r="L1139" s="46" t="n">
        <v>103</v>
      </c>
      <c r="M1139" s="50" t="n">
        <f aca="false">INDEX(Productos!$F$2:$F$13,MATCH($H1139,Productos!$A$2:$A$13,0))</f>
        <v>26</v>
      </c>
      <c r="N1139" s="51" t="n">
        <v>0.121</v>
      </c>
      <c r="O1139" s="52" t="n">
        <f aca="false">M1139*(1-N1139)</f>
        <v>22.854</v>
      </c>
      <c r="P1139" s="21" t="n">
        <f aca="false">L1139*O1139</f>
        <v>2353.962</v>
      </c>
      <c r="Q1139" s="50" t="n">
        <f aca="false">INDEX(Productos!$E$2:$E$13,MATCH($H1139,Productos!$A$2:$A$13,0))*INDEX(Parametros!$B$26:$B$43,MATCH($C1139,Parametros!$A$26:$A$43,0))</f>
        <v>13.8288</v>
      </c>
      <c r="R1139" s="21" t="n">
        <f aca="false">L1139*Q1139</f>
        <v>1424.3664</v>
      </c>
      <c r="S1139" s="18" t="n">
        <f aca="false">L1139*INDEX(Parametros!$B$20:$B$22,MATCH($E1139,Parametros!$A$20:$A$22,0))</f>
        <v>247.2</v>
      </c>
      <c r="T1139" s="18" t="n">
        <f aca="false">P1139*INDEX(Parametros!$B$13:$B$16,MATCH($F1139,Parametros!$A$13:$A$16,0))</f>
        <v>94.15848</v>
      </c>
      <c r="U1139" s="21" t="n">
        <f aca="false">P1139-R1139-S1139-T1139</f>
        <v>588.23712</v>
      </c>
      <c r="V1139" s="19" t="n">
        <f aca="false">IFERROR(U1139/P1139,0)</f>
        <v>0.249892360199527</v>
      </c>
      <c r="W1139" s="48" t="n">
        <f aca="false">B1139+INDEX(Parametros!$C$13:$C$16,MATCH($F1139,Parametros!$A$13:$A$16,0))</f>
        <v>46124</v>
      </c>
      <c r="X1139" s="31" t="s">
        <v>67</v>
      </c>
      <c r="Y1139" s="53" t="n">
        <f aca="false">IF(COUNTIF($A$2:$A1139,A1139)=1,1,0)</f>
        <v>0</v>
      </c>
    </row>
    <row r="1140" customFormat="false" ht="15" hidden="false" customHeight="false" outlineLevel="0" collapsed="false">
      <c r="A1140" s="31" t="s">
        <v>852</v>
      </c>
      <c r="B1140" s="36" t="n">
        <v>46055</v>
      </c>
      <c r="C1140" s="49" t="n">
        <f aca="false">DATE(YEAR(B1140),MONTH(B1140),1)</f>
        <v>46054</v>
      </c>
      <c r="D1140" s="31" t="s">
        <v>219</v>
      </c>
      <c r="E1140" s="31" t="s">
        <v>42</v>
      </c>
      <c r="F1140" s="31" t="s">
        <v>45</v>
      </c>
      <c r="G1140" s="31" t="s">
        <v>61</v>
      </c>
      <c r="H1140" s="31" t="s">
        <v>167</v>
      </c>
      <c r="I1140" s="32" t="str">
        <f aca="false">INDEX(Productos!$B$2:$B$13,MATCH($H1140,Productos!$A$2:$A$13,0))</f>
        <v>Tornillo DIN 912 M6x25 Allen zincado</v>
      </c>
      <c r="J1140" s="32" t="str">
        <f aca="false">INDEX(Productos!$C$2:$C$13,MATCH($H1140,Productos!$A$2:$A$13,0))</f>
        <v>Métrica</v>
      </c>
      <c r="K1140" s="31" t="s">
        <v>246</v>
      </c>
      <c r="L1140" s="46" t="n">
        <v>45</v>
      </c>
      <c r="M1140" s="50" t="n">
        <f aca="false">INDEX(Productos!$F$2:$F$13,MATCH($H1140,Productos!$A$2:$A$13,0))</f>
        <v>42</v>
      </c>
      <c r="N1140" s="51" t="n">
        <v>0.188</v>
      </c>
      <c r="O1140" s="52" t="n">
        <f aca="false">M1140*(1-N1140)</f>
        <v>34.104</v>
      </c>
      <c r="P1140" s="21" t="n">
        <f aca="false">L1140*O1140</f>
        <v>1534.68</v>
      </c>
      <c r="Q1140" s="50" t="n">
        <f aca="false">INDEX(Productos!$E$2:$E$13,MATCH($H1140,Productos!$A$2:$A$13,0))*INDEX(Parametros!$B$26:$B$43,MATCH($C1140,Parametros!$A$26:$A$43,0))</f>
        <v>22.236</v>
      </c>
      <c r="R1140" s="21" t="n">
        <f aca="false">L1140*Q1140</f>
        <v>1000.62</v>
      </c>
      <c r="S1140" s="18" t="n">
        <f aca="false">L1140*INDEX(Parametros!$B$20:$B$22,MATCH($E1140,Parametros!$A$20:$A$22,0))</f>
        <v>108</v>
      </c>
      <c r="T1140" s="18" t="n">
        <f aca="false">P1140*INDEX(Parametros!$B$13:$B$16,MATCH($F1140,Parametros!$A$13:$A$16,0))</f>
        <v>46.0404</v>
      </c>
      <c r="U1140" s="21" t="n">
        <f aca="false">P1140-R1140-S1140-T1140</f>
        <v>380.0196</v>
      </c>
      <c r="V1140" s="19" t="n">
        <f aca="false">IFERROR(U1140/P1140,0)</f>
        <v>0.24762139338494</v>
      </c>
      <c r="W1140" s="48" t="n">
        <f aca="false">B1140+INDEX(Parametros!$C$13:$C$16,MATCH($F1140,Parametros!$A$13:$A$16,0))</f>
        <v>46115</v>
      </c>
      <c r="X1140" s="31" t="s">
        <v>67</v>
      </c>
      <c r="Y1140" s="53" t="n">
        <f aca="false">IF(COUNTIF($A$2:$A1140,A1140)=1,1,0)</f>
        <v>1</v>
      </c>
    </row>
    <row r="1141" customFormat="false" ht="15" hidden="false" customHeight="false" outlineLevel="0" collapsed="false">
      <c r="A1141" s="31" t="s">
        <v>852</v>
      </c>
      <c r="B1141" s="36" t="n">
        <v>46055</v>
      </c>
      <c r="C1141" s="49" t="n">
        <f aca="false">DATE(YEAR(B1141),MONTH(B1141),1)</f>
        <v>46054</v>
      </c>
      <c r="D1141" s="31" t="s">
        <v>219</v>
      </c>
      <c r="E1141" s="31" t="s">
        <v>42</v>
      </c>
      <c r="F1141" s="31" t="s">
        <v>45</v>
      </c>
      <c r="G1141" s="31" t="s">
        <v>61</v>
      </c>
      <c r="H1141" s="31" t="s">
        <v>179</v>
      </c>
      <c r="I1141" s="32" t="str">
        <f aca="false">INDEX(Productos!$B$2:$B$13,MATCH($H1141,Productos!$A$2:$A$13,0))</f>
        <v>Autotaladrante DIN 7504 4,8x38 zincado</v>
      </c>
      <c r="J1141" s="32" t="str">
        <f aca="false">INDEX(Productos!$C$2:$C$13,MATCH($H1141,Productos!$A$2:$A$13,0))</f>
        <v>Autotaladrante</v>
      </c>
      <c r="K1141" s="31" t="s">
        <v>246</v>
      </c>
      <c r="L1141" s="46" t="n">
        <v>140</v>
      </c>
      <c r="M1141" s="50" t="n">
        <f aca="false">INDEX(Productos!$F$2:$F$13,MATCH($H1141,Productos!$A$2:$A$13,0))</f>
        <v>29.5</v>
      </c>
      <c r="N1141" s="51" t="n">
        <v>0.163</v>
      </c>
      <c r="O1141" s="52" t="n">
        <f aca="false">M1141*(1-N1141)</f>
        <v>24.6915</v>
      </c>
      <c r="P1141" s="21" t="n">
        <f aca="false">L1141*O1141</f>
        <v>3456.81</v>
      </c>
      <c r="Q1141" s="50" t="n">
        <f aca="false">INDEX(Productos!$E$2:$E$13,MATCH($H1141,Productos!$A$2:$A$13,0))*INDEX(Parametros!$B$26:$B$43,MATCH($C1141,Parametros!$A$26:$A$43,0))</f>
        <v>15.504</v>
      </c>
      <c r="R1141" s="21" t="n">
        <f aca="false">L1141*Q1141</f>
        <v>2170.56</v>
      </c>
      <c r="S1141" s="18" t="n">
        <f aca="false">L1141*INDEX(Parametros!$B$20:$B$22,MATCH($E1141,Parametros!$A$20:$A$22,0))</f>
        <v>336</v>
      </c>
      <c r="T1141" s="18" t="n">
        <f aca="false">P1141*INDEX(Parametros!$B$13:$B$16,MATCH($F1141,Parametros!$A$13:$A$16,0))</f>
        <v>103.7043</v>
      </c>
      <c r="U1141" s="21" t="n">
        <f aca="false">P1141-R1141-S1141-T1141</f>
        <v>846.5457</v>
      </c>
      <c r="V1141" s="19" t="n">
        <f aca="false">IFERROR(U1141/P1141,0)</f>
        <v>0.244892169370026</v>
      </c>
      <c r="W1141" s="48" t="n">
        <f aca="false">B1141+INDEX(Parametros!$C$13:$C$16,MATCH($F1141,Parametros!$A$13:$A$16,0))</f>
        <v>46115</v>
      </c>
      <c r="X1141" s="31" t="s">
        <v>67</v>
      </c>
      <c r="Y1141" s="53" t="n">
        <f aca="false">IF(COUNTIF($A$2:$A1141,A1141)=1,1,0)</f>
        <v>0</v>
      </c>
    </row>
    <row r="1142" customFormat="false" ht="15" hidden="false" customHeight="false" outlineLevel="0" collapsed="false">
      <c r="A1142" s="31" t="s">
        <v>853</v>
      </c>
      <c r="B1142" s="36" t="n">
        <v>46055</v>
      </c>
      <c r="C1142" s="49" t="n">
        <f aca="false">DATE(YEAR(B1142),MONTH(B1142),1)</f>
        <v>46054</v>
      </c>
      <c r="D1142" s="31" t="s">
        <v>197</v>
      </c>
      <c r="E1142" s="31" t="s">
        <v>41</v>
      </c>
      <c r="F1142" s="31" t="s">
        <v>46</v>
      </c>
      <c r="G1142" s="31" t="s">
        <v>58</v>
      </c>
      <c r="H1142" s="31" t="s">
        <v>163</v>
      </c>
      <c r="I1142" s="32" t="str">
        <f aca="false">INDEX(Productos!$B$2:$B$13,MATCH($H1142,Productos!$A$2:$A$13,0))</f>
        <v>Tornillo DIN 933 M6x30 rosca completa zincado</v>
      </c>
      <c r="J1142" s="32" t="str">
        <f aca="false">INDEX(Productos!$C$2:$C$13,MATCH($H1142,Productos!$A$2:$A$13,0))</f>
        <v>Métrica</v>
      </c>
      <c r="K1142" s="31" t="s">
        <v>246</v>
      </c>
      <c r="L1142" s="46" t="n">
        <v>135</v>
      </c>
      <c r="M1142" s="50" t="n">
        <f aca="false">INDEX(Productos!$F$2:$F$13,MATCH($H1142,Productos!$A$2:$A$13,0))</f>
        <v>32</v>
      </c>
      <c r="N1142" s="51" t="n">
        <v>0.097</v>
      </c>
      <c r="O1142" s="52" t="n">
        <f aca="false">M1142*(1-N1142)</f>
        <v>28.896</v>
      </c>
      <c r="P1142" s="21" t="n">
        <f aca="false">L1142*O1142</f>
        <v>3900.96</v>
      </c>
      <c r="Q1142" s="50" t="n">
        <f aca="false">INDEX(Productos!$E$2:$E$13,MATCH($H1142,Productos!$A$2:$A$13,0))*INDEX(Parametros!$B$26:$B$43,MATCH($C1142,Parametros!$A$26:$A$43,0))</f>
        <v>16.932</v>
      </c>
      <c r="R1142" s="21" t="n">
        <f aca="false">L1142*Q1142</f>
        <v>2285.82</v>
      </c>
      <c r="S1142" s="18" t="n">
        <f aca="false">L1142*INDEX(Parametros!$B$20:$B$22,MATCH($E1142,Parametros!$A$20:$A$22,0))</f>
        <v>114.75</v>
      </c>
      <c r="T1142" s="18" t="n">
        <f aca="false">P1142*INDEX(Parametros!$B$13:$B$16,MATCH($F1142,Parametros!$A$13:$A$16,0))</f>
        <v>156.0384</v>
      </c>
      <c r="U1142" s="21" t="n">
        <f aca="false">P1142-R1142-S1142-T1142</f>
        <v>1344.3516</v>
      </c>
      <c r="V1142" s="19" t="n">
        <f aca="false">IFERROR(U1142/P1142,0)</f>
        <v>0.344620708748616</v>
      </c>
      <c r="W1142" s="48" t="n">
        <f aca="false">B1142+INDEX(Parametros!$C$13:$C$16,MATCH($F1142,Parametros!$A$13:$A$16,0))</f>
        <v>46130</v>
      </c>
      <c r="X1142" s="31" t="s">
        <v>67</v>
      </c>
      <c r="Y1142" s="53" t="n">
        <f aca="false">IF(COUNTIF($A$2:$A1142,A1142)=1,1,0)</f>
        <v>1</v>
      </c>
    </row>
    <row r="1143" customFormat="false" ht="15" hidden="false" customHeight="false" outlineLevel="0" collapsed="false">
      <c r="A1143" s="31" t="s">
        <v>854</v>
      </c>
      <c r="B1143" s="36" t="n">
        <v>46056</v>
      </c>
      <c r="C1143" s="49" t="n">
        <f aca="false">DATE(YEAR(B1143),MONTH(B1143),1)</f>
        <v>46054</v>
      </c>
      <c r="D1143" s="31" t="s">
        <v>204</v>
      </c>
      <c r="E1143" s="31" t="s">
        <v>41</v>
      </c>
      <c r="F1143" s="31" t="s">
        <v>47</v>
      </c>
      <c r="G1143" s="31" t="s">
        <v>62</v>
      </c>
      <c r="H1143" s="31" t="s">
        <v>167</v>
      </c>
      <c r="I1143" s="32" t="str">
        <f aca="false">INDEX(Productos!$B$2:$B$13,MATCH($H1143,Productos!$A$2:$A$13,0))</f>
        <v>Tornillo DIN 912 M6x25 Allen zincado</v>
      </c>
      <c r="J1143" s="32" t="str">
        <f aca="false">INDEX(Productos!$C$2:$C$13,MATCH($H1143,Productos!$A$2:$A$13,0))</f>
        <v>Métrica</v>
      </c>
      <c r="K1143" s="31" t="s">
        <v>246</v>
      </c>
      <c r="L1143" s="46" t="n">
        <v>33</v>
      </c>
      <c r="M1143" s="50" t="n">
        <f aca="false">INDEX(Productos!$F$2:$F$13,MATCH($H1143,Productos!$A$2:$A$13,0))</f>
        <v>42</v>
      </c>
      <c r="N1143" s="51" t="n">
        <v>0.032</v>
      </c>
      <c r="O1143" s="52" t="n">
        <f aca="false">M1143*(1-N1143)</f>
        <v>40.656</v>
      </c>
      <c r="P1143" s="21" t="n">
        <f aca="false">L1143*O1143</f>
        <v>1341.648</v>
      </c>
      <c r="Q1143" s="50" t="n">
        <f aca="false">INDEX(Productos!$E$2:$E$13,MATCH($H1143,Productos!$A$2:$A$13,0))*INDEX(Parametros!$B$26:$B$43,MATCH($C1143,Parametros!$A$26:$A$43,0))</f>
        <v>22.236</v>
      </c>
      <c r="R1143" s="21" t="n">
        <f aca="false">L1143*Q1143</f>
        <v>733.788</v>
      </c>
      <c r="S1143" s="18" t="n">
        <f aca="false">L1143*INDEX(Parametros!$B$20:$B$22,MATCH($E1143,Parametros!$A$20:$A$22,0))</f>
        <v>28.05</v>
      </c>
      <c r="T1143" s="18" t="n">
        <f aca="false">P1143*INDEX(Parametros!$B$13:$B$16,MATCH($F1143,Parametros!$A$13:$A$16,0))</f>
        <v>46.95768</v>
      </c>
      <c r="U1143" s="21" t="n">
        <f aca="false">P1143-R1143-S1143-T1143</f>
        <v>532.85232</v>
      </c>
      <c r="V1143" s="19" t="n">
        <f aca="false">IFERROR(U1143/P1143,0)</f>
        <v>0.397162534435262</v>
      </c>
      <c r="W1143" s="48" t="n">
        <f aca="false">B1143+INDEX(Parametros!$C$13:$C$16,MATCH($F1143,Parametros!$A$13:$A$16,0))</f>
        <v>46101</v>
      </c>
      <c r="X1143" s="31" t="s">
        <v>69</v>
      </c>
      <c r="Y1143" s="53" t="n">
        <f aca="false">IF(COUNTIF($A$2:$A1143,A1143)=1,1,0)</f>
        <v>1</v>
      </c>
    </row>
    <row r="1144" customFormat="false" ht="15" hidden="false" customHeight="false" outlineLevel="0" collapsed="false">
      <c r="A1144" s="31" t="s">
        <v>855</v>
      </c>
      <c r="B1144" s="36" t="n">
        <v>46056</v>
      </c>
      <c r="C1144" s="49" t="n">
        <f aca="false">DATE(YEAR(B1144),MONTH(B1144),1)</f>
        <v>46054</v>
      </c>
      <c r="D1144" s="31" t="s">
        <v>208</v>
      </c>
      <c r="E1144" s="31" t="s">
        <v>41</v>
      </c>
      <c r="F1144" s="31" t="s">
        <v>46</v>
      </c>
      <c r="G1144" s="31" t="s">
        <v>58</v>
      </c>
      <c r="H1144" s="31" t="s">
        <v>167</v>
      </c>
      <c r="I1144" s="32" t="str">
        <f aca="false">INDEX(Productos!$B$2:$B$13,MATCH($H1144,Productos!$A$2:$A$13,0))</f>
        <v>Tornillo DIN 912 M6x25 Allen zincado</v>
      </c>
      <c r="J1144" s="32" t="str">
        <f aca="false">INDEX(Productos!$C$2:$C$13,MATCH($H1144,Productos!$A$2:$A$13,0))</f>
        <v>Métrica</v>
      </c>
      <c r="K1144" s="31" t="s">
        <v>246</v>
      </c>
      <c r="L1144" s="46" t="n">
        <v>48</v>
      </c>
      <c r="M1144" s="50" t="n">
        <f aca="false">INDEX(Productos!$F$2:$F$13,MATCH($H1144,Productos!$A$2:$A$13,0))</f>
        <v>42</v>
      </c>
      <c r="N1144" s="51" t="n">
        <v>0.127</v>
      </c>
      <c r="O1144" s="52" t="n">
        <f aca="false">M1144*(1-N1144)</f>
        <v>36.666</v>
      </c>
      <c r="P1144" s="21" t="n">
        <f aca="false">L1144*O1144</f>
        <v>1759.968</v>
      </c>
      <c r="Q1144" s="50" t="n">
        <f aca="false">INDEX(Productos!$E$2:$E$13,MATCH($H1144,Productos!$A$2:$A$13,0))*INDEX(Parametros!$B$26:$B$43,MATCH($C1144,Parametros!$A$26:$A$43,0))</f>
        <v>22.236</v>
      </c>
      <c r="R1144" s="21" t="n">
        <f aca="false">L1144*Q1144</f>
        <v>1067.328</v>
      </c>
      <c r="S1144" s="18" t="n">
        <f aca="false">L1144*INDEX(Parametros!$B$20:$B$22,MATCH($E1144,Parametros!$A$20:$A$22,0))</f>
        <v>40.8</v>
      </c>
      <c r="T1144" s="18" t="n">
        <f aca="false">P1144*INDEX(Parametros!$B$13:$B$16,MATCH($F1144,Parametros!$A$13:$A$16,0))</f>
        <v>70.39872</v>
      </c>
      <c r="U1144" s="21" t="n">
        <f aca="false">P1144-R1144-S1144-T1144</f>
        <v>581.44128</v>
      </c>
      <c r="V1144" s="19" t="n">
        <f aca="false">IFERROR(U1144/P1144,0)</f>
        <v>0.33037037037037</v>
      </c>
      <c r="W1144" s="48" t="n">
        <f aca="false">B1144+INDEX(Parametros!$C$13:$C$16,MATCH($F1144,Parametros!$A$13:$A$16,0))</f>
        <v>46131</v>
      </c>
      <c r="X1144" s="31" t="s">
        <v>67</v>
      </c>
      <c r="Y1144" s="53" t="n">
        <f aca="false">IF(COUNTIF($A$2:$A1144,A1144)=1,1,0)</f>
        <v>1</v>
      </c>
    </row>
    <row r="1145" customFormat="false" ht="15" hidden="false" customHeight="false" outlineLevel="0" collapsed="false">
      <c r="A1145" s="31" t="s">
        <v>856</v>
      </c>
      <c r="B1145" s="36" t="n">
        <v>46056</v>
      </c>
      <c r="C1145" s="49" t="n">
        <f aca="false">DATE(YEAR(B1145),MONTH(B1145),1)</f>
        <v>46054</v>
      </c>
      <c r="D1145" s="31" t="s">
        <v>228</v>
      </c>
      <c r="E1145" s="31" t="s">
        <v>43</v>
      </c>
      <c r="F1145" s="31" t="s">
        <v>47</v>
      </c>
      <c r="G1145" s="31" t="s">
        <v>59</v>
      </c>
      <c r="H1145" s="31" t="s">
        <v>171</v>
      </c>
      <c r="I1145" s="32" t="str">
        <f aca="false">INDEX(Productos!$B$2:$B$13,MATCH($H1145,Productos!$A$2:$A$13,0))</f>
        <v>Tornillo DIN 7991 M8x30 avellanado inox A2</v>
      </c>
      <c r="J1145" s="32" t="str">
        <f aca="false">INDEX(Productos!$C$2:$C$13,MATCH($H1145,Productos!$A$2:$A$13,0))</f>
        <v>Inoxidable</v>
      </c>
      <c r="K1145" s="31" t="s">
        <v>246</v>
      </c>
      <c r="L1145" s="46" t="n">
        <v>66</v>
      </c>
      <c r="M1145" s="50" t="n">
        <f aca="false">INDEX(Productos!$F$2:$F$13,MATCH($H1145,Productos!$A$2:$A$13,0))</f>
        <v>88</v>
      </c>
      <c r="N1145" s="51" t="n">
        <v>0.068</v>
      </c>
      <c r="O1145" s="52" t="n">
        <f aca="false">M1145*(1-N1145)</f>
        <v>82.016</v>
      </c>
      <c r="P1145" s="21" t="n">
        <f aca="false">L1145*O1145</f>
        <v>5413.056</v>
      </c>
      <c r="Q1145" s="50" t="n">
        <f aca="false">INDEX(Productos!$E$2:$E$13,MATCH($H1145,Productos!$A$2:$A$13,0))*INDEX(Parametros!$B$26:$B$43,MATCH($C1145,Parametros!$A$26:$A$43,0))</f>
        <v>47.43</v>
      </c>
      <c r="R1145" s="21" t="n">
        <f aca="false">L1145*Q1145</f>
        <v>3130.38</v>
      </c>
      <c r="S1145" s="18" t="n">
        <f aca="false">L1145*INDEX(Parametros!$B$20:$B$22,MATCH($E1145,Parametros!$A$20:$A$22,0))</f>
        <v>125.4</v>
      </c>
      <c r="T1145" s="18" t="n">
        <f aca="false">P1145*INDEX(Parametros!$B$13:$B$16,MATCH($F1145,Parametros!$A$13:$A$16,0))</f>
        <v>189.45696</v>
      </c>
      <c r="U1145" s="21" t="n">
        <f aca="false">P1145-R1145-S1145-T1145</f>
        <v>1967.81904</v>
      </c>
      <c r="V1145" s="19" t="n">
        <f aca="false">IFERROR(U1145/P1145,0)</f>
        <v>0.363531993757316</v>
      </c>
      <c r="W1145" s="48" t="n">
        <f aca="false">B1145+INDEX(Parametros!$C$13:$C$16,MATCH($F1145,Parametros!$A$13:$A$16,0))</f>
        <v>46101</v>
      </c>
      <c r="X1145" s="31" t="s">
        <v>67</v>
      </c>
      <c r="Y1145" s="53" t="n">
        <f aca="false">IF(COUNTIF($A$2:$A1145,A1145)=1,1,0)</f>
        <v>1</v>
      </c>
    </row>
    <row r="1146" customFormat="false" ht="15" hidden="false" customHeight="false" outlineLevel="0" collapsed="false">
      <c r="A1146" s="31" t="s">
        <v>857</v>
      </c>
      <c r="B1146" s="36" t="n">
        <v>46056</v>
      </c>
      <c r="C1146" s="49" t="n">
        <f aca="false">DATE(YEAR(B1146),MONTH(B1146),1)</f>
        <v>46054</v>
      </c>
      <c r="D1146" s="31" t="s">
        <v>194</v>
      </c>
      <c r="E1146" s="31" t="s">
        <v>41</v>
      </c>
      <c r="F1146" s="31" t="s">
        <v>46</v>
      </c>
      <c r="G1146" s="31" t="s">
        <v>58</v>
      </c>
      <c r="H1146" s="31" t="s">
        <v>173</v>
      </c>
      <c r="I1146" s="32" t="str">
        <f aca="false">INDEX(Productos!$B$2:$B$13,MATCH($H1146,Productos!$A$2:$A$13,0))</f>
        <v>Tornillo DIN 933 M12x70 clase 8.8</v>
      </c>
      <c r="J1146" s="32" t="str">
        <f aca="false">INDEX(Productos!$C$2:$C$13,MATCH($H1146,Productos!$A$2:$A$13,0))</f>
        <v>Métrica</v>
      </c>
      <c r="K1146" s="31" t="s">
        <v>246</v>
      </c>
      <c r="L1146" s="46" t="n">
        <v>142</v>
      </c>
      <c r="M1146" s="50" t="n">
        <f aca="false">INDEX(Productos!$F$2:$F$13,MATCH($H1146,Productos!$A$2:$A$13,0))</f>
        <v>64</v>
      </c>
      <c r="N1146" s="51" t="n">
        <v>0.173</v>
      </c>
      <c r="O1146" s="52" t="n">
        <f aca="false">M1146*(1-N1146)</f>
        <v>52.928</v>
      </c>
      <c r="P1146" s="21" t="n">
        <f aca="false">L1146*O1146</f>
        <v>7515.776</v>
      </c>
      <c r="Q1146" s="50" t="n">
        <f aca="false">INDEX(Productos!$E$2:$E$13,MATCH($H1146,Productos!$A$2:$A$13,0))*INDEX(Parametros!$B$26:$B$43,MATCH($C1146,Parametros!$A$26:$A$43,0))</f>
        <v>34.17</v>
      </c>
      <c r="R1146" s="21" t="n">
        <f aca="false">L1146*Q1146</f>
        <v>4852.14</v>
      </c>
      <c r="S1146" s="18" t="n">
        <f aca="false">L1146*INDEX(Parametros!$B$20:$B$22,MATCH($E1146,Parametros!$A$20:$A$22,0))</f>
        <v>120.7</v>
      </c>
      <c r="T1146" s="18" t="n">
        <f aca="false">P1146*INDEX(Parametros!$B$13:$B$16,MATCH($F1146,Parametros!$A$13:$A$16,0))</f>
        <v>300.63104</v>
      </c>
      <c r="U1146" s="21" t="n">
        <f aca="false">P1146-R1146-S1146-T1146</f>
        <v>2242.30496</v>
      </c>
      <c r="V1146" s="19" t="n">
        <f aca="false">IFERROR(U1146/P1146,0)</f>
        <v>0.298346432889964</v>
      </c>
      <c r="W1146" s="48" t="n">
        <f aca="false">B1146+INDEX(Parametros!$C$13:$C$16,MATCH($F1146,Parametros!$A$13:$A$16,0))</f>
        <v>46131</v>
      </c>
      <c r="X1146" s="31" t="s">
        <v>67</v>
      </c>
      <c r="Y1146" s="53" t="n">
        <f aca="false">IF(COUNTIF($A$2:$A1146,A1146)=1,1,0)</f>
        <v>1</v>
      </c>
    </row>
    <row r="1147" customFormat="false" ht="15" hidden="false" customHeight="false" outlineLevel="0" collapsed="false">
      <c r="A1147" s="31" t="s">
        <v>857</v>
      </c>
      <c r="B1147" s="36" t="n">
        <v>46056</v>
      </c>
      <c r="C1147" s="49" t="n">
        <f aca="false">DATE(YEAR(B1147),MONTH(B1147),1)</f>
        <v>46054</v>
      </c>
      <c r="D1147" s="31" t="s">
        <v>194</v>
      </c>
      <c r="E1147" s="31" t="s">
        <v>41</v>
      </c>
      <c r="F1147" s="31" t="s">
        <v>46</v>
      </c>
      <c r="G1147" s="31" t="s">
        <v>58</v>
      </c>
      <c r="H1147" s="31" t="s">
        <v>169</v>
      </c>
      <c r="I1147" s="32" t="str">
        <f aca="false">INDEX(Productos!$B$2:$B$13,MATCH($H1147,Productos!$A$2:$A$13,0))</f>
        <v>Tornillo DIN 912 M10x60 Allen inox A2</v>
      </c>
      <c r="J1147" s="32" t="str">
        <f aca="false">INDEX(Productos!$C$2:$C$13,MATCH($H1147,Productos!$A$2:$A$13,0))</f>
        <v>Inoxidable</v>
      </c>
      <c r="K1147" s="31" t="s">
        <v>246</v>
      </c>
      <c r="L1147" s="46" t="n">
        <v>25</v>
      </c>
      <c r="M1147" s="50" t="n">
        <f aca="false">INDEX(Productos!$F$2:$F$13,MATCH($H1147,Productos!$A$2:$A$13,0))</f>
        <v>79</v>
      </c>
      <c r="N1147" s="51" t="n">
        <v>0.158</v>
      </c>
      <c r="O1147" s="52" t="n">
        <f aca="false">M1147*(1-N1147)</f>
        <v>66.518</v>
      </c>
      <c r="P1147" s="21" t="n">
        <f aca="false">L1147*O1147</f>
        <v>1662.95</v>
      </c>
      <c r="Q1147" s="50" t="n">
        <f aca="false">INDEX(Productos!$E$2:$E$13,MATCH($H1147,Productos!$A$2:$A$13,0))*INDEX(Parametros!$B$26:$B$43,MATCH($C1147,Parametros!$A$26:$A$43,0))</f>
        <v>42.84</v>
      </c>
      <c r="R1147" s="21" t="n">
        <f aca="false">L1147*Q1147</f>
        <v>1071</v>
      </c>
      <c r="S1147" s="18" t="n">
        <f aca="false">L1147*INDEX(Parametros!$B$20:$B$22,MATCH($E1147,Parametros!$A$20:$A$22,0))</f>
        <v>21.25</v>
      </c>
      <c r="T1147" s="18" t="n">
        <f aca="false">P1147*INDEX(Parametros!$B$13:$B$16,MATCH($F1147,Parametros!$A$13:$A$16,0))</f>
        <v>66.518</v>
      </c>
      <c r="U1147" s="21" t="n">
        <f aca="false">P1147-R1147-S1147-T1147</f>
        <v>504.182</v>
      </c>
      <c r="V1147" s="19" t="n">
        <f aca="false">IFERROR(U1147/P1147,0)</f>
        <v>0.303185303226194</v>
      </c>
      <c r="W1147" s="48" t="n">
        <f aca="false">B1147+INDEX(Parametros!$C$13:$C$16,MATCH($F1147,Parametros!$A$13:$A$16,0))</f>
        <v>46131</v>
      </c>
      <c r="X1147" s="31" t="s">
        <v>67</v>
      </c>
      <c r="Y1147" s="53" t="n">
        <f aca="false">IF(COUNTIF($A$2:$A1147,A1147)=1,1,0)</f>
        <v>0</v>
      </c>
    </row>
    <row r="1148" customFormat="false" ht="15" hidden="false" customHeight="false" outlineLevel="0" collapsed="false">
      <c r="A1148" s="31" t="s">
        <v>857</v>
      </c>
      <c r="B1148" s="36" t="n">
        <v>46056</v>
      </c>
      <c r="C1148" s="49" t="n">
        <f aca="false">DATE(YEAR(B1148),MONTH(B1148),1)</f>
        <v>46054</v>
      </c>
      <c r="D1148" s="31" t="s">
        <v>194</v>
      </c>
      <c r="E1148" s="31" t="s">
        <v>41</v>
      </c>
      <c r="F1148" s="31" t="s">
        <v>46</v>
      </c>
      <c r="G1148" s="31" t="s">
        <v>58</v>
      </c>
      <c r="H1148" s="31" t="s">
        <v>183</v>
      </c>
      <c r="I1148" s="32" t="str">
        <f aca="false">INDEX(Productos!$B$2:$B$13,MATCH($H1148,Productos!$A$2:$A$13,0))</f>
        <v>Tornillo estructural M16x90 clase 10.9</v>
      </c>
      <c r="J1148" s="32" t="str">
        <f aca="false">INDEX(Productos!$C$2:$C$13,MATCH($H1148,Productos!$A$2:$A$13,0))</f>
        <v>Especial</v>
      </c>
      <c r="K1148" s="31" t="s">
        <v>246</v>
      </c>
      <c r="L1148" s="46" t="n">
        <v>22</v>
      </c>
      <c r="M1148" s="50" t="n">
        <f aca="false">INDEX(Productos!$F$2:$F$13,MATCH($H1148,Productos!$A$2:$A$13,0))</f>
        <v>112</v>
      </c>
      <c r="N1148" s="51" t="n">
        <v>0.122</v>
      </c>
      <c r="O1148" s="52" t="n">
        <f aca="false">M1148*(1-N1148)</f>
        <v>98.336</v>
      </c>
      <c r="P1148" s="21" t="n">
        <f aca="false">L1148*O1148</f>
        <v>2163.392</v>
      </c>
      <c r="Q1148" s="50" t="n">
        <f aca="false">INDEX(Productos!$E$2:$E$13,MATCH($H1148,Productos!$A$2:$A$13,0))*INDEX(Parametros!$B$26:$B$43,MATCH($C1148,Parametros!$A$26:$A$43,0))</f>
        <v>61.2</v>
      </c>
      <c r="R1148" s="21" t="n">
        <f aca="false">L1148*Q1148</f>
        <v>1346.4</v>
      </c>
      <c r="S1148" s="18" t="n">
        <f aca="false">L1148*INDEX(Parametros!$B$20:$B$22,MATCH($E1148,Parametros!$A$20:$A$22,0))</f>
        <v>18.7</v>
      </c>
      <c r="T1148" s="18" t="n">
        <f aca="false">P1148*INDEX(Parametros!$B$13:$B$16,MATCH($F1148,Parametros!$A$13:$A$16,0))</f>
        <v>86.53568</v>
      </c>
      <c r="U1148" s="21" t="n">
        <f aca="false">P1148-R1148-S1148-T1148</f>
        <v>711.75632</v>
      </c>
      <c r="V1148" s="19" t="n">
        <f aca="false">IFERROR(U1148/P1148,0)</f>
        <v>0.329000162707452</v>
      </c>
      <c r="W1148" s="48" t="n">
        <f aca="false">B1148+INDEX(Parametros!$C$13:$C$16,MATCH($F1148,Parametros!$A$13:$A$16,0))</f>
        <v>46131</v>
      </c>
      <c r="X1148" s="31" t="s">
        <v>67</v>
      </c>
      <c r="Y1148" s="53" t="n">
        <f aca="false">IF(COUNTIF($A$2:$A1148,A1148)=1,1,0)</f>
        <v>0</v>
      </c>
    </row>
    <row r="1149" customFormat="false" ht="15" hidden="false" customHeight="false" outlineLevel="0" collapsed="false">
      <c r="A1149" s="31" t="s">
        <v>858</v>
      </c>
      <c r="B1149" s="36" t="n">
        <v>46057</v>
      </c>
      <c r="C1149" s="49" t="n">
        <f aca="false">DATE(YEAR(B1149),MONTH(B1149),1)</f>
        <v>46054</v>
      </c>
      <c r="D1149" s="31" t="s">
        <v>218</v>
      </c>
      <c r="E1149" s="31" t="s">
        <v>42</v>
      </c>
      <c r="F1149" s="31" t="s">
        <v>45</v>
      </c>
      <c r="G1149" s="31" t="s">
        <v>61</v>
      </c>
      <c r="H1149" s="31" t="s">
        <v>183</v>
      </c>
      <c r="I1149" s="32" t="str">
        <f aca="false">INDEX(Productos!$B$2:$B$13,MATCH($H1149,Productos!$A$2:$A$13,0))</f>
        <v>Tornillo estructural M16x90 clase 10.9</v>
      </c>
      <c r="J1149" s="32" t="str">
        <f aca="false">INDEX(Productos!$C$2:$C$13,MATCH($H1149,Productos!$A$2:$A$13,0))</f>
        <v>Especial</v>
      </c>
      <c r="K1149" s="31" t="s">
        <v>246</v>
      </c>
      <c r="L1149" s="46" t="n">
        <v>188</v>
      </c>
      <c r="M1149" s="50" t="n">
        <f aca="false">INDEX(Productos!$F$2:$F$13,MATCH($H1149,Productos!$A$2:$A$13,0))</f>
        <v>112</v>
      </c>
      <c r="N1149" s="51" t="n">
        <v>0.163</v>
      </c>
      <c r="O1149" s="52" t="n">
        <f aca="false">M1149*(1-N1149)</f>
        <v>93.744</v>
      </c>
      <c r="P1149" s="21" t="n">
        <f aca="false">L1149*O1149</f>
        <v>17623.872</v>
      </c>
      <c r="Q1149" s="50" t="n">
        <f aca="false">INDEX(Productos!$E$2:$E$13,MATCH($H1149,Productos!$A$2:$A$13,0))*INDEX(Parametros!$B$26:$B$43,MATCH($C1149,Parametros!$A$26:$A$43,0))</f>
        <v>61.2</v>
      </c>
      <c r="R1149" s="21" t="n">
        <f aca="false">L1149*Q1149</f>
        <v>11505.6</v>
      </c>
      <c r="S1149" s="18" t="n">
        <f aca="false">L1149*INDEX(Parametros!$B$20:$B$22,MATCH($E1149,Parametros!$A$20:$A$22,0))</f>
        <v>451.2</v>
      </c>
      <c r="T1149" s="18" t="n">
        <f aca="false">P1149*INDEX(Parametros!$B$13:$B$16,MATCH($F1149,Parametros!$A$13:$A$16,0))</f>
        <v>528.71616</v>
      </c>
      <c r="U1149" s="21" t="n">
        <f aca="false">P1149-R1149-S1149-T1149</f>
        <v>5138.35584</v>
      </c>
      <c r="V1149" s="19" t="n">
        <f aca="false">IFERROR(U1149/P1149,0)</f>
        <v>0.291556579621096</v>
      </c>
      <c r="W1149" s="48" t="n">
        <f aca="false">B1149+INDEX(Parametros!$C$13:$C$16,MATCH($F1149,Parametros!$A$13:$A$16,0))</f>
        <v>46117</v>
      </c>
      <c r="X1149" s="31" t="s">
        <v>67</v>
      </c>
      <c r="Y1149" s="53" t="n">
        <f aca="false">IF(COUNTIF($A$2:$A1149,A1149)=1,1,0)</f>
        <v>1</v>
      </c>
    </row>
    <row r="1150" customFormat="false" ht="15" hidden="false" customHeight="false" outlineLevel="0" collapsed="false">
      <c r="A1150" s="31" t="s">
        <v>859</v>
      </c>
      <c r="B1150" s="36" t="n">
        <v>46057</v>
      </c>
      <c r="C1150" s="49" t="n">
        <f aca="false">DATE(YEAR(B1150),MONTH(B1150),1)</f>
        <v>46054</v>
      </c>
      <c r="D1150" s="31" t="s">
        <v>204</v>
      </c>
      <c r="E1150" s="31" t="s">
        <v>41</v>
      </c>
      <c r="F1150" s="31" t="s">
        <v>47</v>
      </c>
      <c r="G1150" s="31" t="s">
        <v>62</v>
      </c>
      <c r="H1150" s="31" t="s">
        <v>183</v>
      </c>
      <c r="I1150" s="32" t="str">
        <f aca="false">INDEX(Productos!$B$2:$B$13,MATCH($H1150,Productos!$A$2:$A$13,0))</f>
        <v>Tornillo estructural M16x90 clase 10.9</v>
      </c>
      <c r="J1150" s="32" t="str">
        <f aca="false">INDEX(Productos!$C$2:$C$13,MATCH($H1150,Productos!$A$2:$A$13,0))</f>
        <v>Especial</v>
      </c>
      <c r="K1150" s="31" t="s">
        <v>246</v>
      </c>
      <c r="L1150" s="46" t="n">
        <v>36</v>
      </c>
      <c r="M1150" s="50" t="n">
        <f aca="false">INDEX(Productos!$F$2:$F$13,MATCH($H1150,Productos!$A$2:$A$13,0))</f>
        <v>112</v>
      </c>
      <c r="N1150" s="51" t="n">
        <v>0.1</v>
      </c>
      <c r="O1150" s="52" t="n">
        <f aca="false">M1150*(1-N1150)</f>
        <v>100.8</v>
      </c>
      <c r="P1150" s="21" t="n">
        <f aca="false">L1150*O1150</f>
        <v>3628.8</v>
      </c>
      <c r="Q1150" s="50" t="n">
        <f aca="false">INDEX(Productos!$E$2:$E$13,MATCH($H1150,Productos!$A$2:$A$13,0))*INDEX(Parametros!$B$26:$B$43,MATCH($C1150,Parametros!$A$26:$A$43,0))</f>
        <v>61.2</v>
      </c>
      <c r="R1150" s="21" t="n">
        <f aca="false">L1150*Q1150</f>
        <v>2203.2</v>
      </c>
      <c r="S1150" s="18" t="n">
        <f aca="false">L1150*INDEX(Parametros!$B$20:$B$22,MATCH($E1150,Parametros!$A$20:$A$22,0))</f>
        <v>30.6</v>
      </c>
      <c r="T1150" s="18" t="n">
        <f aca="false">P1150*INDEX(Parametros!$B$13:$B$16,MATCH($F1150,Parametros!$A$13:$A$16,0))</f>
        <v>127.008</v>
      </c>
      <c r="U1150" s="21" t="n">
        <f aca="false">P1150-R1150-S1150-T1150</f>
        <v>1267.992</v>
      </c>
      <c r="V1150" s="19" t="n">
        <f aca="false">IFERROR(U1150/P1150,0)</f>
        <v>0.349424603174603</v>
      </c>
      <c r="W1150" s="48" t="n">
        <f aca="false">B1150+INDEX(Parametros!$C$13:$C$16,MATCH($F1150,Parametros!$A$13:$A$16,0))</f>
        <v>46102</v>
      </c>
      <c r="X1150" s="31" t="s">
        <v>67</v>
      </c>
      <c r="Y1150" s="53" t="n">
        <f aca="false">IF(COUNTIF($A$2:$A1150,A1150)=1,1,0)</f>
        <v>1</v>
      </c>
    </row>
    <row r="1151" customFormat="false" ht="15" hidden="false" customHeight="false" outlineLevel="0" collapsed="false">
      <c r="A1151" s="31" t="s">
        <v>859</v>
      </c>
      <c r="B1151" s="36" t="n">
        <v>46057</v>
      </c>
      <c r="C1151" s="49" t="n">
        <f aca="false">DATE(YEAR(B1151),MONTH(B1151),1)</f>
        <v>46054</v>
      </c>
      <c r="D1151" s="31" t="s">
        <v>204</v>
      </c>
      <c r="E1151" s="31" t="s">
        <v>41</v>
      </c>
      <c r="F1151" s="31" t="s">
        <v>47</v>
      </c>
      <c r="G1151" s="31" t="s">
        <v>62</v>
      </c>
      <c r="H1151" s="31" t="s">
        <v>169</v>
      </c>
      <c r="I1151" s="32" t="str">
        <f aca="false">INDEX(Productos!$B$2:$B$13,MATCH($H1151,Productos!$A$2:$A$13,0))</f>
        <v>Tornillo DIN 912 M10x60 Allen inox A2</v>
      </c>
      <c r="J1151" s="32" t="str">
        <f aca="false">INDEX(Productos!$C$2:$C$13,MATCH($H1151,Productos!$A$2:$A$13,0))</f>
        <v>Inoxidable</v>
      </c>
      <c r="K1151" s="31" t="s">
        <v>246</v>
      </c>
      <c r="L1151" s="46" t="n">
        <v>28</v>
      </c>
      <c r="M1151" s="50" t="n">
        <f aca="false">INDEX(Productos!$F$2:$F$13,MATCH($H1151,Productos!$A$2:$A$13,0))</f>
        <v>79</v>
      </c>
      <c r="N1151" s="51" t="n">
        <v>0.043</v>
      </c>
      <c r="O1151" s="52" t="n">
        <f aca="false">M1151*(1-N1151)</f>
        <v>75.603</v>
      </c>
      <c r="P1151" s="21" t="n">
        <f aca="false">L1151*O1151</f>
        <v>2116.884</v>
      </c>
      <c r="Q1151" s="50" t="n">
        <f aca="false">INDEX(Productos!$E$2:$E$13,MATCH($H1151,Productos!$A$2:$A$13,0))*INDEX(Parametros!$B$26:$B$43,MATCH($C1151,Parametros!$A$26:$A$43,0))</f>
        <v>42.84</v>
      </c>
      <c r="R1151" s="21" t="n">
        <f aca="false">L1151*Q1151</f>
        <v>1199.52</v>
      </c>
      <c r="S1151" s="18" t="n">
        <f aca="false">L1151*INDEX(Parametros!$B$20:$B$22,MATCH($E1151,Parametros!$A$20:$A$22,0))</f>
        <v>23.8</v>
      </c>
      <c r="T1151" s="18" t="n">
        <f aca="false">P1151*INDEX(Parametros!$B$13:$B$16,MATCH($F1151,Parametros!$A$13:$A$16,0))</f>
        <v>74.09094</v>
      </c>
      <c r="U1151" s="21" t="n">
        <f aca="false">P1151-R1151-S1151-T1151</f>
        <v>819.47306</v>
      </c>
      <c r="V1151" s="19" t="n">
        <f aca="false">IFERROR(U1151/P1151,0)</f>
        <v>0.387112879118554</v>
      </c>
      <c r="W1151" s="48" t="n">
        <f aca="false">B1151+INDEX(Parametros!$C$13:$C$16,MATCH($F1151,Parametros!$A$13:$A$16,0))</f>
        <v>46102</v>
      </c>
      <c r="X1151" s="31" t="s">
        <v>67</v>
      </c>
      <c r="Y1151" s="53" t="n">
        <f aca="false">IF(COUNTIF($A$2:$A1151,A1151)=1,1,0)</f>
        <v>0</v>
      </c>
    </row>
    <row r="1152" customFormat="false" ht="15" hidden="false" customHeight="false" outlineLevel="0" collapsed="false">
      <c r="A1152" s="31" t="s">
        <v>860</v>
      </c>
      <c r="B1152" s="36" t="n">
        <v>46057</v>
      </c>
      <c r="C1152" s="49" t="n">
        <f aca="false">DATE(YEAR(B1152),MONTH(B1152),1)</f>
        <v>46054</v>
      </c>
      <c r="D1152" s="31" t="s">
        <v>194</v>
      </c>
      <c r="E1152" s="31" t="s">
        <v>41</v>
      </c>
      <c r="F1152" s="31" t="s">
        <v>46</v>
      </c>
      <c r="G1152" s="31" t="s">
        <v>58</v>
      </c>
      <c r="H1152" s="31" t="s">
        <v>181</v>
      </c>
      <c r="I1152" s="32" t="str">
        <f aca="false">INDEX(Productos!$B$2:$B$13,MATCH($H1152,Productos!$A$2:$A$13,0))</f>
        <v>Autotaladrante 5,5x55 punta broca</v>
      </c>
      <c r="J1152" s="32" t="str">
        <f aca="false">INDEX(Productos!$C$2:$C$13,MATCH($H1152,Productos!$A$2:$A$13,0))</f>
        <v>Autotaladrante</v>
      </c>
      <c r="K1152" s="31" t="s">
        <v>246</v>
      </c>
      <c r="L1152" s="46" t="n">
        <v>137</v>
      </c>
      <c r="M1152" s="50" t="n">
        <f aca="false">INDEX(Productos!$F$2:$F$13,MATCH($H1152,Productos!$A$2:$A$13,0))</f>
        <v>39</v>
      </c>
      <c r="N1152" s="51" t="n">
        <v>0.091</v>
      </c>
      <c r="O1152" s="52" t="n">
        <f aca="false">M1152*(1-N1152)</f>
        <v>35.451</v>
      </c>
      <c r="P1152" s="21" t="n">
        <f aca="false">L1152*O1152</f>
        <v>4856.787</v>
      </c>
      <c r="Q1152" s="50" t="n">
        <f aca="false">INDEX(Productos!$E$2:$E$13,MATCH($H1152,Productos!$A$2:$A$13,0))*INDEX(Parametros!$B$26:$B$43,MATCH($C1152,Parametros!$A$26:$A$43,0))</f>
        <v>20.706</v>
      </c>
      <c r="R1152" s="21" t="n">
        <f aca="false">L1152*Q1152</f>
        <v>2836.722</v>
      </c>
      <c r="S1152" s="18" t="n">
        <f aca="false">L1152*INDEX(Parametros!$B$20:$B$22,MATCH($E1152,Parametros!$A$20:$A$22,0))</f>
        <v>116.45</v>
      </c>
      <c r="T1152" s="18" t="n">
        <f aca="false">P1152*INDEX(Parametros!$B$13:$B$16,MATCH($F1152,Parametros!$A$13:$A$16,0))</f>
        <v>194.27148</v>
      </c>
      <c r="U1152" s="21" t="n">
        <f aca="false">P1152-R1152-S1152-T1152</f>
        <v>1709.34352</v>
      </c>
      <c r="V1152" s="19" t="n">
        <f aca="false">IFERROR(U1152/P1152,0)</f>
        <v>0.351949451355392</v>
      </c>
      <c r="W1152" s="48" t="n">
        <f aca="false">B1152+INDEX(Parametros!$C$13:$C$16,MATCH($F1152,Parametros!$A$13:$A$16,0))</f>
        <v>46132</v>
      </c>
      <c r="X1152" s="31" t="s">
        <v>67</v>
      </c>
      <c r="Y1152" s="53" t="n">
        <f aca="false">IF(COUNTIF($A$2:$A1152,A1152)=1,1,0)</f>
        <v>1</v>
      </c>
    </row>
    <row r="1153" customFormat="false" ht="15" hidden="false" customHeight="false" outlineLevel="0" collapsed="false">
      <c r="A1153" s="31" t="s">
        <v>860</v>
      </c>
      <c r="B1153" s="36" t="n">
        <v>46057</v>
      </c>
      <c r="C1153" s="49" t="n">
        <f aca="false">DATE(YEAR(B1153),MONTH(B1153),1)</f>
        <v>46054</v>
      </c>
      <c r="D1153" s="31" t="s">
        <v>194</v>
      </c>
      <c r="E1153" s="31" t="s">
        <v>41</v>
      </c>
      <c r="F1153" s="31" t="s">
        <v>46</v>
      </c>
      <c r="G1153" s="31" t="s">
        <v>58</v>
      </c>
      <c r="H1153" s="31" t="s">
        <v>171</v>
      </c>
      <c r="I1153" s="32" t="str">
        <f aca="false">INDEX(Productos!$B$2:$B$13,MATCH($H1153,Productos!$A$2:$A$13,0))</f>
        <v>Tornillo DIN 7991 M8x30 avellanado inox A2</v>
      </c>
      <c r="J1153" s="32" t="str">
        <f aca="false">INDEX(Productos!$C$2:$C$13,MATCH($H1153,Productos!$A$2:$A$13,0))</f>
        <v>Inoxidable</v>
      </c>
      <c r="K1153" s="31" t="s">
        <v>246</v>
      </c>
      <c r="L1153" s="46" t="n">
        <v>105</v>
      </c>
      <c r="M1153" s="50" t="n">
        <f aca="false">INDEX(Productos!$F$2:$F$13,MATCH($H1153,Productos!$A$2:$A$13,0))</f>
        <v>88</v>
      </c>
      <c r="N1153" s="51" t="n">
        <v>0.117</v>
      </c>
      <c r="O1153" s="52" t="n">
        <f aca="false">M1153*(1-N1153)</f>
        <v>77.704</v>
      </c>
      <c r="P1153" s="21" t="n">
        <f aca="false">L1153*O1153</f>
        <v>8158.92</v>
      </c>
      <c r="Q1153" s="50" t="n">
        <f aca="false">INDEX(Productos!$E$2:$E$13,MATCH($H1153,Productos!$A$2:$A$13,0))*INDEX(Parametros!$B$26:$B$43,MATCH($C1153,Parametros!$A$26:$A$43,0))</f>
        <v>47.43</v>
      </c>
      <c r="R1153" s="21" t="n">
        <f aca="false">L1153*Q1153</f>
        <v>4980.15</v>
      </c>
      <c r="S1153" s="18" t="n">
        <f aca="false">L1153*INDEX(Parametros!$B$20:$B$22,MATCH($E1153,Parametros!$A$20:$A$22,0))</f>
        <v>89.25</v>
      </c>
      <c r="T1153" s="18" t="n">
        <f aca="false">P1153*INDEX(Parametros!$B$13:$B$16,MATCH($F1153,Parametros!$A$13:$A$16,0))</f>
        <v>326.3568</v>
      </c>
      <c r="U1153" s="21" t="n">
        <f aca="false">P1153-R1153-S1153-T1153</f>
        <v>2763.1632</v>
      </c>
      <c r="V1153" s="19" t="n">
        <f aca="false">IFERROR(U1153/P1153,0)</f>
        <v>0.33866776485123</v>
      </c>
      <c r="W1153" s="48" t="n">
        <f aca="false">B1153+INDEX(Parametros!$C$13:$C$16,MATCH($F1153,Parametros!$A$13:$A$16,0))</f>
        <v>46132</v>
      </c>
      <c r="X1153" s="31" t="s">
        <v>67</v>
      </c>
      <c r="Y1153" s="53" t="n">
        <f aca="false">IF(COUNTIF($A$2:$A1153,A1153)=1,1,0)</f>
        <v>0</v>
      </c>
    </row>
    <row r="1154" customFormat="false" ht="15" hidden="false" customHeight="false" outlineLevel="0" collapsed="false">
      <c r="A1154" s="31" t="s">
        <v>861</v>
      </c>
      <c r="B1154" s="36" t="n">
        <v>46059</v>
      </c>
      <c r="C1154" s="49" t="n">
        <f aca="false">DATE(YEAR(B1154),MONTH(B1154),1)</f>
        <v>46054</v>
      </c>
      <c r="D1154" s="31" t="s">
        <v>194</v>
      </c>
      <c r="E1154" s="31" t="s">
        <v>41</v>
      </c>
      <c r="F1154" s="31" t="s">
        <v>46</v>
      </c>
      <c r="G1154" s="31" t="s">
        <v>58</v>
      </c>
      <c r="H1154" s="31" t="s">
        <v>167</v>
      </c>
      <c r="I1154" s="32" t="str">
        <f aca="false">INDEX(Productos!$B$2:$B$13,MATCH($H1154,Productos!$A$2:$A$13,0))</f>
        <v>Tornillo DIN 912 M6x25 Allen zincado</v>
      </c>
      <c r="J1154" s="32" t="str">
        <f aca="false">INDEX(Productos!$C$2:$C$13,MATCH($H1154,Productos!$A$2:$A$13,0))</f>
        <v>Métrica</v>
      </c>
      <c r="K1154" s="31" t="s">
        <v>246</v>
      </c>
      <c r="L1154" s="46" t="n">
        <v>69</v>
      </c>
      <c r="M1154" s="50" t="n">
        <f aca="false">INDEX(Productos!$F$2:$F$13,MATCH($H1154,Productos!$A$2:$A$13,0))</f>
        <v>42</v>
      </c>
      <c r="N1154" s="51" t="n">
        <v>0.087</v>
      </c>
      <c r="O1154" s="52" t="n">
        <f aca="false">M1154*(1-N1154)</f>
        <v>38.346</v>
      </c>
      <c r="P1154" s="21" t="n">
        <f aca="false">L1154*O1154</f>
        <v>2645.874</v>
      </c>
      <c r="Q1154" s="50" t="n">
        <f aca="false">INDEX(Productos!$E$2:$E$13,MATCH($H1154,Productos!$A$2:$A$13,0))*INDEX(Parametros!$B$26:$B$43,MATCH($C1154,Parametros!$A$26:$A$43,0))</f>
        <v>22.236</v>
      </c>
      <c r="R1154" s="21" t="n">
        <f aca="false">L1154*Q1154</f>
        <v>1534.284</v>
      </c>
      <c r="S1154" s="18" t="n">
        <f aca="false">L1154*INDEX(Parametros!$B$20:$B$22,MATCH($E1154,Parametros!$A$20:$A$22,0))</f>
        <v>58.65</v>
      </c>
      <c r="T1154" s="18" t="n">
        <f aca="false">P1154*INDEX(Parametros!$B$13:$B$16,MATCH($F1154,Parametros!$A$13:$A$16,0))</f>
        <v>105.83496</v>
      </c>
      <c r="U1154" s="21" t="n">
        <f aca="false">P1154-R1154-S1154-T1154</f>
        <v>947.10504</v>
      </c>
      <c r="V1154" s="19" t="n">
        <f aca="false">IFERROR(U1154/P1154,0)</f>
        <v>0.357955458196422</v>
      </c>
      <c r="W1154" s="48" t="n">
        <f aca="false">B1154+INDEX(Parametros!$C$13:$C$16,MATCH($F1154,Parametros!$A$13:$A$16,0))</f>
        <v>46134</v>
      </c>
      <c r="X1154" s="31" t="s">
        <v>67</v>
      </c>
      <c r="Y1154" s="53" t="n">
        <f aca="false">IF(COUNTIF($A$2:$A1154,A1154)=1,1,0)</f>
        <v>1</v>
      </c>
    </row>
    <row r="1155" customFormat="false" ht="15" hidden="false" customHeight="false" outlineLevel="0" collapsed="false">
      <c r="A1155" s="31" t="s">
        <v>861</v>
      </c>
      <c r="B1155" s="36" t="n">
        <v>46059</v>
      </c>
      <c r="C1155" s="49" t="n">
        <f aca="false">DATE(YEAR(B1155),MONTH(B1155),1)</f>
        <v>46054</v>
      </c>
      <c r="D1155" s="31" t="s">
        <v>194</v>
      </c>
      <c r="E1155" s="31" t="s">
        <v>41</v>
      </c>
      <c r="F1155" s="31" t="s">
        <v>46</v>
      </c>
      <c r="G1155" s="31" t="s">
        <v>58</v>
      </c>
      <c r="H1155" s="31" t="s">
        <v>175</v>
      </c>
      <c r="I1155" s="32" t="str">
        <f aca="false">INDEX(Productos!$B$2:$B$13,MATCH($H1155,Productos!$A$2:$A$13,0))</f>
        <v>Tirafondo madera 5x60 cabeza plana Torx</v>
      </c>
      <c r="J1155" s="32" t="str">
        <f aca="false">INDEX(Productos!$C$2:$C$13,MATCH($H1155,Productos!$A$2:$A$13,0))</f>
        <v>Madera</v>
      </c>
      <c r="K1155" s="31" t="s">
        <v>246</v>
      </c>
      <c r="L1155" s="46" t="n">
        <v>27</v>
      </c>
      <c r="M1155" s="50" t="n">
        <f aca="false">INDEX(Productos!$F$2:$F$13,MATCH($H1155,Productos!$A$2:$A$13,0))</f>
        <v>26</v>
      </c>
      <c r="N1155" s="51" t="n">
        <v>0.138</v>
      </c>
      <c r="O1155" s="52" t="n">
        <f aca="false">M1155*(1-N1155)</f>
        <v>22.412</v>
      </c>
      <c r="P1155" s="21" t="n">
        <f aca="false">L1155*O1155</f>
        <v>605.124</v>
      </c>
      <c r="Q1155" s="50" t="n">
        <f aca="false">INDEX(Productos!$E$2:$E$13,MATCH($H1155,Productos!$A$2:$A$13,0))*INDEX(Parametros!$B$26:$B$43,MATCH($C1155,Parametros!$A$26:$A$43,0))</f>
        <v>13.668</v>
      </c>
      <c r="R1155" s="21" t="n">
        <f aca="false">L1155*Q1155</f>
        <v>369.036</v>
      </c>
      <c r="S1155" s="18" t="n">
        <f aca="false">L1155*INDEX(Parametros!$B$20:$B$22,MATCH($E1155,Parametros!$A$20:$A$22,0))</f>
        <v>22.95</v>
      </c>
      <c r="T1155" s="18" t="n">
        <f aca="false">P1155*INDEX(Parametros!$B$13:$B$16,MATCH($F1155,Parametros!$A$13:$A$16,0))</f>
        <v>24.20496</v>
      </c>
      <c r="U1155" s="21" t="n">
        <f aca="false">P1155-R1155-S1155-T1155</f>
        <v>188.93304</v>
      </c>
      <c r="V1155" s="19" t="n">
        <f aca="false">IFERROR(U1155/P1155,0)</f>
        <v>0.31222202391576</v>
      </c>
      <c r="W1155" s="48" t="n">
        <f aca="false">B1155+INDEX(Parametros!$C$13:$C$16,MATCH($F1155,Parametros!$A$13:$A$16,0))</f>
        <v>46134</v>
      </c>
      <c r="X1155" s="31" t="s">
        <v>69</v>
      </c>
      <c r="Y1155" s="53" t="n">
        <f aca="false">IF(COUNTIF($A$2:$A1155,A1155)=1,1,0)</f>
        <v>0</v>
      </c>
    </row>
    <row r="1156" customFormat="false" ht="15" hidden="false" customHeight="false" outlineLevel="0" collapsed="false">
      <c r="A1156" s="31" t="s">
        <v>862</v>
      </c>
      <c r="B1156" s="36" t="n">
        <v>46059</v>
      </c>
      <c r="C1156" s="49" t="n">
        <f aca="false">DATE(YEAR(B1156),MONTH(B1156),1)</f>
        <v>46054</v>
      </c>
      <c r="D1156" s="31" t="s">
        <v>205</v>
      </c>
      <c r="E1156" s="31" t="s">
        <v>41</v>
      </c>
      <c r="F1156" s="31" t="s">
        <v>45</v>
      </c>
      <c r="G1156" s="31" t="s">
        <v>62</v>
      </c>
      <c r="H1156" s="31" t="s">
        <v>163</v>
      </c>
      <c r="I1156" s="32" t="str">
        <f aca="false">INDEX(Productos!$B$2:$B$13,MATCH($H1156,Productos!$A$2:$A$13,0))</f>
        <v>Tornillo DIN 933 M6x30 rosca completa zincado</v>
      </c>
      <c r="J1156" s="32" t="str">
        <f aca="false">INDEX(Productos!$C$2:$C$13,MATCH($H1156,Productos!$A$2:$A$13,0))</f>
        <v>Métrica</v>
      </c>
      <c r="K1156" s="31" t="s">
        <v>246</v>
      </c>
      <c r="L1156" s="46" t="n">
        <v>49</v>
      </c>
      <c r="M1156" s="50" t="n">
        <f aca="false">INDEX(Productos!$F$2:$F$13,MATCH($H1156,Productos!$A$2:$A$13,0))</f>
        <v>32</v>
      </c>
      <c r="N1156" s="51" t="n">
        <v>0.174</v>
      </c>
      <c r="O1156" s="52" t="n">
        <f aca="false">M1156*(1-N1156)</f>
        <v>26.432</v>
      </c>
      <c r="P1156" s="21" t="n">
        <f aca="false">L1156*O1156</f>
        <v>1295.168</v>
      </c>
      <c r="Q1156" s="50" t="n">
        <f aca="false">INDEX(Productos!$E$2:$E$13,MATCH($H1156,Productos!$A$2:$A$13,0))*INDEX(Parametros!$B$26:$B$43,MATCH($C1156,Parametros!$A$26:$A$43,0))</f>
        <v>16.932</v>
      </c>
      <c r="R1156" s="21" t="n">
        <f aca="false">L1156*Q1156</f>
        <v>829.668</v>
      </c>
      <c r="S1156" s="18" t="n">
        <f aca="false">L1156*INDEX(Parametros!$B$20:$B$22,MATCH($E1156,Parametros!$A$20:$A$22,0))</f>
        <v>41.65</v>
      </c>
      <c r="T1156" s="18" t="n">
        <f aca="false">P1156*INDEX(Parametros!$B$13:$B$16,MATCH($F1156,Parametros!$A$13:$A$16,0))</f>
        <v>38.85504</v>
      </c>
      <c r="U1156" s="21" t="n">
        <f aca="false">P1156-R1156-S1156-T1156</f>
        <v>384.99496</v>
      </c>
      <c r="V1156" s="19" t="n">
        <f aca="false">IFERROR(U1156/P1156,0)</f>
        <v>0.297254842615012</v>
      </c>
      <c r="W1156" s="48" t="n">
        <f aca="false">B1156+INDEX(Parametros!$C$13:$C$16,MATCH($F1156,Parametros!$A$13:$A$16,0))</f>
        <v>46119</v>
      </c>
      <c r="X1156" s="31" t="s">
        <v>67</v>
      </c>
      <c r="Y1156" s="53" t="n">
        <f aca="false">IF(COUNTIF($A$2:$A1156,A1156)=1,1,0)</f>
        <v>1</v>
      </c>
    </row>
    <row r="1157" customFormat="false" ht="15" hidden="false" customHeight="false" outlineLevel="0" collapsed="false">
      <c r="A1157" s="31" t="s">
        <v>863</v>
      </c>
      <c r="B1157" s="36" t="n">
        <v>46062</v>
      </c>
      <c r="C1157" s="49" t="n">
        <f aca="false">DATE(YEAR(B1157),MONTH(B1157),1)</f>
        <v>46054</v>
      </c>
      <c r="D1157" s="31" t="s">
        <v>226</v>
      </c>
      <c r="E1157" s="31" t="s">
        <v>43</v>
      </c>
      <c r="F1157" s="31" t="s">
        <v>46</v>
      </c>
      <c r="G1157" s="31" t="s">
        <v>59</v>
      </c>
      <c r="H1157" s="31" t="s">
        <v>179</v>
      </c>
      <c r="I1157" s="32" t="str">
        <f aca="false">INDEX(Productos!$B$2:$B$13,MATCH($H1157,Productos!$A$2:$A$13,0))</f>
        <v>Autotaladrante DIN 7504 4,8x38 zincado</v>
      </c>
      <c r="J1157" s="32" t="str">
        <f aca="false">INDEX(Productos!$C$2:$C$13,MATCH($H1157,Productos!$A$2:$A$13,0))</f>
        <v>Autotaladrante</v>
      </c>
      <c r="K1157" s="31" t="s">
        <v>246</v>
      </c>
      <c r="L1157" s="46" t="n">
        <v>137</v>
      </c>
      <c r="M1157" s="50" t="n">
        <f aca="false">INDEX(Productos!$F$2:$F$13,MATCH($H1157,Productos!$A$2:$A$13,0))</f>
        <v>29.5</v>
      </c>
      <c r="N1157" s="51" t="n">
        <v>0.08</v>
      </c>
      <c r="O1157" s="52" t="n">
        <f aca="false">M1157*(1-N1157)</f>
        <v>27.14</v>
      </c>
      <c r="P1157" s="21" t="n">
        <f aca="false">L1157*O1157</f>
        <v>3718.18</v>
      </c>
      <c r="Q1157" s="50" t="n">
        <f aca="false">INDEX(Productos!$E$2:$E$13,MATCH($H1157,Productos!$A$2:$A$13,0))*INDEX(Parametros!$B$26:$B$43,MATCH($C1157,Parametros!$A$26:$A$43,0))</f>
        <v>15.504</v>
      </c>
      <c r="R1157" s="21" t="n">
        <f aca="false">L1157*Q1157</f>
        <v>2124.048</v>
      </c>
      <c r="S1157" s="18" t="n">
        <f aca="false">L1157*INDEX(Parametros!$B$20:$B$22,MATCH($E1157,Parametros!$A$20:$A$22,0))</f>
        <v>260.3</v>
      </c>
      <c r="T1157" s="18" t="n">
        <f aca="false">P1157*INDEX(Parametros!$B$13:$B$16,MATCH($F1157,Parametros!$A$13:$A$16,0))</f>
        <v>148.7272</v>
      </c>
      <c r="U1157" s="21" t="n">
        <f aca="false">P1157-R1157-S1157-T1157</f>
        <v>1185.1048</v>
      </c>
      <c r="V1157" s="19" t="n">
        <f aca="false">IFERROR(U1157/P1157,0)</f>
        <v>0.318732498157701</v>
      </c>
      <c r="W1157" s="48" t="n">
        <f aca="false">B1157+INDEX(Parametros!$C$13:$C$16,MATCH($F1157,Parametros!$A$13:$A$16,0))</f>
        <v>46137</v>
      </c>
      <c r="X1157" s="31" t="s">
        <v>67</v>
      </c>
      <c r="Y1157" s="53" t="n">
        <f aca="false">IF(COUNTIF($A$2:$A1157,A1157)=1,1,0)</f>
        <v>1</v>
      </c>
    </row>
    <row r="1158" customFormat="false" ht="15" hidden="false" customHeight="false" outlineLevel="0" collapsed="false">
      <c r="A1158" s="31" t="s">
        <v>864</v>
      </c>
      <c r="B1158" s="36" t="n">
        <v>46062</v>
      </c>
      <c r="C1158" s="49" t="n">
        <f aca="false">DATE(YEAR(B1158),MONTH(B1158),1)</f>
        <v>46054</v>
      </c>
      <c r="D1158" s="31" t="s">
        <v>218</v>
      </c>
      <c r="E1158" s="31" t="s">
        <v>42</v>
      </c>
      <c r="F1158" s="31" t="s">
        <v>45</v>
      </c>
      <c r="G1158" s="31" t="s">
        <v>61</v>
      </c>
      <c r="H1158" s="31" t="s">
        <v>171</v>
      </c>
      <c r="I1158" s="32" t="str">
        <f aca="false">INDEX(Productos!$B$2:$B$13,MATCH($H1158,Productos!$A$2:$A$13,0))</f>
        <v>Tornillo DIN 7991 M8x30 avellanado inox A2</v>
      </c>
      <c r="J1158" s="32" t="str">
        <f aca="false">INDEX(Productos!$C$2:$C$13,MATCH($H1158,Productos!$A$2:$A$13,0))</f>
        <v>Inoxidable</v>
      </c>
      <c r="K1158" s="31" t="s">
        <v>246</v>
      </c>
      <c r="L1158" s="46" t="n">
        <v>57</v>
      </c>
      <c r="M1158" s="50" t="n">
        <f aca="false">INDEX(Productos!$F$2:$F$13,MATCH($H1158,Productos!$A$2:$A$13,0))</f>
        <v>88</v>
      </c>
      <c r="N1158" s="51" t="n">
        <v>0.182</v>
      </c>
      <c r="O1158" s="52" t="n">
        <f aca="false">M1158*(1-N1158)</f>
        <v>71.984</v>
      </c>
      <c r="P1158" s="21" t="n">
        <f aca="false">L1158*O1158</f>
        <v>4103.088</v>
      </c>
      <c r="Q1158" s="50" t="n">
        <f aca="false">INDEX(Productos!$E$2:$E$13,MATCH($H1158,Productos!$A$2:$A$13,0))*INDEX(Parametros!$B$26:$B$43,MATCH($C1158,Parametros!$A$26:$A$43,0))</f>
        <v>47.43</v>
      </c>
      <c r="R1158" s="21" t="n">
        <f aca="false">L1158*Q1158</f>
        <v>2703.51</v>
      </c>
      <c r="S1158" s="18" t="n">
        <f aca="false">L1158*INDEX(Parametros!$B$20:$B$22,MATCH($E1158,Parametros!$A$20:$A$22,0))</f>
        <v>136.8</v>
      </c>
      <c r="T1158" s="18" t="n">
        <f aca="false">P1158*INDEX(Parametros!$B$13:$B$16,MATCH($F1158,Parametros!$A$13:$A$16,0))</f>
        <v>123.09264</v>
      </c>
      <c r="U1158" s="21" t="n">
        <f aca="false">P1158-R1158-S1158-T1158</f>
        <v>1139.68536</v>
      </c>
      <c r="V1158" s="19" t="n">
        <f aca="false">IFERROR(U1158/P1158,0)</f>
        <v>0.277762836185819</v>
      </c>
      <c r="W1158" s="48" t="n">
        <f aca="false">B1158+INDEX(Parametros!$C$13:$C$16,MATCH($F1158,Parametros!$A$13:$A$16,0))</f>
        <v>46122</v>
      </c>
      <c r="X1158" s="31" t="s">
        <v>67</v>
      </c>
      <c r="Y1158" s="53" t="n">
        <f aca="false">IF(COUNTIF($A$2:$A1158,A1158)=1,1,0)</f>
        <v>1</v>
      </c>
    </row>
    <row r="1159" customFormat="false" ht="15" hidden="false" customHeight="false" outlineLevel="0" collapsed="false">
      <c r="A1159" s="31" t="s">
        <v>865</v>
      </c>
      <c r="B1159" s="36" t="n">
        <v>46062</v>
      </c>
      <c r="C1159" s="49" t="n">
        <f aca="false">DATE(YEAR(B1159),MONTH(B1159),1)</f>
        <v>46054</v>
      </c>
      <c r="D1159" s="31" t="s">
        <v>228</v>
      </c>
      <c r="E1159" s="31" t="s">
        <v>43</v>
      </c>
      <c r="F1159" s="31" t="s">
        <v>47</v>
      </c>
      <c r="G1159" s="31" t="s">
        <v>59</v>
      </c>
      <c r="H1159" s="31" t="s">
        <v>183</v>
      </c>
      <c r="I1159" s="32" t="str">
        <f aca="false">INDEX(Productos!$B$2:$B$13,MATCH($H1159,Productos!$A$2:$A$13,0))</f>
        <v>Tornillo estructural M16x90 clase 10.9</v>
      </c>
      <c r="J1159" s="32" t="str">
        <f aca="false">INDEX(Productos!$C$2:$C$13,MATCH($H1159,Productos!$A$2:$A$13,0))</f>
        <v>Especial</v>
      </c>
      <c r="K1159" s="31" t="s">
        <v>246</v>
      </c>
      <c r="L1159" s="46" t="n">
        <v>22</v>
      </c>
      <c r="M1159" s="50" t="n">
        <f aca="false">INDEX(Productos!$F$2:$F$13,MATCH($H1159,Productos!$A$2:$A$13,0))</f>
        <v>112</v>
      </c>
      <c r="N1159" s="51" t="n">
        <v>0.074</v>
      </c>
      <c r="O1159" s="52" t="n">
        <f aca="false">M1159*(1-N1159)</f>
        <v>103.712</v>
      </c>
      <c r="P1159" s="21" t="n">
        <f aca="false">L1159*O1159</f>
        <v>2281.664</v>
      </c>
      <c r="Q1159" s="50" t="n">
        <f aca="false">INDEX(Productos!$E$2:$E$13,MATCH($H1159,Productos!$A$2:$A$13,0))*INDEX(Parametros!$B$26:$B$43,MATCH($C1159,Parametros!$A$26:$A$43,0))</f>
        <v>61.2</v>
      </c>
      <c r="R1159" s="21" t="n">
        <f aca="false">L1159*Q1159</f>
        <v>1346.4</v>
      </c>
      <c r="S1159" s="18" t="n">
        <f aca="false">L1159*INDEX(Parametros!$B$20:$B$22,MATCH($E1159,Parametros!$A$20:$A$22,0))</f>
        <v>41.8</v>
      </c>
      <c r="T1159" s="18" t="n">
        <f aca="false">P1159*INDEX(Parametros!$B$13:$B$16,MATCH($F1159,Parametros!$A$13:$A$16,0))</f>
        <v>79.85824</v>
      </c>
      <c r="U1159" s="21" t="n">
        <f aca="false">P1159-R1159-S1159-T1159</f>
        <v>813.60576</v>
      </c>
      <c r="V1159" s="19" t="n">
        <f aca="false">IFERROR(U1159/P1159,0)</f>
        <v>0.356584387534712</v>
      </c>
      <c r="W1159" s="48" t="n">
        <f aca="false">B1159+INDEX(Parametros!$C$13:$C$16,MATCH($F1159,Parametros!$A$13:$A$16,0))</f>
        <v>46107</v>
      </c>
      <c r="X1159" s="31" t="s">
        <v>67</v>
      </c>
      <c r="Y1159" s="53" t="n">
        <f aca="false">IF(COUNTIF($A$2:$A1159,A1159)=1,1,0)</f>
        <v>1</v>
      </c>
    </row>
    <row r="1160" customFormat="false" ht="15" hidden="false" customHeight="false" outlineLevel="0" collapsed="false">
      <c r="A1160" s="31" t="s">
        <v>865</v>
      </c>
      <c r="B1160" s="36" t="n">
        <v>46062</v>
      </c>
      <c r="C1160" s="49" t="n">
        <f aca="false">DATE(YEAR(B1160),MONTH(B1160),1)</f>
        <v>46054</v>
      </c>
      <c r="D1160" s="31" t="s">
        <v>228</v>
      </c>
      <c r="E1160" s="31" t="s">
        <v>43</v>
      </c>
      <c r="F1160" s="31" t="s">
        <v>47</v>
      </c>
      <c r="G1160" s="31" t="s">
        <v>59</v>
      </c>
      <c r="H1160" s="31" t="s">
        <v>177</v>
      </c>
      <c r="I1160" s="32" t="str">
        <f aca="false">INDEX(Productos!$B$2:$B$13,MATCH($H1160,Productos!$A$2:$A$13,0))</f>
        <v>Tirafondo madera 6x100 cabeza plana Torx</v>
      </c>
      <c r="J1160" s="32" t="str">
        <f aca="false">INDEX(Productos!$C$2:$C$13,MATCH($H1160,Productos!$A$2:$A$13,0))</f>
        <v>Madera</v>
      </c>
      <c r="K1160" s="31" t="s">
        <v>246</v>
      </c>
      <c r="L1160" s="46" t="n">
        <v>156</v>
      </c>
      <c r="M1160" s="50" t="n">
        <f aca="false">INDEX(Productos!$F$2:$F$13,MATCH($H1160,Productos!$A$2:$A$13,0))</f>
        <v>34</v>
      </c>
      <c r="N1160" s="51" t="n">
        <v>0.086</v>
      </c>
      <c r="O1160" s="52" t="n">
        <f aca="false">M1160*(1-N1160)</f>
        <v>31.076</v>
      </c>
      <c r="P1160" s="21" t="n">
        <f aca="false">L1160*O1160</f>
        <v>4847.856</v>
      </c>
      <c r="Q1160" s="50" t="n">
        <f aca="false">INDEX(Productos!$E$2:$E$13,MATCH($H1160,Productos!$A$2:$A$13,0))*INDEX(Parametros!$B$26:$B$43,MATCH($C1160,Parametros!$A$26:$A$43,0))</f>
        <v>18.156</v>
      </c>
      <c r="R1160" s="21" t="n">
        <f aca="false">L1160*Q1160</f>
        <v>2832.336</v>
      </c>
      <c r="S1160" s="18" t="n">
        <f aca="false">L1160*INDEX(Parametros!$B$20:$B$22,MATCH($E1160,Parametros!$A$20:$A$22,0))</f>
        <v>296.4</v>
      </c>
      <c r="T1160" s="18" t="n">
        <f aca="false">P1160*INDEX(Parametros!$B$13:$B$16,MATCH($F1160,Parametros!$A$13:$A$16,0))</f>
        <v>169.67496</v>
      </c>
      <c r="U1160" s="21" t="n">
        <f aca="false">P1160-R1160-S1160-T1160</f>
        <v>1549.44504</v>
      </c>
      <c r="V1160" s="19" t="n">
        <f aca="false">IFERROR(U1160/P1160,0)</f>
        <v>0.319614493499807</v>
      </c>
      <c r="W1160" s="48" t="n">
        <f aca="false">B1160+INDEX(Parametros!$C$13:$C$16,MATCH($F1160,Parametros!$A$13:$A$16,0))</f>
        <v>46107</v>
      </c>
      <c r="X1160" s="31" t="s">
        <v>67</v>
      </c>
      <c r="Y1160" s="53" t="n">
        <f aca="false">IF(COUNTIF($A$2:$A1160,A1160)=1,1,0)</f>
        <v>0</v>
      </c>
    </row>
    <row r="1161" customFormat="false" ht="15" hidden="false" customHeight="false" outlineLevel="0" collapsed="false">
      <c r="A1161" s="31" t="s">
        <v>865</v>
      </c>
      <c r="B1161" s="36" t="n">
        <v>46062</v>
      </c>
      <c r="C1161" s="49" t="n">
        <f aca="false">DATE(YEAR(B1161),MONTH(B1161),1)</f>
        <v>46054</v>
      </c>
      <c r="D1161" s="31" t="s">
        <v>228</v>
      </c>
      <c r="E1161" s="31" t="s">
        <v>43</v>
      </c>
      <c r="F1161" s="31" t="s">
        <v>47</v>
      </c>
      <c r="G1161" s="31" t="s">
        <v>59</v>
      </c>
      <c r="H1161" s="31" t="s">
        <v>173</v>
      </c>
      <c r="I1161" s="32" t="str">
        <f aca="false">INDEX(Productos!$B$2:$B$13,MATCH($H1161,Productos!$A$2:$A$13,0))</f>
        <v>Tornillo DIN 933 M12x70 clase 8.8</v>
      </c>
      <c r="J1161" s="32" t="str">
        <f aca="false">INDEX(Productos!$C$2:$C$13,MATCH($H1161,Productos!$A$2:$A$13,0))</f>
        <v>Métrica</v>
      </c>
      <c r="K1161" s="31" t="s">
        <v>246</v>
      </c>
      <c r="L1161" s="46" t="n">
        <v>17</v>
      </c>
      <c r="M1161" s="50" t="n">
        <f aca="false">INDEX(Productos!$F$2:$F$13,MATCH($H1161,Productos!$A$2:$A$13,0))</f>
        <v>64</v>
      </c>
      <c r="N1161" s="51" t="n">
        <v>0.051</v>
      </c>
      <c r="O1161" s="52" t="n">
        <f aca="false">M1161*(1-N1161)</f>
        <v>60.736</v>
      </c>
      <c r="P1161" s="21" t="n">
        <f aca="false">L1161*O1161</f>
        <v>1032.512</v>
      </c>
      <c r="Q1161" s="50" t="n">
        <f aca="false">INDEX(Productos!$E$2:$E$13,MATCH($H1161,Productos!$A$2:$A$13,0))*INDEX(Parametros!$B$26:$B$43,MATCH($C1161,Parametros!$A$26:$A$43,0))</f>
        <v>34.17</v>
      </c>
      <c r="R1161" s="21" t="n">
        <f aca="false">L1161*Q1161</f>
        <v>580.89</v>
      </c>
      <c r="S1161" s="18" t="n">
        <f aca="false">L1161*INDEX(Parametros!$B$20:$B$22,MATCH($E1161,Parametros!$A$20:$A$22,0))</f>
        <v>32.3</v>
      </c>
      <c r="T1161" s="18" t="n">
        <f aca="false">P1161*INDEX(Parametros!$B$13:$B$16,MATCH($F1161,Parametros!$A$13:$A$16,0))</f>
        <v>36.13792</v>
      </c>
      <c r="U1161" s="21" t="n">
        <f aca="false">P1161-R1161-S1161-T1161</f>
        <v>383.18408</v>
      </c>
      <c r="V1161" s="19" t="n">
        <f aca="false">IFERROR(U1161/P1161,0)</f>
        <v>0.371118282402529</v>
      </c>
      <c r="W1161" s="48" t="n">
        <f aca="false">B1161+INDEX(Parametros!$C$13:$C$16,MATCH($F1161,Parametros!$A$13:$A$16,0))</f>
        <v>46107</v>
      </c>
      <c r="X1161" s="31" t="s">
        <v>67</v>
      </c>
      <c r="Y1161" s="53" t="n">
        <f aca="false">IF(COUNTIF($A$2:$A1161,A1161)=1,1,0)</f>
        <v>0</v>
      </c>
    </row>
    <row r="1162" customFormat="false" ht="15" hidden="false" customHeight="false" outlineLevel="0" collapsed="false">
      <c r="A1162" s="31" t="s">
        <v>865</v>
      </c>
      <c r="B1162" s="36" t="n">
        <v>46062</v>
      </c>
      <c r="C1162" s="49" t="n">
        <f aca="false">DATE(YEAR(B1162),MONTH(B1162),1)</f>
        <v>46054</v>
      </c>
      <c r="D1162" s="31" t="s">
        <v>228</v>
      </c>
      <c r="E1162" s="31" t="s">
        <v>43</v>
      </c>
      <c r="F1162" s="31" t="s">
        <v>47</v>
      </c>
      <c r="G1162" s="31" t="s">
        <v>59</v>
      </c>
      <c r="H1162" s="31" t="s">
        <v>165</v>
      </c>
      <c r="I1162" s="32" t="str">
        <f aca="false">INDEX(Productos!$B$2:$B$13,MATCH($H1162,Productos!$A$2:$A$13,0))</f>
        <v>Tornillo DIN 933 M8x40 rosca completa zincado</v>
      </c>
      <c r="J1162" s="32" t="str">
        <f aca="false">INDEX(Productos!$C$2:$C$13,MATCH($H1162,Productos!$A$2:$A$13,0))</f>
        <v>Métrica</v>
      </c>
      <c r="K1162" s="31" t="s">
        <v>246</v>
      </c>
      <c r="L1162" s="46" t="n">
        <v>59</v>
      </c>
      <c r="M1162" s="50" t="n">
        <f aca="false">INDEX(Productos!$F$2:$F$13,MATCH($H1162,Productos!$A$2:$A$13,0))</f>
        <v>37.5</v>
      </c>
      <c r="N1162" s="51" t="n">
        <v>0.03</v>
      </c>
      <c r="O1162" s="52" t="n">
        <f aca="false">M1162*(1-N1162)</f>
        <v>36.375</v>
      </c>
      <c r="P1162" s="21" t="n">
        <f aca="false">L1162*O1162</f>
        <v>2146.125</v>
      </c>
      <c r="Q1162" s="50" t="n">
        <f aca="false">INDEX(Productos!$E$2:$E$13,MATCH($H1162,Productos!$A$2:$A$13,0))*INDEX(Parametros!$B$26:$B$43,MATCH($C1162,Parametros!$A$26:$A$43,0))</f>
        <v>19.788</v>
      </c>
      <c r="R1162" s="21" t="n">
        <f aca="false">L1162*Q1162</f>
        <v>1167.492</v>
      </c>
      <c r="S1162" s="18" t="n">
        <f aca="false">L1162*INDEX(Parametros!$B$20:$B$22,MATCH($E1162,Parametros!$A$20:$A$22,0))</f>
        <v>112.1</v>
      </c>
      <c r="T1162" s="18" t="n">
        <f aca="false">P1162*INDEX(Parametros!$B$13:$B$16,MATCH($F1162,Parametros!$A$13:$A$16,0))</f>
        <v>75.114375</v>
      </c>
      <c r="U1162" s="21" t="n">
        <f aca="false">P1162-R1162-S1162-T1162</f>
        <v>791.418625</v>
      </c>
      <c r="V1162" s="19" t="n">
        <f aca="false">IFERROR(U1162/P1162,0)</f>
        <v>0.368766323024055</v>
      </c>
      <c r="W1162" s="48" t="n">
        <f aca="false">B1162+INDEX(Parametros!$C$13:$C$16,MATCH($F1162,Parametros!$A$13:$A$16,0))</f>
        <v>46107</v>
      </c>
      <c r="X1162" s="31" t="s">
        <v>69</v>
      </c>
      <c r="Y1162" s="53" t="n">
        <f aca="false">IF(COUNTIF($A$2:$A1162,A1162)=1,1,0)</f>
        <v>0</v>
      </c>
    </row>
    <row r="1163" customFormat="false" ht="15" hidden="false" customHeight="false" outlineLevel="0" collapsed="false">
      <c r="A1163" s="31" t="s">
        <v>866</v>
      </c>
      <c r="B1163" s="36" t="n">
        <v>46062</v>
      </c>
      <c r="C1163" s="49" t="n">
        <f aca="false">DATE(YEAR(B1163),MONTH(B1163),1)</f>
        <v>46054</v>
      </c>
      <c r="D1163" s="31" t="s">
        <v>223</v>
      </c>
      <c r="E1163" s="31" t="s">
        <v>43</v>
      </c>
      <c r="F1163" s="31" t="s">
        <v>46</v>
      </c>
      <c r="G1163" s="31" t="s">
        <v>59</v>
      </c>
      <c r="H1163" s="31" t="s">
        <v>163</v>
      </c>
      <c r="I1163" s="32" t="str">
        <f aca="false">INDEX(Productos!$B$2:$B$13,MATCH($H1163,Productos!$A$2:$A$13,0))</f>
        <v>Tornillo DIN 933 M6x30 rosca completa zincado</v>
      </c>
      <c r="J1163" s="32" t="str">
        <f aca="false">INDEX(Productos!$C$2:$C$13,MATCH($H1163,Productos!$A$2:$A$13,0))</f>
        <v>Métrica</v>
      </c>
      <c r="K1163" s="31" t="s">
        <v>246</v>
      </c>
      <c r="L1163" s="46" t="n">
        <v>35</v>
      </c>
      <c r="M1163" s="50" t="n">
        <f aca="false">INDEX(Productos!$F$2:$F$13,MATCH($H1163,Productos!$A$2:$A$13,0))</f>
        <v>32</v>
      </c>
      <c r="N1163" s="51" t="n">
        <v>0.169</v>
      </c>
      <c r="O1163" s="52" t="n">
        <f aca="false">M1163*(1-N1163)</f>
        <v>26.592</v>
      </c>
      <c r="P1163" s="21" t="n">
        <f aca="false">L1163*O1163</f>
        <v>930.72</v>
      </c>
      <c r="Q1163" s="50" t="n">
        <f aca="false">INDEX(Productos!$E$2:$E$13,MATCH($H1163,Productos!$A$2:$A$13,0))*INDEX(Parametros!$B$26:$B$43,MATCH($C1163,Parametros!$A$26:$A$43,0))</f>
        <v>16.932</v>
      </c>
      <c r="R1163" s="21" t="n">
        <f aca="false">L1163*Q1163</f>
        <v>592.62</v>
      </c>
      <c r="S1163" s="18" t="n">
        <f aca="false">L1163*INDEX(Parametros!$B$20:$B$22,MATCH($E1163,Parametros!$A$20:$A$22,0))</f>
        <v>66.5</v>
      </c>
      <c r="T1163" s="18" t="n">
        <f aca="false">P1163*INDEX(Parametros!$B$13:$B$16,MATCH($F1163,Parametros!$A$13:$A$16,0))</f>
        <v>37.2288</v>
      </c>
      <c r="U1163" s="21" t="n">
        <f aca="false">P1163-R1163-S1163-T1163</f>
        <v>234.3712</v>
      </c>
      <c r="V1163" s="19" t="n">
        <f aca="false">IFERROR(U1163/P1163,0)</f>
        <v>0.251817087845969</v>
      </c>
      <c r="W1163" s="48" t="n">
        <f aca="false">B1163+INDEX(Parametros!$C$13:$C$16,MATCH($F1163,Parametros!$A$13:$A$16,0))</f>
        <v>46137</v>
      </c>
      <c r="X1163" s="31" t="s">
        <v>67</v>
      </c>
      <c r="Y1163" s="53" t="n">
        <f aca="false">IF(COUNTIF($A$2:$A1163,A1163)=1,1,0)</f>
        <v>1</v>
      </c>
    </row>
    <row r="1164" customFormat="false" ht="15" hidden="false" customHeight="false" outlineLevel="0" collapsed="false">
      <c r="A1164" s="31" t="s">
        <v>866</v>
      </c>
      <c r="B1164" s="36" t="n">
        <v>46062</v>
      </c>
      <c r="C1164" s="49" t="n">
        <f aca="false">DATE(YEAR(B1164),MONTH(B1164),1)</f>
        <v>46054</v>
      </c>
      <c r="D1164" s="31" t="s">
        <v>223</v>
      </c>
      <c r="E1164" s="31" t="s">
        <v>43</v>
      </c>
      <c r="F1164" s="31" t="s">
        <v>46</v>
      </c>
      <c r="G1164" s="31" t="s">
        <v>59</v>
      </c>
      <c r="H1164" s="31" t="s">
        <v>179</v>
      </c>
      <c r="I1164" s="32" t="str">
        <f aca="false">INDEX(Productos!$B$2:$B$13,MATCH($H1164,Productos!$A$2:$A$13,0))</f>
        <v>Autotaladrante DIN 7504 4,8x38 zincado</v>
      </c>
      <c r="J1164" s="32" t="str">
        <f aca="false">INDEX(Productos!$C$2:$C$13,MATCH($H1164,Productos!$A$2:$A$13,0))</f>
        <v>Autotaladrante</v>
      </c>
      <c r="K1164" s="31" t="s">
        <v>246</v>
      </c>
      <c r="L1164" s="46" t="n">
        <v>177</v>
      </c>
      <c r="M1164" s="50" t="n">
        <f aca="false">INDEX(Productos!$F$2:$F$13,MATCH($H1164,Productos!$A$2:$A$13,0))</f>
        <v>29.5</v>
      </c>
      <c r="N1164" s="51" t="n">
        <v>0.104</v>
      </c>
      <c r="O1164" s="52" t="n">
        <f aca="false">M1164*(1-N1164)</f>
        <v>26.432</v>
      </c>
      <c r="P1164" s="21" t="n">
        <f aca="false">L1164*O1164</f>
        <v>4678.464</v>
      </c>
      <c r="Q1164" s="50" t="n">
        <f aca="false">INDEX(Productos!$E$2:$E$13,MATCH($H1164,Productos!$A$2:$A$13,0))*INDEX(Parametros!$B$26:$B$43,MATCH($C1164,Parametros!$A$26:$A$43,0))</f>
        <v>15.504</v>
      </c>
      <c r="R1164" s="21" t="n">
        <f aca="false">L1164*Q1164</f>
        <v>2744.208</v>
      </c>
      <c r="S1164" s="18" t="n">
        <f aca="false">L1164*INDEX(Parametros!$B$20:$B$22,MATCH($E1164,Parametros!$A$20:$A$22,0))</f>
        <v>336.3</v>
      </c>
      <c r="T1164" s="18" t="n">
        <f aca="false">P1164*INDEX(Parametros!$B$13:$B$16,MATCH($F1164,Parametros!$A$13:$A$16,0))</f>
        <v>187.13856</v>
      </c>
      <c r="U1164" s="21" t="n">
        <f aca="false">P1164-R1164-S1164-T1164</f>
        <v>1410.81744</v>
      </c>
      <c r="V1164" s="19" t="n">
        <f aca="false">IFERROR(U1164/P1164,0)</f>
        <v>0.301555690072639</v>
      </c>
      <c r="W1164" s="48" t="n">
        <f aca="false">B1164+INDEX(Parametros!$C$13:$C$16,MATCH($F1164,Parametros!$A$13:$A$16,0))</f>
        <v>46137</v>
      </c>
      <c r="X1164" s="31" t="s">
        <v>67</v>
      </c>
      <c r="Y1164" s="53" t="n">
        <f aca="false">IF(COUNTIF($A$2:$A1164,A1164)=1,1,0)</f>
        <v>0</v>
      </c>
    </row>
    <row r="1165" customFormat="false" ht="15" hidden="false" customHeight="false" outlineLevel="0" collapsed="false">
      <c r="A1165" s="31" t="s">
        <v>867</v>
      </c>
      <c r="B1165" s="36" t="n">
        <v>46062</v>
      </c>
      <c r="C1165" s="49" t="n">
        <f aca="false">DATE(YEAR(B1165),MONTH(B1165),1)</f>
        <v>46054</v>
      </c>
      <c r="D1165" s="31" t="s">
        <v>206</v>
      </c>
      <c r="E1165" s="31" t="s">
        <v>41</v>
      </c>
      <c r="F1165" s="31" t="s">
        <v>46</v>
      </c>
      <c r="G1165" s="31" t="s">
        <v>58</v>
      </c>
      <c r="H1165" s="31" t="s">
        <v>165</v>
      </c>
      <c r="I1165" s="32" t="str">
        <f aca="false">INDEX(Productos!$B$2:$B$13,MATCH($H1165,Productos!$A$2:$A$13,0))</f>
        <v>Tornillo DIN 933 M8x40 rosca completa zincado</v>
      </c>
      <c r="J1165" s="32" t="str">
        <f aca="false">INDEX(Productos!$C$2:$C$13,MATCH($H1165,Productos!$A$2:$A$13,0))</f>
        <v>Métrica</v>
      </c>
      <c r="K1165" s="31" t="s">
        <v>246</v>
      </c>
      <c r="L1165" s="46" t="n">
        <v>48</v>
      </c>
      <c r="M1165" s="50" t="n">
        <f aca="false">INDEX(Productos!$F$2:$F$13,MATCH($H1165,Productos!$A$2:$A$13,0))</f>
        <v>37.5</v>
      </c>
      <c r="N1165" s="51" t="n">
        <v>0.084</v>
      </c>
      <c r="O1165" s="52" t="n">
        <f aca="false">M1165*(1-N1165)</f>
        <v>34.35</v>
      </c>
      <c r="P1165" s="21" t="n">
        <f aca="false">L1165*O1165</f>
        <v>1648.8</v>
      </c>
      <c r="Q1165" s="50" t="n">
        <f aca="false">INDEX(Productos!$E$2:$E$13,MATCH($H1165,Productos!$A$2:$A$13,0))*INDEX(Parametros!$B$26:$B$43,MATCH($C1165,Parametros!$A$26:$A$43,0))</f>
        <v>19.788</v>
      </c>
      <c r="R1165" s="21" t="n">
        <f aca="false">L1165*Q1165</f>
        <v>949.824</v>
      </c>
      <c r="S1165" s="18" t="n">
        <f aca="false">L1165*INDEX(Parametros!$B$20:$B$22,MATCH($E1165,Parametros!$A$20:$A$22,0))</f>
        <v>40.8</v>
      </c>
      <c r="T1165" s="18" t="n">
        <f aca="false">P1165*INDEX(Parametros!$B$13:$B$16,MATCH($F1165,Parametros!$A$13:$A$16,0))</f>
        <v>65.952</v>
      </c>
      <c r="U1165" s="21" t="n">
        <f aca="false">P1165-R1165-S1165-T1165</f>
        <v>592.224</v>
      </c>
      <c r="V1165" s="19" t="n">
        <f aca="false">IFERROR(U1165/P1165,0)</f>
        <v>0.359184861717613</v>
      </c>
      <c r="W1165" s="48" t="n">
        <f aca="false">B1165+INDEX(Parametros!$C$13:$C$16,MATCH($F1165,Parametros!$A$13:$A$16,0))</f>
        <v>46137</v>
      </c>
      <c r="X1165" s="31" t="s">
        <v>67</v>
      </c>
      <c r="Y1165" s="53" t="n">
        <f aca="false">IF(COUNTIF($A$2:$A1165,A1165)=1,1,0)</f>
        <v>1</v>
      </c>
    </row>
    <row r="1166" customFormat="false" ht="15" hidden="false" customHeight="false" outlineLevel="0" collapsed="false">
      <c r="A1166" s="31" t="s">
        <v>868</v>
      </c>
      <c r="B1166" s="36" t="n">
        <v>46063</v>
      </c>
      <c r="C1166" s="49" t="n">
        <f aca="false">DATE(YEAR(B1166),MONTH(B1166),1)</f>
        <v>46054</v>
      </c>
      <c r="D1166" s="31" t="s">
        <v>197</v>
      </c>
      <c r="E1166" s="31" t="s">
        <v>41</v>
      </c>
      <c r="F1166" s="31" t="s">
        <v>46</v>
      </c>
      <c r="G1166" s="31" t="s">
        <v>58</v>
      </c>
      <c r="H1166" s="31" t="s">
        <v>173</v>
      </c>
      <c r="I1166" s="32" t="str">
        <f aca="false">INDEX(Productos!$B$2:$B$13,MATCH($H1166,Productos!$A$2:$A$13,0))</f>
        <v>Tornillo DIN 933 M12x70 clase 8.8</v>
      </c>
      <c r="J1166" s="32" t="str">
        <f aca="false">INDEX(Productos!$C$2:$C$13,MATCH($H1166,Productos!$A$2:$A$13,0))</f>
        <v>Métrica</v>
      </c>
      <c r="K1166" s="31" t="s">
        <v>246</v>
      </c>
      <c r="L1166" s="46" t="n">
        <v>58</v>
      </c>
      <c r="M1166" s="50" t="n">
        <f aca="false">INDEX(Productos!$F$2:$F$13,MATCH($H1166,Productos!$A$2:$A$13,0))</f>
        <v>64</v>
      </c>
      <c r="N1166" s="51" t="n">
        <v>0.122</v>
      </c>
      <c r="O1166" s="52" t="n">
        <f aca="false">M1166*(1-N1166)</f>
        <v>56.192</v>
      </c>
      <c r="P1166" s="21" t="n">
        <f aca="false">L1166*O1166</f>
        <v>3259.136</v>
      </c>
      <c r="Q1166" s="50" t="n">
        <f aca="false">INDEX(Productos!$E$2:$E$13,MATCH($H1166,Productos!$A$2:$A$13,0))*INDEX(Parametros!$B$26:$B$43,MATCH($C1166,Parametros!$A$26:$A$43,0))</f>
        <v>34.17</v>
      </c>
      <c r="R1166" s="21" t="n">
        <f aca="false">L1166*Q1166</f>
        <v>1981.86</v>
      </c>
      <c r="S1166" s="18" t="n">
        <f aca="false">L1166*INDEX(Parametros!$B$20:$B$22,MATCH($E1166,Parametros!$A$20:$A$22,0))</f>
        <v>49.3</v>
      </c>
      <c r="T1166" s="18" t="n">
        <f aca="false">P1166*INDEX(Parametros!$B$13:$B$16,MATCH($F1166,Parametros!$A$13:$A$16,0))</f>
        <v>130.36544</v>
      </c>
      <c r="U1166" s="21" t="n">
        <f aca="false">P1166-R1166-S1166-T1166</f>
        <v>1097.61056</v>
      </c>
      <c r="V1166" s="19" t="n">
        <f aca="false">IFERROR(U1166/P1166,0)</f>
        <v>0.336779612756264</v>
      </c>
      <c r="W1166" s="48" t="n">
        <f aca="false">B1166+INDEX(Parametros!$C$13:$C$16,MATCH($F1166,Parametros!$A$13:$A$16,0))</f>
        <v>46138</v>
      </c>
      <c r="X1166" s="31" t="s">
        <v>67</v>
      </c>
      <c r="Y1166" s="53" t="n">
        <f aca="false">IF(COUNTIF($A$2:$A1166,A1166)=1,1,0)</f>
        <v>1</v>
      </c>
    </row>
    <row r="1167" customFormat="false" ht="15" hidden="false" customHeight="false" outlineLevel="0" collapsed="false">
      <c r="A1167" s="31" t="s">
        <v>869</v>
      </c>
      <c r="B1167" s="36" t="n">
        <v>46064</v>
      </c>
      <c r="C1167" s="49" t="n">
        <f aca="false">DATE(YEAR(B1167),MONTH(B1167),1)</f>
        <v>46054</v>
      </c>
      <c r="D1167" s="31" t="s">
        <v>196</v>
      </c>
      <c r="E1167" s="31" t="s">
        <v>41</v>
      </c>
      <c r="F1167" s="31" t="s">
        <v>47</v>
      </c>
      <c r="G1167" s="31" t="s">
        <v>58</v>
      </c>
      <c r="H1167" s="31" t="s">
        <v>185</v>
      </c>
      <c r="I1167" s="32" t="str">
        <f aca="false">INDEX(Productos!$B$2:$B$13,MATCH($H1167,Productos!$A$2:$A$13,0))</f>
        <v>Varilla roscada M10 x 1 m zincada</v>
      </c>
      <c r="J1167" s="32" t="str">
        <f aca="false">INDEX(Productos!$C$2:$C$13,MATCH($H1167,Productos!$A$2:$A$13,0))</f>
        <v>Especial</v>
      </c>
      <c r="K1167" s="31" t="s">
        <v>246</v>
      </c>
      <c r="L1167" s="46" t="n">
        <v>74</v>
      </c>
      <c r="M1167" s="50" t="n">
        <f aca="false">INDEX(Productos!$F$2:$F$13,MATCH($H1167,Productos!$A$2:$A$13,0))</f>
        <v>54</v>
      </c>
      <c r="N1167" s="51" t="n">
        <v>0.031</v>
      </c>
      <c r="O1167" s="52" t="n">
        <f aca="false">M1167*(1-N1167)</f>
        <v>52.326</v>
      </c>
      <c r="P1167" s="21" t="n">
        <f aca="false">L1167*O1167</f>
        <v>3872.124</v>
      </c>
      <c r="Q1167" s="50" t="n">
        <f aca="false">INDEX(Productos!$E$2:$E$13,MATCH($H1167,Productos!$A$2:$A$13,0))*INDEX(Parametros!$B$26:$B$43,MATCH($C1167,Parametros!$A$26:$A$43,0))</f>
        <v>29.07</v>
      </c>
      <c r="R1167" s="21" t="n">
        <f aca="false">L1167*Q1167</f>
        <v>2151.18</v>
      </c>
      <c r="S1167" s="18" t="n">
        <f aca="false">L1167*INDEX(Parametros!$B$20:$B$22,MATCH($E1167,Parametros!$A$20:$A$22,0))</f>
        <v>62.9</v>
      </c>
      <c r="T1167" s="18" t="n">
        <f aca="false">P1167*INDEX(Parametros!$B$13:$B$16,MATCH($F1167,Parametros!$A$13:$A$16,0))</f>
        <v>135.52434</v>
      </c>
      <c r="U1167" s="21" t="n">
        <f aca="false">P1167-R1167-S1167-T1167</f>
        <v>1522.51966</v>
      </c>
      <c r="V1167" s="19" t="n">
        <f aca="false">IFERROR(U1167/P1167,0)</f>
        <v>0.393200129954516</v>
      </c>
      <c r="W1167" s="48" t="n">
        <f aca="false">B1167+INDEX(Parametros!$C$13:$C$16,MATCH($F1167,Parametros!$A$13:$A$16,0))</f>
        <v>46109</v>
      </c>
      <c r="X1167" s="31" t="s">
        <v>67</v>
      </c>
      <c r="Y1167" s="53" t="n">
        <f aca="false">IF(COUNTIF($A$2:$A1167,A1167)=1,1,0)</f>
        <v>1</v>
      </c>
    </row>
    <row r="1168" customFormat="false" ht="15" hidden="false" customHeight="false" outlineLevel="0" collapsed="false">
      <c r="A1168" s="31" t="s">
        <v>870</v>
      </c>
      <c r="B1168" s="36" t="n">
        <v>46065</v>
      </c>
      <c r="C1168" s="49" t="n">
        <f aca="false">DATE(YEAR(B1168),MONTH(B1168),1)</f>
        <v>46054</v>
      </c>
      <c r="D1168" s="31" t="s">
        <v>217</v>
      </c>
      <c r="E1168" s="31" t="s">
        <v>42</v>
      </c>
      <c r="F1168" s="31" t="s">
        <v>47</v>
      </c>
      <c r="G1168" s="31" t="s">
        <v>61</v>
      </c>
      <c r="H1168" s="31" t="s">
        <v>185</v>
      </c>
      <c r="I1168" s="32" t="str">
        <f aca="false">INDEX(Productos!$B$2:$B$13,MATCH($H1168,Productos!$A$2:$A$13,0))</f>
        <v>Varilla roscada M10 x 1 m zincada</v>
      </c>
      <c r="J1168" s="32" t="str">
        <f aca="false">INDEX(Productos!$C$2:$C$13,MATCH($H1168,Productos!$A$2:$A$13,0))</f>
        <v>Especial</v>
      </c>
      <c r="K1168" s="31" t="s">
        <v>246</v>
      </c>
      <c r="L1168" s="46" t="n">
        <v>41</v>
      </c>
      <c r="M1168" s="50" t="n">
        <f aca="false">INDEX(Productos!$F$2:$F$13,MATCH($H1168,Productos!$A$2:$A$13,0))</f>
        <v>54</v>
      </c>
      <c r="N1168" s="51" t="n">
        <v>0.075</v>
      </c>
      <c r="O1168" s="52" t="n">
        <f aca="false">M1168*(1-N1168)</f>
        <v>49.95</v>
      </c>
      <c r="P1168" s="21" t="n">
        <f aca="false">L1168*O1168</f>
        <v>2047.95</v>
      </c>
      <c r="Q1168" s="50" t="n">
        <f aca="false">INDEX(Productos!$E$2:$E$13,MATCH($H1168,Productos!$A$2:$A$13,0))*INDEX(Parametros!$B$26:$B$43,MATCH($C1168,Parametros!$A$26:$A$43,0))</f>
        <v>29.07</v>
      </c>
      <c r="R1168" s="21" t="n">
        <f aca="false">L1168*Q1168</f>
        <v>1191.87</v>
      </c>
      <c r="S1168" s="18" t="n">
        <f aca="false">L1168*INDEX(Parametros!$B$20:$B$22,MATCH($E1168,Parametros!$A$20:$A$22,0))</f>
        <v>98.4</v>
      </c>
      <c r="T1168" s="18" t="n">
        <f aca="false">P1168*INDEX(Parametros!$B$13:$B$16,MATCH($F1168,Parametros!$A$13:$A$16,0))</f>
        <v>71.67825</v>
      </c>
      <c r="U1168" s="21" t="n">
        <f aca="false">P1168-R1168-S1168-T1168</f>
        <v>686.00175</v>
      </c>
      <c r="V1168" s="19" t="n">
        <f aca="false">IFERROR(U1168/P1168,0)</f>
        <v>0.33496996996997</v>
      </c>
      <c r="W1168" s="48" t="n">
        <f aca="false">B1168+INDEX(Parametros!$C$13:$C$16,MATCH($F1168,Parametros!$A$13:$A$16,0))</f>
        <v>46110</v>
      </c>
      <c r="X1168" s="31" t="s">
        <v>67</v>
      </c>
      <c r="Y1168" s="53" t="n">
        <f aca="false">IF(COUNTIF($A$2:$A1168,A1168)=1,1,0)</f>
        <v>1</v>
      </c>
    </row>
    <row r="1169" customFormat="false" ht="15" hidden="false" customHeight="false" outlineLevel="0" collapsed="false">
      <c r="A1169" s="31" t="s">
        <v>871</v>
      </c>
      <c r="B1169" s="36" t="n">
        <v>46065</v>
      </c>
      <c r="C1169" s="49" t="n">
        <f aca="false">DATE(YEAR(B1169),MONTH(B1169),1)</f>
        <v>46054</v>
      </c>
      <c r="D1169" s="31" t="s">
        <v>195</v>
      </c>
      <c r="E1169" s="31" t="s">
        <v>41</v>
      </c>
      <c r="F1169" s="31" t="s">
        <v>45</v>
      </c>
      <c r="G1169" s="31" t="s">
        <v>58</v>
      </c>
      <c r="H1169" s="31" t="s">
        <v>181</v>
      </c>
      <c r="I1169" s="32" t="str">
        <f aca="false">INDEX(Productos!$B$2:$B$13,MATCH($H1169,Productos!$A$2:$A$13,0))</f>
        <v>Autotaladrante 5,5x55 punta broca</v>
      </c>
      <c r="J1169" s="32" t="str">
        <f aca="false">INDEX(Productos!$C$2:$C$13,MATCH($H1169,Productos!$A$2:$A$13,0))</f>
        <v>Autotaladrante</v>
      </c>
      <c r="K1169" s="31" t="s">
        <v>246</v>
      </c>
      <c r="L1169" s="46" t="n">
        <v>40</v>
      </c>
      <c r="M1169" s="50" t="n">
        <f aca="false">INDEX(Productos!$F$2:$F$13,MATCH($H1169,Productos!$A$2:$A$13,0))</f>
        <v>39</v>
      </c>
      <c r="N1169" s="51" t="n">
        <v>0.178</v>
      </c>
      <c r="O1169" s="52" t="n">
        <f aca="false">M1169*(1-N1169)</f>
        <v>32.058</v>
      </c>
      <c r="P1169" s="21" t="n">
        <f aca="false">L1169*O1169</f>
        <v>1282.32</v>
      </c>
      <c r="Q1169" s="50" t="n">
        <f aca="false">INDEX(Productos!$E$2:$E$13,MATCH($H1169,Productos!$A$2:$A$13,0))*INDEX(Parametros!$B$26:$B$43,MATCH($C1169,Parametros!$A$26:$A$43,0))</f>
        <v>20.706</v>
      </c>
      <c r="R1169" s="21" t="n">
        <f aca="false">L1169*Q1169</f>
        <v>828.24</v>
      </c>
      <c r="S1169" s="18" t="n">
        <f aca="false">L1169*INDEX(Parametros!$B$20:$B$22,MATCH($E1169,Parametros!$A$20:$A$22,0))</f>
        <v>34</v>
      </c>
      <c r="T1169" s="18" t="n">
        <f aca="false">P1169*INDEX(Parametros!$B$13:$B$16,MATCH($F1169,Parametros!$A$13:$A$16,0))</f>
        <v>38.4696</v>
      </c>
      <c r="U1169" s="21" t="n">
        <f aca="false">P1169-R1169-S1169-T1169</f>
        <v>381.6104</v>
      </c>
      <c r="V1169" s="19" t="n">
        <f aca="false">IFERROR(U1169/P1169,0)</f>
        <v>0.29759373635286</v>
      </c>
      <c r="W1169" s="48" t="n">
        <f aca="false">B1169+INDEX(Parametros!$C$13:$C$16,MATCH($F1169,Parametros!$A$13:$A$16,0))</f>
        <v>46125</v>
      </c>
      <c r="X1169" s="31" t="s">
        <v>67</v>
      </c>
      <c r="Y1169" s="53" t="n">
        <f aca="false">IF(COUNTIF($A$2:$A1169,A1169)=1,1,0)</f>
        <v>1</v>
      </c>
    </row>
    <row r="1170" customFormat="false" ht="15" hidden="false" customHeight="false" outlineLevel="0" collapsed="false">
      <c r="A1170" s="31" t="s">
        <v>872</v>
      </c>
      <c r="B1170" s="36" t="n">
        <v>46066</v>
      </c>
      <c r="C1170" s="49" t="n">
        <f aca="false">DATE(YEAR(B1170),MONTH(B1170),1)</f>
        <v>46054</v>
      </c>
      <c r="D1170" s="31" t="s">
        <v>212</v>
      </c>
      <c r="E1170" s="31" t="s">
        <v>42</v>
      </c>
      <c r="F1170" s="31" t="s">
        <v>45</v>
      </c>
      <c r="G1170" s="31" t="s">
        <v>61</v>
      </c>
      <c r="H1170" s="31" t="s">
        <v>183</v>
      </c>
      <c r="I1170" s="32" t="str">
        <f aca="false">INDEX(Productos!$B$2:$B$13,MATCH($H1170,Productos!$A$2:$A$13,0))</f>
        <v>Tornillo estructural M16x90 clase 10.9</v>
      </c>
      <c r="J1170" s="32" t="str">
        <f aca="false">INDEX(Productos!$C$2:$C$13,MATCH($H1170,Productos!$A$2:$A$13,0))</f>
        <v>Especial</v>
      </c>
      <c r="K1170" s="31" t="s">
        <v>246</v>
      </c>
      <c r="L1170" s="46" t="n">
        <v>193</v>
      </c>
      <c r="M1170" s="50" t="n">
        <f aca="false">INDEX(Productos!$F$2:$F$13,MATCH($H1170,Productos!$A$2:$A$13,0))</f>
        <v>112</v>
      </c>
      <c r="N1170" s="51" t="n">
        <v>0.137</v>
      </c>
      <c r="O1170" s="52" t="n">
        <f aca="false">M1170*(1-N1170)</f>
        <v>96.656</v>
      </c>
      <c r="P1170" s="21" t="n">
        <f aca="false">L1170*O1170</f>
        <v>18654.608</v>
      </c>
      <c r="Q1170" s="50" t="n">
        <f aca="false">INDEX(Productos!$E$2:$E$13,MATCH($H1170,Productos!$A$2:$A$13,0))*INDEX(Parametros!$B$26:$B$43,MATCH($C1170,Parametros!$A$26:$A$43,0))</f>
        <v>61.2</v>
      </c>
      <c r="R1170" s="21" t="n">
        <f aca="false">L1170*Q1170</f>
        <v>11811.6</v>
      </c>
      <c r="S1170" s="18" t="n">
        <f aca="false">L1170*INDEX(Parametros!$B$20:$B$22,MATCH($E1170,Parametros!$A$20:$A$22,0))</f>
        <v>463.2</v>
      </c>
      <c r="T1170" s="18" t="n">
        <f aca="false">P1170*INDEX(Parametros!$B$13:$B$16,MATCH($F1170,Parametros!$A$13:$A$16,0))</f>
        <v>559.63824</v>
      </c>
      <c r="U1170" s="21" t="n">
        <f aca="false">P1170-R1170-S1170-T1170</f>
        <v>5820.16976</v>
      </c>
      <c r="V1170" s="19" t="n">
        <f aca="false">IFERROR(U1170/P1170,0)</f>
        <v>0.311996358218838</v>
      </c>
      <c r="W1170" s="48" t="n">
        <f aca="false">B1170+INDEX(Parametros!$C$13:$C$16,MATCH($F1170,Parametros!$A$13:$A$16,0))</f>
        <v>46126</v>
      </c>
      <c r="X1170" s="31" t="s">
        <v>67</v>
      </c>
      <c r="Y1170" s="53" t="n">
        <f aca="false">IF(COUNTIF($A$2:$A1170,A1170)=1,1,0)</f>
        <v>1</v>
      </c>
    </row>
    <row r="1171" customFormat="false" ht="15" hidden="false" customHeight="false" outlineLevel="0" collapsed="false">
      <c r="A1171" s="31" t="s">
        <v>873</v>
      </c>
      <c r="B1171" s="36" t="n">
        <v>46066</v>
      </c>
      <c r="C1171" s="49" t="n">
        <f aca="false">DATE(YEAR(B1171),MONTH(B1171),1)</f>
        <v>46054</v>
      </c>
      <c r="D1171" s="31" t="s">
        <v>199</v>
      </c>
      <c r="E1171" s="31" t="s">
        <v>41</v>
      </c>
      <c r="F1171" s="31" t="s">
        <v>45</v>
      </c>
      <c r="G1171" s="31" t="s">
        <v>58</v>
      </c>
      <c r="H1171" s="31" t="s">
        <v>181</v>
      </c>
      <c r="I1171" s="32" t="str">
        <f aca="false">INDEX(Productos!$B$2:$B$13,MATCH($H1171,Productos!$A$2:$A$13,0))</f>
        <v>Autotaladrante 5,5x55 punta broca</v>
      </c>
      <c r="J1171" s="32" t="str">
        <f aca="false">INDEX(Productos!$C$2:$C$13,MATCH($H1171,Productos!$A$2:$A$13,0))</f>
        <v>Autotaladrante</v>
      </c>
      <c r="K1171" s="31" t="s">
        <v>246</v>
      </c>
      <c r="L1171" s="46" t="n">
        <v>102</v>
      </c>
      <c r="M1171" s="50" t="n">
        <f aca="false">INDEX(Productos!$F$2:$F$13,MATCH($H1171,Productos!$A$2:$A$13,0))</f>
        <v>39</v>
      </c>
      <c r="N1171" s="51" t="n">
        <v>0.194</v>
      </c>
      <c r="O1171" s="52" t="n">
        <f aca="false">M1171*(1-N1171)</f>
        <v>31.434</v>
      </c>
      <c r="P1171" s="21" t="n">
        <f aca="false">L1171*O1171</f>
        <v>3206.268</v>
      </c>
      <c r="Q1171" s="50" t="n">
        <f aca="false">INDEX(Productos!$E$2:$E$13,MATCH($H1171,Productos!$A$2:$A$13,0))*INDEX(Parametros!$B$26:$B$43,MATCH($C1171,Parametros!$A$26:$A$43,0))</f>
        <v>20.706</v>
      </c>
      <c r="R1171" s="21" t="n">
        <f aca="false">L1171*Q1171</f>
        <v>2112.012</v>
      </c>
      <c r="S1171" s="18" t="n">
        <f aca="false">L1171*INDEX(Parametros!$B$20:$B$22,MATCH($E1171,Parametros!$A$20:$A$22,0))</f>
        <v>86.7</v>
      </c>
      <c r="T1171" s="18" t="n">
        <f aca="false">P1171*INDEX(Parametros!$B$13:$B$16,MATCH($F1171,Parametros!$A$13:$A$16,0))</f>
        <v>96.18804</v>
      </c>
      <c r="U1171" s="21" t="n">
        <f aca="false">P1171-R1171-S1171-T1171</f>
        <v>911.36796</v>
      </c>
      <c r="V1171" s="19" t="n">
        <f aca="false">IFERROR(U1171/P1171,0)</f>
        <v>0.284245721193612</v>
      </c>
      <c r="W1171" s="48" t="n">
        <f aca="false">B1171+INDEX(Parametros!$C$13:$C$16,MATCH($F1171,Parametros!$A$13:$A$16,0))</f>
        <v>46126</v>
      </c>
      <c r="X1171" s="31" t="s">
        <v>67</v>
      </c>
      <c r="Y1171" s="53" t="n">
        <f aca="false">IF(COUNTIF($A$2:$A1171,A1171)=1,1,0)</f>
        <v>1</v>
      </c>
    </row>
    <row r="1172" customFormat="false" ht="15" hidden="false" customHeight="false" outlineLevel="0" collapsed="false">
      <c r="A1172" s="31" t="s">
        <v>874</v>
      </c>
      <c r="B1172" s="36" t="n">
        <v>46069</v>
      </c>
      <c r="C1172" s="49" t="n">
        <f aca="false">DATE(YEAR(B1172),MONTH(B1172),1)</f>
        <v>46054</v>
      </c>
      <c r="D1172" s="31" t="s">
        <v>192</v>
      </c>
      <c r="E1172" s="31" t="s">
        <v>41</v>
      </c>
      <c r="F1172" s="31" t="s">
        <v>45</v>
      </c>
      <c r="G1172" s="31" t="s">
        <v>58</v>
      </c>
      <c r="H1172" s="31" t="s">
        <v>171</v>
      </c>
      <c r="I1172" s="32" t="str">
        <f aca="false">INDEX(Productos!$B$2:$B$13,MATCH($H1172,Productos!$A$2:$A$13,0))</f>
        <v>Tornillo DIN 7991 M8x30 avellanado inox A2</v>
      </c>
      <c r="J1172" s="32" t="str">
        <f aca="false">INDEX(Productos!$C$2:$C$13,MATCH($H1172,Productos!$A$2:$A$13,0))</f>
        <v>Inoxidable</v>
      </c>
      <c r="K1172" s="31" t="s">
        <v>246</v>
      </c>
      <c r="L1172" s="46" t="n">
        <v>138</v>
      </c>
      <c r="M1172" s="50" t="n">
        <f aca="false">INDEX(Productos!$F$2:$F$13,MATCH($H1172,Productos!$A$2:$A$13,0))</f>
        <v>88</v>
      </c>
      <c r="N1172" s="51" t="n">
        <v>0.184</v>
      </c>
      <c r="O1172" s="52" t="n">
        <f aca="false">M1172*(1-N1172)</f>
        <v>71.808</v>
      </c>
      <c r="P1172" s="21" t="n">
        <f aca="false">L1172*O1172</f>
        <v>9909.504</v>
      </c>
      <c r="Q1172" s="50" t="n">
        <f aca="false">INDEX(Productos!$E$2:$E$13,MATCH($H1172,Productos!$A$2:$A$13,0))*INDEX(Parametros!$B$26:$B$43,MATCH($C1172,Parametros!$A$26:$A$43,0))</f>
        <v>47.43</v>
      </c>
      <c r="R1172" s="21" t="n">
        <f aca="false">L1172*Q1172</f>
        <v>6545.34</v>
      </c>
      <c r="S1172" s="18" t="n">
        <f aca="false">L1172*INDEX(Parametros!$B$20:$B$22,MATCH($E1172,Parametros!$A$20:$A$22,0))</f>
        <v>117.3</v>
      </c>
      <c r="T1172" s="18" t="n">
        <f aca="false">P1172*INDEX(Parametros!$B$13:$B$16,MATCH($F1172,Parametros!$A$13:$A$16,0))</f>
        <v>297.28512</v>
      </c>
      <c r="U1172" s="21" t="n">
        <f aca="false">P1172-R1172-S1172-T1172</f>
        <v>2949.57888</v>
      </c>
      <c r="V1172" s="19" t="n">
        <f aca="false">IFERROR(U1172/P1172,0)</f>
        <v>0.297651515151515</v>
      </c>
      <c r="W1172" s="48" t="n">
        <f aca="false">B1172+INDEX(Parametros!$C$13:$C$16,MATCH($F1172,Parametros!$A$13:$A$16,0))</f>
        <v>46129</v>
      </c>
      <c r="X1172" s="31" t="s">
        <v>67</v>
      </c>
      <c r="Y1172" s="53" t="n">
        <f aca="false">IF(COUNTIF($A$2:$A1172,A1172)=1,1,0)</f>
        <v>1</v>
      </c>
    </row>
    <row r="1173" customFormat="false" ht="15" hidden="false" customHeight="false" outlineLevel="0" collapsed="false">
      <c r="A1173" s="31" t="s">
        <v>875</v>
      </c>
      <c r="B1173" s="36" t="n">
        <v>46069</v>
      </c>
      <c r="C1173" s="49" t="n">
        <f aca="false">DATE(YEAR(B1173),MONTH(B1173),1)</f>
        <v>46054</v>
      </c>
      <c r="D1173" s="31" t="s">
        <v>195</v>
      </c>
      <c r="E1173" s="31" t="s">
        <v>41</v>
      </c>
      <c r="F1173" s="31" t="s">
        <v>45</v>
      </c>
      <c r="G1173" s="31" t="s">
        <v>58</v>
      </c>
      <c r="H1173" s="31" t="s">
        <v>165</v>
      </c>
      <c r="I1173" s="32" t="str">
        <f aca="false">INDEX(Productos!$B$2:$B$13,MATCH($H1173,Productos!$A$2:$A$13,0))</f>
        <v>Tornillo DIN 933 M8x40 rosca completa zincado</v>
      </c>
      <c r="J1173" s="32" t="str">
        <f aca="false">INDEX(Productos!$C$2:$C$13,MATCH($H1173,Productos!$A$2:$A$13,0))</f>
        <v>Métrica</v>
      </c>
      <c r="K1173" s="31" t="s">
        <v>246</v>
      </c>
      <c r="L1173" s="46" t="n">
        <v>306</v>
      </c>
      <c r="M1173" s="50" t="n">
        <f aca="false">INDEX(Productos!$F$2:$F$13,MATCH($H1173,Productos!$A$2:$A$13,0))</f>
        <v>37.5</v>
      </c>
      <c r="N1173" s="51" t="n">
        <v>0.215</v>
      </c>
      <c r="O1173" s="52" t="n">
        <f aca="false">M1173*(1-N1173)</f>
        <v>29.4375</v>
      </c>
      <c r="P1173" s="21" t="n">
        <f aca="false">L1173*O1173</f>
        <v>9007.875</v>
      </c>
      <c r="Q1173" s="50" t="n">
        <f aca="false">INDEX(Productos!$E$2:$E$13,MATCH($H1173,Productos!$A$2:$A$13,0))*INDEX(Parametros!$B$26:$B$43,MATCH($C1173,Parametros!$A$26:$A$43,0))</f>
        <v>19.788</v>
      </c>
      <c r="R1173" s="21" t="n">
        <f aca="false">L1173*Q1173</f>
        <v>6055.128</v>
      </c>
      <c r="S1173" s="18" t="n">
        <f aca="false">L1173*INDEX(Parametros!$B$20:$B$22,MATCH($E1173,Parametros!$A$20:$A$22,0))</f>
        <v>260.1</v>
      </c>
      <c r="T1173" s="18" t="n">
        <f aca="false">P1173*INDEX(Parametros!$B$13:$B$16,MATCH($F1173,Parametros!$A$13:$A$16,0))</f>
        <v>270.23625</v>
      </c>
      <c r="U1173" s="21" t="n">
        <f aca="false">P1173-R1173-S1173-T1173</f>
        <v>2422.41075</v>
      </c>
      <c r="V1173" s="19" t="n">
        <f aca="false">IFERROR(U1173/P1173,0)</f>
        <v>0.26892144373673</v>
      </c>
      <c r="W1173" s="48" t="n">
        <f aca="false">B1173+INDEX(Parametros!$C$13:$C$16,MATCH($F1173,Parametros!$A$13:$A$16,0))</f>
        <v>46129</v>
      </c>
      <c r="X1173" s="31" t="s">
        <v>67</v>
      </c>
      <c r="Y1173" s="53" t="n">
        <f aca="false">IF(COUNTIF($A$2:$A1173,A1173)=1,1,0)</f>
        <v>1</v>
      </c>
    </row>
    <row r="1174" customFormat="false" ht="15" hidden="false" customHeight="false" outlineLevel="0" collapsed="false">
      <c r="A1174" s="31" t="s">
        <v>875</v>
      </c>
      <c r="B1174" s="36" t="n">
        <v>46069</v>
      </c>
      <c r="C1174" s="49" t="n">
        <f aca="false">DATE(YEAR(B1174),MONTH(B1174),1)</f>
        <v>46054</v>
      </c>
      <c r="D1174" s="31" t="s">
        <v>195</v>
      </c>
      <c r="E1174" s="31" t="s">
        <v>41</v>
      </c>
      <c r="F1174" s="31" t="s">
        <v>45</v>
      </c>
      <c r="G1174" s="31" t="s">
        <v>58</v>
      </c>
      <c r="H1174" s="31" t="s">
        <v>167</v>
      </c>
      <c r="I1174" s="32" t="str">
        <f aca="false">INDEX(Productos!$B$2:$B$13,MATCH($H1174,Productos!$A$2:$A$13,0))</f>
        <v>Tornillo DIN 912 M6x25 Allen zincado</v>
      </c>
      <c r="J1174" s="32" t="str">
        <f aca="false">INDEX(Productos!$C$2:$C$13,MATCH($H1174,Productos!$A$2:$A$13,0))</f>
        <v>Métrica</v>
      </c>
      <c r="K1174" s="31" t="s">
        <v>246</v>
      </c>
      <c r="L1174" s="46" t="n">
        <v>55</v>
      </c>
      <c r="M1174" s="50" t="n">
        <f aca="false">INDEX(Productos!$F$2:$F$13,MATCH($H1174,Productos!$A$2:$A$13,0))</f>
        <v>42</v>
      </c>
      <c r="N1174" s="51" t="n">
        <v>0.137</v>
      </c>
      <c r="O1174" s="52" t="n">
        <f aca="false">M1174*(1-N1174)</f>
        <v>36.246</v>
      </c>
      <c r="P1174" s="21" t="n">
        <f aca="false">L1174*O1174</f>
        <v>1993.53</v>
      </c>
      <c r="Q1174" s="50" t="n">
        <f aca="false">INDEX(Productos!$E$2:$E$13,MATCH($H1174,Productos!$A$2:$A$13,0))*INDEX(Parametros!$B$26:$B$43,MATCH($C1174,Parametros!$A$26:$A$43,0))</f>
        <v>22.236</v>
      </c>
      <c r="R1174" s="21" t="n">
        <f aca="false">L1174*Q1174</f>
        <v>1222.98</v>
      </c>
      <c r="S1174" s="18" t="n">
        <f aca="false">L1174*INDEX(Parametros!$B$20:$B$22,MATCH($E1174,Parametros!$A$20:$A$22,0))</f>
        <v>46.75</v>
      </c>
      <c r="T1174" s="18" t="n">
        <f aca="false">P1174*INDEX(Parametros!$B$13:$B$16,MATCH($F1174,Parametros!$A$13:$A$16,0))</f>
        <v>59.8059</v>
      </c>
      <c r="U1174" s="21" t="n">
        <f aca="false">P1174-R1174-S1174-T1174</f>
        <v>663.9941</v>
      </c>
      <c r="V1174" s="19" t="n">
        <f aca="false">IFERROR(U1174/P1174,0)</f>
        <v>0.333074546156817</v>
      </c>
      <c r="W1174" s="48" t="n">
        <f aca="false">B1174+INDEX(Parametros!$C$13:$C$16,MATCH($F1174,Parametros!$A$13:$A$16,0))</f>
        <v>46129</v>
      </c>
      <c r="X1174" s="31" t="s">
        <v>67</v>
      </c>
      <c r="Y1174" s="53" t="n">
        <f aca="false">IF(COUNTIF($A$2:$A1174,A1174)=1,1,0)</f>
        <v>0</v>
      </c>
    </row>
    <row r="1175" customFormat="false" ht="15" hidden="false" customHeight="false" outlineLevel="0" collapsed="false">
      <c r="A1175" s="31" t="s">
        <v>876</v>
      </c>
      <c r="B1175" s="36" t="n">
        <v>46069</v>
      </c>
      <c r="C1175" s="49" t="n">
        <f aca="false">DATE(YEAR(B1175),MONTH(B1175),1)</f>
        <v>46054</v>
      </c>
      <c r="D1175" s="31" t="s">
        <v>203</v>
      </c>
      <c r="E1175" s="31" t="s">
        <v>41</v>
      </c>
      <c r="F1175" s="31" t="s">
        <v>46</v>
      </c>
      <c r="G1175" s="31" t="s">
        <v>58</v>
      </c>
      <c r="H1175" s="31" t="s">
        <v>175</v>
      </c>
      <c r="I1175" s="32" t="str">
        <f aca="false">INDEX(Productos!$B$2:$B$13,MATCH($H1175,Productos!$A$2:$A$13,0))</f>
        <v>Tirafondo madera 5x60 cabeza plana Torx</v>
      </c>
      <c r="J1175" s="32" t="str">
        <f aca="false">INDEX(Productos!$C$2:$C$13,MATCH($H1175,Productos!$A$2:$A$13,0))</f>
        <v>Madera</v>
      </c>
      <c r="K1175" s="31" t="s">
        <v>246</v>
      </c>
      <c r="L1175" s="46" t="n">
        <v>112</v>
      </c>
      <c r="M1175" s="50" t="n">
        <f aca="false">INDEX(Productos!$F$2:$F$13,MATCH($H1175,Productos!$A$2:$A$13,0))</f>
        <v>26</v>
      </c>
      <c r="N1175" s="51" t="n">
        <v>0.157</v>
      </c>
      <c r="O1175" s="52" t="n">
        <f aca="false">M1175*(1-N1175)</f>
        <v>21.918</v>
      </c>
      <c r="P1175" s="21" t="n">
        <f aca="false">L1175*O1175</f>
        <v>2454.816</v>
      </c>
      <c r="Q1175" s="50" t="n">
        <f aca="false">INDEX(Productos!$E$2:$E$13,MATCH($H1175,Productos!$A$2:$A$13,0))*INDEX(Parametros!$B$26:$B$43,MATCH($C1175,Parametros!$A$26:$A$43,0))</f>
        <v>13.668</v>
      </c>
      <c r="R1175" s="21" t="n">
        <f aca="false">L1175*Q1175</f>
        <v>1530.816</v>
      </c>
      <c r="S1175" s="18" t="n">
        <f aca="false">L1175*INDEX(Parametros!$B$20:$B$22,MATCH($E1175,Parametros!$A$20:$A$22,0))</f>
        <v>95.2</v>
      </c>
      <c r="T1175" s="18" t="n">
        <f aca="false">P1175*INDEX(Parametros!$B$13:$B$16,MATCH($F1175,Parametros!$A$13:$A$16,0))</f>
        <v>98.19264</v>
      </c>
      <c r="U1175" s="21" t="n">
        <f aca="false">P1175-R1175-S1175-T1175</f>
        <v>730.60736</v>
      </c>
      <c r="V1175" s="19" t="n">
        <f aca="false">IFERROR(U1175/P1175,0)</f>
        <v>0.297622045807099</v>
      </c>
      <c r="W1175" s="48" t="n">
        <f aca="false">B1175+INDEX(Parametros!$C$13:$C$16,MATCH($F1175,Parametros!$A$13:$A$16,0))</f>
        <v>46144</v>
      </c>
      <c r="X1175" s="31" t="s">
        <v>67</v>
      </c>
      <c r="Y1175" s="53" t="n">
        <f aca="false">IF(COUNTIF($A$2:$A1175,A1175)=1,1,0)</f>
        <v>1</v>
      </c>
    </row>
    <row r="1176" customFormat="false" ht="15" hidden="false" customHeight="false" outlineLevel="0" collapsed="false">
      <c r="A1176" s="31" t="s">
        <v>876</v>
      </c>
      <c r="B1176" s="36" t="n">
        <v>46069</v>
      </c>
      <c r="C1176" s="49" t="n">
        <f aca="false">DATE(YEAR(B1176),MONTH(B1176),1)</f>
        <v>46054</v>
      </c>
      <c r="D1176" s="31" t="s">
        <v>203</v>
      </c>
      <c r="E1176" s="31" t="s">
        <v>41</v>
      </c>
      <c r="F1176" s="31" t="s">
        <v>46</v>
      </c>
      <c r="G1176" s="31" t="s">
        <v>58</v>
      </c>
      <c r="H1176" s="31" t="s">
        <v>183</v>
      </c>
      <c r="I1176" s="32" t="str">
        <f aca="false">INDEX(Productos!$B$2:$B$13,MATCH($H1176,Productos!$A$2:$A$13,0))</f>
        <v>Tornillo estructural M16x90 clase 10.9</v>
      </c>
      <c r="J1176" s="32" t="str">
        <f aca="false">INDEX(Productos!$C$2:$C$13,MATCH($H1176,Productos!$A$2:$A$13,0))</f>
        <v>Especial</v>
      </c>
      <c r="K1176" s="31" t="s">
        <v>246</v>
      </c>
      <c r="L1176" s="46" t="n">
        <v>265</v>
      </c>
      <c r="M1176" s="50" t="n">
        <f aca="false">INDEX(Productos!$F$2:$F$13,MATCH($H1176,Productos!$A$2:$A$13,0))</f>
        <v>112</v>
      </c>
      <c r="N1176" s="51" t="n">
        <v>0.155</v>
      </c>
      <c r="O1176" s="52" t="n">
        <f aca="false">M1176*(1-N1176)</f>
        <v>94.64</v>
      </c>
      <c r="P1176" s="21" t="n">
        <f aca="false">L1176*O1176</f>
        <v>25079.6</v>
      </c>
      <c r="Q1176" s="50" t="n">
        <f aca="false">INDEX(Productos!$E$2:$E$13,MATCH($H1176,Productos!$A$2:$A$13,0))*INDEX(Parametros!$B$26:$B$43,MATCH($C1176,Parametros!$A$26:$A$43,0))</f>
        <v>61.2</v>
      </c>
      <c r="R1176" s="21" t="n">
        <f aca="false">L1176*Q1176</f>
        <v>16218</v>
      </c>
      <c r="S1176" s="18" t="n">
        <f aca="false">L1176*INDEX(Parametros!$B$20:$B$22,MATCH($E1176,Parametros!$A$20:$A$22,0))</f>
        <v>225.25</v>
      </c>
      <c r="T1176" s="18" t="n">
        <f aca="false">P1176*INDEX(Parametros!$B$13:$B$16,MATCH($F1176,Parametros!$A$13:$A$16,0))</f>
        <v>1003.184</v>
      </c>
      <c r="U1176" s="21" t="n">
        <f aca="false">P1176-R1176-S1176-T1176</f>
        <v>7633.166</v>
      </c>
      <c r="V1176" s="19" t="n">
        <f aca="false">IFERROR(U1176/P1176,0)</f>
        <v>0.304357565511412</v>
      </c>
      <c r="W1176" s="48" t="n">
        <f aca="false">B1176+INDEX(Parametros!$C$13:$C$16,MATCH($F1176,Parametros!$A$13:$A$16,0))</f>
        <v>46144</v>
      </c>
      <c r="X1176" s="31" t="s">
        <v>67</v>
      </c>
      <c r="Y1176" s="53" t="n">
        <f aca="false">IF(COUNTIF($A$2:$A1176,A1176)=1,1,0)</f>
        <v>0</v>
      </c>
    </row>
    <row r="1177" customFormat="false" ht="15" hidden="false" customHeight="false" outlineLevel="0" collapsed="false">
      <c r="A1177" s="31" t="s">
        <v>876</v>
      </c>
      <c r="B1177" s="36" t="n">
        <v>46069</v>
      </c>
      <c r="C1177" s="49" t="n">
        <f aca="false">DATE(YEAR(B1177),MONTH(B1177),1)</f>
        <v>46054</v>
      </c>
      <c r="D1177" s="31" t="s">
        <v>203</v>
      </c>
      <c r="E1177" s="31" t="s">
        <v>41</v>
      </c>
      <c r="F1177" s="31" t="s">
        <v>46</v>
      </c>
      <c r="G1177" s="31" t="s">
        <v>58</v>
      </c>
      <c r="H1177" s="31" t="s">
        <v>167</v>
      </c>
      <c r="I1177" s="32" t="str">
        <f aca="false">INDEX(Productos!$B$2:$B$13,MATCH($H1177,Productos!$A$2:$A$13,0))</f>
        <v>Tornillo DIN 912 M6x25 Allen zincado</v>
      </c>
      <c r="J1177" s="32" t="str">
        <f aca="false">INDEX(Productos!$C$2:$C$13,MATCH($H1177,Productos!$A$2:$A$13,0))</f>
        <v>Métrica</v>
      </c>
      <c r="K1177" s="31" t="s">
        <v>246</v>
      </c>
      <c r="L1177" s="46" t="n">
        <v>66</v>
      </c>
      <c r="M1177" s="50" t="n">
        <f aca="false">INDEX(Productos!$F$2:$F$13,MATCH($H1177,Productos!$A$2:$A$13,0))</f>
        <v>42</v>
      </c>
      <c r="N1177" s="51" t="n">
        <v>0.112</v>
      </c>
      <c r="O1177" s="52" t="n">
        <f aca="false">M1177*(1-N1177)</f>
        <v>37.296</v>
      </c>
      <c r="P1177" s="21" t="n">
        <f aca="false">L1177*O1177</f>
        <v>2461.536</v>
      </c>
      <c r="Q1177" s="50" t="n">
        <f aca="false">INDEX(Productos!$E$2:$E$13,MATCH($H1177,Productos!$A$2:$A$13,0))*INDEX(Parametros!$B$26:$B$43,MATCH($C1177,Parametros!$A$26:$A$43,0))</f>
        <v>22.236</v>
      </c>
      <c r="R1177" s="21" t="n">
        <f aca="false">L1177*Q1177</f>
        <v>1467.576</v>
      </c>
      <c r="S1177" s="18" t="n">
        <f aca="false">L1177*INDEX(Parametros!$B$20:$B$22,MATCH($E1177,Parametros!$A$20:$A$22,0))</f>
        <v>56.1</v>
      </c>
      <c r="T1177" s="18" t="n">
        <f aca="false">P1177*INDEX(Parametros!$B$13:$B$16,MATCH($F1177,Parametros!$A$13:$A$16,0))</f>
        <v>98.46144</v>
      </c>
      <c r="U1177" s="21" t="n">
        <f aca="false">P1177-R1177-S1177-T1177</f>
        <v>839.39856</v>
      </c>
      <c r="V1177" s="19" t="n">
        <f aca="false">IFERROR(U1177/P1177,0)</f>
        <v>0.341006006006006</v>
      </c>
      <c r="W1177" s="48" t="n">
        <f aca="false">B1177+INDEX(Parametros!$C$13:$C$16,MATCH($F1177,Parametros!$A$13:$A$16,0))</f>
        <v>46144</v>
      </c>
      <c r="X1177" s="31" t="s">
        <v>67</v>
      </c>
      <c r="Y1177" s="53" t="n">
        <f aca="false">IF(COUNTIF($A$2:$A1177,A1177)=1,1,0)</f>
        <v>0</v>
      </c>
    </row>
    <row r="1178" customFormat="false" ht="15" hidden="false" customHeight="false" outlineLevel="0" collapsed="false">
      <c r="A1178" s="31" t="s">
        <v>877</v>
      </c>
      <c r="B1178" s="36" t="n">
        <v>46069</v>
      </c>
      <c r="C1178" s="49" t="n">
        <f aca="false">DATE(YEAR(B1178),MONTH(B1178),1)</f>
        <v>46054</v>
      </c>
      <c r="D1178" s="31" t="s">
        <v>218</v>
      </c>
      <c r="E1178" s="31" t="s">
        <v>42</v>
      </c>
      <c r="F1178" s="31" t="s">
        <v>45</v>
      </c>
      <c r="G1178" s="31" t="s">
        <v>61</v>
      </c>
      <c r="H1178" s="31" t="s">
        <v>163</v>
      </c>
      <c r="I1178" s="32" t="str">
        <f aca="false">INDEX(Productos!$B$2:$B$13,MATCH($H1178,Productos!$A$2:$A$13,0))</f>
        <v>Tornillo DIN 933 M6x30 rosca completa zincado</v>
      </c>
      <c r="J1178" s="32" t="str">
        <f aca="false">INDEX(Productos!$C$2:$C$13,MATCH($H1178,Productos!$A$2:$A$13,0))</f>
        <v>Métrica</v>
      </c>
      <c r="K1178" s="31" t="s">
        <v>246</v>
      </c>
      <c r="L1178" s="46" t="n">
        <v>314</v>
      </c>
      <c r="M1178" s="50" t="n">
        <f aca="false">INDEX(Productos!$F$2:$F$13,MATCH($H1178,Productos!$A$2:$A$13,0))</f>
        <v>32</v>
      </c>
      <c r="N1178" s="51" t="n">
        <v>0.22</v>
      </c>
      <c r="O1178" s="52" t="n">
        <f aca="false">M1178*(1-N1178)</f>
        <v>24.96</v>
      </c>
      <c r="P1178" s="21" t="n">
        <f aca="false">L1178*O1178</f>
        <v>7837.44</v>
      </c>
      <c r="Q1178" s="50" t="n">
        <f aca="false">INDEX(Productos!$E$2:$E$13,MATCH($H1178,Productos!$A$2:$A$13,0))*INDEX(Parametros!$B$26:$B$43,MATCH($C1178,Parametros!$A$26:$A$43,0))</f>
        <v>16.932</v>
      </c>
      <c r="R1178" s="21" t="n">
        <f aca="false">L1178*Q1178</f>
        <v>5316.648</v>
      </c>
      <c r="S1178" s="18" t="n">
        <f aca="false">L1178*INDEX(Parametros!$B$20:$B$22,MATCH($E1178,Parametros!$A$20:$A$22,0))</f>
        <v>753.6</v>
      </c>
      <c r="T1178" s="18" t="n">
        <f aca="false">P1178*INDEX(Parametros!$B$13:$B$16,MATCH($F1178,Parametros!$A$13:$A$16,0))</f>
        <v>235.1232</v>
      </c>
      <c r="U1178" s="21" t="n">
        <f aca="false">P1178-R1178-S1178-T1178</f>
        <v>1532.0688</v>
      </c>
      <c r="V1178" s="19" t="n">
        <f aca="false">IFERROR(U1178/P1178,0)</f>
        <v>0.195480769230769</v>
      </c>
      <c r="W1178" s="48" t="n">
        <f aca="false">B1178+INDEX(Parametros!$C$13:$C$16,MATCH($F1178,Parametros!$A$13:$A$16,0))</f>
        <v>46129</v>
      </c>
      <c r="X1178" s="31" t="s">
        <v>67</v>
      </c>
      <c r="Y1178" s="53" t="n">
        <f aca="false">IF(COUNTIF($A$2:$A1178,A1178)=1,1,0)</f>
        <v>1</v>
      </c>
    </row>
    <row r="1179" customFormat="false" ht="15" hidden="false" customHeight="false" outlineLevel="0" collapsed="false">
      <c r="A1179" s="31" t="s">
        <v>877</v>
      </c>
      <c r="B1179" s="36" t="n">
        <v>46069</v>
      </c>
      <c r="C1179" s="49" t="n">
        <f aca="false">DATE(YEAR(B1179),MONTH(B1179),1)</f>
        <v>46054</v>
      </c>
      <c r="D1179" s="31" t="s">
        <v>218</v>
      </c>
      <c r="E1179" s="31" t="s">
        <v>42</v>
      </c>
      <c r="F1179" s="31" t="s">
        <v>45</v>
      </c>
      <c r="G1179" s="31" t="s">
        <v>61</v>
      </c>
      <c r="H1179" s="31" t="s">
        <v>165</v>
      </c>
      <c r="I1179" s="32" t="str">
        <f aca="false">INDEX(Productos!$B$2:$B$13,MATCH($H1179,Productos!$A$2:$A$13,0))</f>
        <v>Tornillo DIN 933 M8x40 rosca completa zincado</v>
      </c>
      <c r="J1179" s="32" t="str">
        <f aca="false">INDEX(Productos!$C$2:$C$13,MATCH($H1179,Productos!$A$2:$A$13,0))</f>
        <v>Métrica</v>
      </c>
      <c r="K1179" s="31" t="s">
        <v>246</v>
      </c>
      <c r="L1179" s="46" t="n">
        <v>56</v>
      </c>
      <c r="M1179" s="50" t="n">
        <f aca="false">INDEX(Productos!$F$2:$F$13,MATCH($H1179,Productos!$A$2:$A$13,0))</f>
        <v>37.5</v>
      </c>
      <c r="N1179" s="51" t="n">
        <v>0.16</v>
      </c>
      <c r="O1179" s="52" t="n">
        <f aca="false">M1179*(1-N1179)</f>
        <v>31.5</v>
      </c>
      <c r="P1179" s="21" t="n">
        <f aca="false">L1179*O1179</f>
        <v>1764</v>
      </c>
      <c r="Q1179" s="50" t="n">
        <f aca="false">INDEX(Productos!$E$2:$E$13,MATCH($H1179,Productos!$A$2:$A$13,0))*INDEX(Parametros!$B$26:$B$43,MATCH($C1179,Parametros!$A$26:$A$43,0))</f>
        <v>19.788</v>
      </c>
      <c r="R1179" s="21" t="n">
        <f aca="false">L1179*Q1179</f>
        <v>1108.128</v>
      </c>
      <c r="S1179" s="18" t="n">
        <f aca="false">L1179*INDEX(Parametros!$B$20:$B$22,MATCH($E1179,Parametros!$A$20:$A$22,0))</f>
        <v>134.4</v>
      </c>
      <c r="T1179" s="18" t="n">
        <f aca="false">P1179*INDEX(Parametros!$B$13:$B$16,MATCH($F1179,Parametros!$A$13:$A$16,0))</f>
        <v>52.92</v>
      </c>
      <c r="U1179" s="21" t="n">
        <f aca="false">P1179-R1179-S1179-T1179</f>
        <v>468.552</v>
      </c>
      <c r="V1179" s="19" t="n">
        <f aca="false">IFERROR(U1179/P1179,0)</f>
        <v>0.265619047619048</v>
      </c>
      <c r="W1179" s="48" t="n">
        <f aca="false">B1179+INDEX(Parametros!$C$13:$C$16,MATCH($F1179,Parametros!$A$13:$A$16,0))</f>
        <v>46129</v>
      </c>
      <c r="X1179" s="31" t="s">
        <v>67</v>
      </c>
      <c r="Y1179" s="53" t="n">
        <f aca="false">IF(COUNTIF($A$2:$A1179,A1179)=1,1,0)</f>
        <v>0</v>
      </c>
    </row>
    <row r="1180" customFormat="false" ht="15" hidden="false" customHeight="false" outlineLevel="0" collapsed="false">
      <c r="A1180" s="31" t="s">
        <v>878</v>
      </c>
      <c r="B1180" s="36" t="n">
        <v>46069</v>
      </c>
      <c r="C1180" s="49" t="n">
        <f aca="false">DATE(YEAR(B1180),MONTH(B1180),1)</f>
        <v>46054</v>
      </c>
      <c r="D1180" s="31" t="s">
        <v>221</v>
      </c>
      <c r="E1180" s="31" t="s">
        <v>43</v>
      </c>
      <c r="F1180" s="31" t="s">
        <v>45</v>
      </c>
      <c r="G1180" s="31" t="s">
        <v>59</v>
      </c>
      <c r="H1180" s="31" t="s">
        <v>175</v>
      </c>
      <c r="I1180" s="32" t="str">
        <f aca="false">INDEX(Productos!$B$2:$B$13,MATCH($H1180,Productos!$A$2:$A$13,0))</f>
        <v>Tirafondo madera 5x60 cabeza plana Torx</v>
      </c>
      <c r="J1180" s="32" t="str">
        <f aca="false">INDEX(Productos!$C$2:$C$13,MATCH($H1180,Productos!$A$2:$A$13,0))</f>
        <v>Madera</v>
      </c>
      <c r="K1180" s="31" t="s">
        <v>246</v>
      </c>
      <c r="L1180" s="46" t="n">
        <v>28</v>
      </c>
      <c r="M1180" s="50" t="n">
        <f aca="false">INDEX(Productos!$F$2:$F$13,MATCH($H1180,Productos!$A$2:$A$13,0))</f>
        <v>26</v>
      </c>
      <c r="N1180" s="51" t="n">
        <v>0.193</v>
      </c>
      <c r="O1180" s="52" t="n">
        <f aca="false">M1180*(1-N1180)</f>
        <v>20.982</v>
      </c>
      <c r="P1180" s="21" t="n">
        <f aca="false">L1180*O1180</f>
        <v>587.496</v>
      </c>
      <c r="Q1180" s="50" t="n">
        <f aca="false">INDEX(Productos!$E$2:$E$13,MATCH($H1180,Productos!$A$2:$A$13,0))*INDEX(Parametros!$B$26:$B$43,MATCH($C1180,Parametros!$A$26:$A$43,0))</f>
        <v>13.668</v>
      </c>
      <c r="R1180" s="21" t="n">
        <f aca="false">L1180*Q1180</f>
        <v>382.704</v>
      </c>
      <c r="S1180" s="18" t="n">
        <f aca="false">L1180*INDEX(Parametros!$B$20:$B$22,MATCH($E1180,Parametros!$A$20:$A$22,0))</f>
        <v>53.2</v>
      </c>
      <c r="T1180" s="18" t="n">
        <f aca="false">P1180*INDEX(Parametros!$B$13:$B$16,MATCH($F1180,Parametros!$A$13:$A$16,0))</f>
        <v>17.62488</v>
      </c>
      <c r="U1180" s="21" t="n">
        <f aca="false">P1180-R1180-S1180-T1180</f>
        <v>133.96712</v>
      </c>
      <c r="V1180" s="19" t="n">
        <f aca="false">IFERROR(U1180/P1180,0)</f>
        <v>0.228030692974931</v>
      </c>
      <c r="W1180" s="48" t="n">
        <f aca="false">B1180+INDEX(Parametros!$C$13:$C$16,MATCH($F1180,Parametros!$A$13:$A$16,0))</f>
        <v>46129</v>
      </c>
      <c r="X1180" s="31" t="s">
        <v>67</v>
      </c>
      <c r="Y1180" s="53" t="n">
        <f aca="false">IF(COUNTIF($A$2:$A1180,A1180)=1,1,0)</f>
        <v>1</v>
      </c>
    </row>
    <row r="1181" customFormat="false" ht="15" hidden="false" customHeight="false" outlineLevel="0" collapsed="false">
      <c r="A1181" s="31" t="s">
        <v>878</v>
      </c>
      <c r="B1181" s="36" t="n">
        <v>46069</v>
      </c>
      <c r="C1181" s="49" t="n">
        <f aca="false">DATE(YEAR(B1181),MONTH(B1181),1)</f>
        <v>46054</v>
      </c>
      <c r="D1181" s="31" t="s">
        <v>221</v>
      </c>
      <c r="E1181" s="31" t="s">
        <v>43</v>
      </c>
      <c r="F1181" s="31" t="s">
        <v>45</v>
      </c>
      <c r="G1181" s="31" t="s">
        <v>59</v>
      </c>
      <c r="H1181" s="31" t="s">
        <v>177</v>
      </c>
      <c r="I1181" s="32" t="str">
        <f aca="false">INDEX(Productos!$B$2:$B$13,MATCH($H1181,Productos!$A$2:$A$13,0))</f>
        <v>Tirafondo madera 6x100 cabeza plana Torx</v>
      </c>
      <c r="J1181" s="32" t="str">
        <f aca="false">INDEX(Productos!$C$2:$C$13,MATCH($H1181,Productos!$A$2:$A$13,0))</f>
        <v>Madera</v>
      </c>
      <c r="K1181" s="31" t="s">
        <v>246</v>
      </c>
      <c r="L1181" s="46" t="n">
        <v>49</v>
      </c>
      <c r="M1181" s="50" t="n">
        <f aca="false">INDEX(Productos!$F$2:$F$13,MATCH($H1181,Productos!$A$2:$A$13,0))</f>
        <v>34</v>
      </c>
      <c r="N1181" s="51" t="n">
        <v>0.206</v>
      </c>
      <c r="O1181" s="52" t="n">
        <f aca="false">M1181*(1-N1181)</f>
        <v>26.996</v>
      </c>
      <c r="P1181" s="21" t="n">
        <f aca="false">L1181*O1181</f>
        <v>1322.804</v>
      </c>
      <c r="Q1181" s="50" t="n">
        <f aca="false">INDEX(Productos!$E$2:$E$13,MATCH($H1181,Productos!$A$2:$A$13,0))*INDEX(Parametros!$B$26:$B$43,MATCH($C1181,Parametros!$A$26:$A$43,0))</f>
        <v>18.156</v>
      </c>
      <c r="R1181" s="21" t="n">
        <f aca="false">L1181*Q1181</f>
        <v>889.644</v>
      </c>
      <c r="S1181" s="18" t="n">
        <f aca="false">L1181*INDEX(Parametros!$B$20:$B$22,MATCH($E1181,Parametros!$A$20:$A$22,0))</f>
        <v>93.1</v>
      </c>
      <c r="T1181" s="18" t="n">
        <f aca="false">P1181*INDEX(Parametros!$B$13:$B$16,MATCH($F1181,Parametros!$A$13:$A$16,0))</f>
        <v>39.68412</v>
      </c>
      <c r="U1181" s="21" t="n">
        <f aca="false">P1181-R1181-S1181-T1181</f>
        <v>300.37588</v>
      </c>
      <c r="V1181" s="19" t="n">
        <f aca="false">IFERROR(U1181/P1181,0)</f>
        <v>0.227075122240332</v>
      </c>
      <c r="W1181" s="48" t="n">
        <f aca="false">B1181+INDEX(Parametros!$C$13:$C$16,MATCH($F1181,Parametros!$A$13:$A$16,0))</f>
        <v>46129</v>
      </c>
      <c r="X1181" s="31" t="s">
        <v>67</v>
      </c>
      <c r="Y1181" s="53" t="n">
        <f aca="false">IF(COUNTIF($A$2:$A1181,A1181)=1,1,0)</f>
        <v>0</v>
      </c>
    </row>
    <row r="1182" customFormat="false" ht="15" hidden="false" customHeight="false" outlineLevel="0" collapsed="false">
      <c r="A1182" s="31" t="s">
        <v>878</v>
      </c>
      <c r="B1182" s="36" t="n">
        <v>46069</v>
      </c>
      <c r="C1182" s="49" t="n">
        <f aca="false">DATE(YEAR(B1182),MONTH(B1182),1)</f>
        <v>46054</v>
      </c>
      <c r="D1182" s="31" t="s">
        <v>221</v>
      </c>
      <c r="E1182" s="31" t="s">
        <v>43</v>
      </c>
      <c r="F1182" s="31" t="s">
        <v>45</v>
      </c>
      <c r="G1182" s="31" t="s">
        <v>59</v>
      </c>
      <c r="H1182" s="31" t="s">
        <v>183</v>
      </c>
      <c r="I1182" s="32" t="str">
        <f aca="false">INDEX(Productos!$B$2:$B$13,MATCH($H1182,Productos!$A$2:$A$13,0))</f>
        <v>Tornillo estructural M16x90 clase 10.9</v>
      </c>
      <c r="J1182" s="32" t="str">
        <f aca="false">INDEX(Productos!$C$2:$C$13,MATCH($H1182,Productos!$A$2:$A$13,0))</f>
        <v>Especial</v>
      </c>
      <c r="K1182" s="31" t="s">
        <v>246</v>
      </c>
      <c r="L1182" s="46" t="n">
        <v>32</v>
      </c>
      <c r="M1182" s="50" t="n">
        <f aca="false">INDEX(Productos!$F$2:$F$13,MATCH($H1182,Productos!$A$2:$A$13,0))</f>
        <v>112</v>
      </c>
      <c r="N1182" s="51" t="n">
        <v>0.155</v>
      </c>
      <c r="O1182" s="52" t="n">
        <f aca="false">M1182*(1-N1182)</f>
        <v>94.64</v>
      </c>
      <c r="P1182" s="21" t="n">
        <f aca="false">L1182*O1182</f>
        <v>3028.48</v>
      </c>
      <c r="Q1182" s="50" t="n">
        <f aca="false">INDEX(Productos!$E$2:$E$13,MATCH($H1182,Productos!$A$2:$A$13,0))*INDEX(Parametros!$B$26:$B$43,MATCH($C1182,Parametros!$A$26:$A$43,0))</f>
        <v>61.2</v>
      </c>
      <c r="R1182" s="21" t="n">
        <f aca="false">L1182*Q1182</f>
        <v>1958.4</v>
      </c>
      <c r="S1182" s="18" t="n">
        <f aca="false">L1182*INDEX(Parametros!$B$20:$B$22,MATCH($E1182,Parametros!$A$20:$A$22,0))</f>
        <v>60.8</v>
      </c>
      <c r="T1182" s="18" t="n">
        <f aca="false">P1182*INDEX(Parametros!$B$13:$B$16,MATCH($F1182,Parametros!$A$13:$A$16,0))</f>
        <v>90.8544</v>
      </c>
      <c r="U1182" s="21" t="n">
        <f aca="false">P1182-R1182-S1182-T1182</f>
        <v>918.4256</v>
      </c>
      <c r="V1182" s="19" t="n">
        <f aca="false">IFERROR(U1182/P1182,0)</f>
        <v>0.303262890955199</v>
      </c>
      <c r="W1182" s="48" t="n">
        <f aca="false">B1182+INDEX(Parametros!$C$13:$C$16,MATCH($F1182,Parametros!$A$13:$A$16,0))</f>
        <v>46129</v>
      </c>
      <c r="X1182" s="31" t="s">
        <v>67</v>
      </c>
      <c r="Y1182" s="53" t="n">
        <f aca="false">IF(COUNTIF($A$2:$A1182,A1182)=1,1,0)</f>
        <v>0</v>
      </c>
    </row>
    <row r="1183" customFormat="false" ht="15" hidden="false" customHeight="false" outlineLevel="0" collapsed="false">
      <c r="A1183" s="31" t="s">
        <v>879</v>
      </c>
      <c r="B1183" s="36" t="n">
        <v>46069</v>
      </c>
      <c r="C1183" s="49" t="n">
        <f aca="false">DATE(YEAR(B1183),MONTH(B1183),1)</f>
        <v>46054</v>
      </c>
      <c r="D1183" s="31" t="s">
        <v>201</v>
      </c>
      <c r="E1183" s="31" t="s">
        <v>41</v>
      </c>
      <c r="F1183" s="31" t="s">
        <v>46</v>
      </c>
      <c r="G1183" s="31" t="s">
        <v>62</v>
      </c>
      <c r="H1183" s="31" t="s">
        <v>173</v>
      </c>
      <c r="I1183" s="32" t="str">
        <f aca="false">INDEX(Productos!$B$2:$B$13,MATCH($H1183,Productos!$A$2:$A$13,0))</f>
        <v>Tornillo DIN 933 M12x70 clase 8.8</v>
      </c>
      <c r="J1183" s="32" t="str">
        <f aca="false">INDEX(Productos!$C$2:$C$13,MATCH($H1183,Productos!$A$2:$A$13,0))</f>
        <v>Métrica</v>
      </c>
      <c r="K1183" s="31" t="s">
        <v>246</v>
      </c>
      <c r="L1183" s="46" t="n">
        <v>264</v>
      </c>
      <c r="M1183" s="50" t="n">
        <f aca="false">INDEX(Productos!$F$2:$F$13,MATCH($H1183,Productos!$A$2:$A$13,0))</f>
        <v>64</v>
      </c>
      <c r="N1183" s="51" t="n">
        <v>0.108</v>
      </c>
      <c r="O1183" s="52" t="n">
        <f aca="false">M1183*(1-N1183)</f>
        <v>57.088</v>
      </c>
      <c r="P1183" s="21" t="n">
        <f aca="false">L1183*O1183</f>
        <v>15071.232</v>
      </c>
      <c r="Q1183" s="50" t="n">
        <f aca="false">INDEX(Productos!$E$2:$E$13,MATCH($H1183,Productos!$A$2:$A$13,0))*INDEX(Parametros!$B$26:$B$43,MATCH($C1183,Parametros!$A$26:$A$43,0))</f>
        <v>34.17</v>
      </c>
      <c r="R1183" s="21" t="n">
        <f aca="false">L1183*Q1183</f>
        <v>9020.88</v>
      </c>
      <c r="S1183" s="18" t="n">
        <f aca="false">L1183*INDEX(Parametros!$B$20:$B$22,MATCH($E1183,Parametros!$A$20:$A$22,0))</f>
        <v>224.4</v>
      </c>
      <c r="T1183" s="18" t="n">
        <f aca="false">P1183*INDEX(Parametros!$B$13:$B$16,MATCH($F1183,Parametros!$A$13:$A$16,0))</f>
        <v>602.84928</v>
      </c>
      <c r="U1183" s="21" t="n">
        <f aca="false">P1183-R1183-S1183-T1183</f>
        <v>5223.10272</v>
      </c>
      <c r="V1183" s="19" t="n">
        <f aca="false">IFERROR(U1183/P1183,0)</f>
        <v>0.346561098654708</v>
      </c>
      <c r="W1183" s="48" t="n">
        <f aca="false">B1183+INDEX(Parametros!$C$13:$C$16,MATCH($F1183,Parametros!$A$13:$A$16,0))</f>
        <v>46144</v>
      </c>
      <c r="X1183" s="31" t="s">
        <v>67</v>
      </c>
      <c r="Y1183" s="53" t="n">
        <f aca="false">IF(COUNTIF($A$2:$A1183,A1183)=1,1,0)</f>
        <v>1</v>
      </c>
    </row>
    <row r="1184" customFormat="false" ht="15" hidden="false" customHeight="false" outlineLevel="0" collapsed="false">
      <c r="A1184" s="31" t="s">
        <v>880</v>
      </c>
      <c r="B1184" s="36" t="n">
        <v>46070</v>
      </c>
      <c r="C1184" s="49" t="n">
        <f aca="false">DATE(YEAR(B1184),MONTH(B1184),1)</f>
        <v>46054</v>
      </c>
      <c r="D1184" s="31" t="s">
        <v>198</v>
      </c>
      <c r="E1184" s="31" t="s">
        <v>41</v>
      </c>
      <c r="F1184" s="31" t="s">
        <v>46</v>
      </c>
      <c r="G1184" s="31" t="s">
        <v>58</v>
      </c>
      <c r="H1184" s="31" t="s">
        <v>175</v>
      </c>
      <c r="I1184" s="32" t="str">
        <f aca="false">INDEX(Productos!$B$2:$B$13,MATCH($H1184,Productos!$A$2:$A$13,0))</f>
        <v>Tirafondo madera 5x60 cabeza plana Torx</v>
      </c>
      <c r="J1184" s="32" t="str">
        <f aca="false">INDEX(Productos!$C$2:$C$13,MATCH($H1184,Productos!$A$2:$A$13,0))</f>
        <v>Madera</v>
      </c>
      <c r="K1184" s="31" t="s">
        <v>246</v>
      </c>
      <c r="L1184" s="46" t="n">
        <v>50</v>
      </c>
      <c r="M1184" s="50" t="n">
        <f aca="false">INDEX(Productos!$F$2:$F$13,MATCH($H1184,Productos!$A$2:$A$13,0))</f>
        <v>26</v>
      </c>
      <c r="N1184" s="51" t="n">
        <v>0.114</v>
      </c>
      <c r="O1184" s="52" t="n">
        <f aca="false">M1184*(1-N1184)</f>
        <v>23.036</v>
      </c>
      <c r="P1184" s="21" t="n">
        <f aca="false">L1184*O1184</f>
        <v>1151.8</v>
      </c>
      <c r="Q1184" s="50" t="n">
        <f aca="false">INDEX(Productos!$E$2:$E$13,MATCH($H1184,Productos!$A$2:$A$13,0))*INDEX(Parametros!$B$26:$B$43,MATCH($C1184,Parametros!$A$26:$A$43,0))</f>
        <v>13.668</v>
      </c>
      <c r="R1184" s="21" t="n">
        <f aca="false">L1184*Q1184</f>
        <v>683.4</v>
      </c>
      <c r="S1184" s="18" t="n">
        <f aca="false">L1184*INDEX(Parametros!$B$20:$B$22,MATCH($E1184,Parametros!$A$20:$A$22,0))</f>
        <v>42.5</v>
      </c>
      <c r="T1184" s="18" t="n">
        <f aca="false">P1184*INDEX(Parametros!$B$13:$B$16,MATCH($F1184,Parametros!$A$13:$A$16,0))</f>
        <v>46.072</v>
      </c>
      <c r="U1184" s="21" t="n">
        <f aca="false">P1184-R1184-S1184-T1184</f>
        <v>379.828</v>
      </c>
      <c r="V1184" s="19" t="n">
        <f aca="false">IFERROR(U1184/P1184,0)</f>
        <v>0.329769057127974</v>
      </c>
      <c r="W1184" s="48" t="n">
        <f aca="false">B1184+INDEX(Parametros!$C$13:$C$16,MATCH($F1184,Parametros!$A$13:$A$16,0))</f>
        <v>46145</v>
      </c>
      <c r="X1184" s="31" t="s">
        <v>67</v>
      </c>
      <c r="Y1184" s="53" t="n">
        <f aca="false">IF(COUNTIF($A$2:$A1184,A1184)=1,1,0)</f>
        <v>1</v>
      </c>
    </row>
    <row r="1185" customFormat="false" ht="15" hidden="false" customHeight="false" outlineLevel="0" collapsed="false">
      <c r="A1185" s="31" t="s">
        <v>881</v>
      </c>
      <c r="B1185" s="36" t="n">
        <v>46071</v>
      </c>
      <c r="C1185" s="49" t="n">
        <f aca="false">DATE(YEAR(B1185),MONTH(B1185),1)</f>
        <v>46054</v>
      </c>
      <c r="D1185" s="31" t="s">
        <v>191</v>
      </c>
      <c r="E1185" s="31" t="s">
        <v>41</v>
      </c>
      <c r="F1185" s="31" t="s">
        <v>47</v>
      </c>
      <c r="G1185" s="31" t="s">
        <v>58</v>
      </c>
      <c r="H1185" s="31" t="s">
        <v>175</v>
      </c>
      <c r="I1185" s="32" t="str">
        <f aca="false">INDEX(Productos!$B$2:$B$13,MATCH($H1185,Productos!$A$2:$A$13,0))</f>
        <v>Tirafondo madera 5x60 cabeza plana Torx</v>
      </c>
      <c r="J1185" s="32" t="str">
        <f aca="false">INDEX(Productos!$C$2:$C$13,MATCH($H1185,Productos!$A$2:$A$13,0))</f>
        <v>Madera</v>
      </c>
      <c r="K1185" s="31" t="s">
        <v>246</v>
      </c>
      <c r="L1185" s="46" t="n">
        <v>56</v>
      </c>
      <c r="M1185" s="50" t="n">
        <f aca="false">INDEX(Productos!$F$2:$F$13,MATCH($H1185,Productos!$A$2:$A$13,0))</f>
        <v>26</v>
      </c>
      <c r="N1185" s="51" t="n">
        <v>0.092</v>
      </c>
      <c r="O1185" s="52" t="n">
        <f aca="false">M1185*(1-N1185)</f>
        <v>23.608</v>
      </c>
      <c r="P1185" s="21" t="n">
        <f aca="false">L1185*O1185</f>
        <v>1322.048</v>
      </c>
      <c r="Q1185" s="50" t="n">
        <f aca="false">INDEX(Productos!$E$2:$E$13,MATCH($H1185,Productos!$A$2:$A$13,0))*INDEX(Parametros!$B$26:$B$43,MATCH($C1185,Parametros!$A$26:$A$43,0))</f>
        <v>13.668</v>
      </c>
      <c r="R1185" s="21" t="n">
        <f aca="false">L1185*Q1185</f>
        <v>765.408</v>
      </c>
      <c r="S1185" s="18" t="n">
        <f aca="false">L1185*INDEX(Parametros!$B$20:$B$22,MATCH($E1185,Parametros!$A$20:$A$22,0))</f>
        <v>47.6</v>
      </c>
      <c r="T1185" s="18" t="n">
        <f aca="false">P1185*INDEX(Parametros!$B$13:$B$16,MATCH($F1185,Parametros!$A$13:$A$16,0))</f>
        <v>46.27168</v>
      </c>
      <c r="U1185" s="21" t="n">
        <f aca="false">P1185-R1185-S1185-T1185</f>
        <v>462.76832</v>
      </c>
      <c r="V1185" s="19" t="n">
        <f aca="false">IFERROR(U1185/P1185,0)</f>
        <v>0.350038969840732</v>
      </c>
      <c r="W1185" s="48" t="n">
        <f aca="false">B1185+INDEX(Parametros!$C$13:$C$16,MATCH($F1185,Parametros!$A$13:$A$16,0))</f>
        <v>46116</v>
      </c>
      <c r="X1185" s="31" t="s">
        <v>67</v>
      </c>
      <c r="Y1185" s="53" t="n">
        <f aca="false">IF(COUNTIF($A$2:$A1185,A1185)=1,1,0)</f>
        <v>1</v>
      </c>
    </row>
    <row r="1186" customFormat="false" ht="15" hidden="false" customHeight="false" outlineLevel="0" collapsed="false">
      <c r="A1186" s="31" t="s">
        <v>881</v>
      </c>
      <c r="B1186" s="36" t="n">
        <v>46071</v>
      </c>
      <c r="C1186" s="49" t="n">
        <f aca="false">DATE(YEAR(B1186),MONTH(B1186),1)</f>
        <v>46054</v>
      </c>
      <c r="D1186" s="31" t="s">
        <v>191</v>
      </c>
      <c r="E1186" s="31" t="s">
        <v>41</v>
      </c>
      <c r="F1186" s="31" t="s">
        <v>47</v>
      </c>
      <c r="G1186" s="31" t="s">
        <v>58</v>
      </c>
      <c r="H1186" s="31" t="s">
        <v>183</v>
      </c>
      <c r="I1186" s="32" t="str">
        <f aca="false">INDEX(Productos!$B$2:$B$13,MATCH($H1186,Productos!$A$2:$A$13,0))</f>
        <v>Tornillo estructural M16x90 clase 10.9</v>
      </c>
      <c r="J1186" s="32" t="str">
        <f aca="false">INDEX(Productos!$C$2:$C$13,MATCH($H1186,Productos!$A$2:$A$13,0))</f>
        <v>Especial</v>
      </c>
      <c r="K1186" s="31" t="s">
        <v>246</v>
      </c>
      <c r="L1186" s="46" t="n">
        <v>12</v>
      </c>
      <c r="M1186" s="50" t="n">
        <f aca="false">INDEX(Productos!$F$2:$F$13,MATCH($H1186,Productos!$A$2:$A$13,0))</f>
        <v>112</v>
      </c>
      <c r="N1186" s="51" t="n">
        <v>0.1</v>
      </c>
      <c r="O1186" s="52" t="n">
        <f aca="false">M1186*(1-N1186)</f>
        <v>100.8</v>
      </c>
      <c r="P1186" s="21" t="n">
        <f aca="false">L1186*O1186</f>
        <v>1209.6</v>
      </c>
      <c r="Q1186" s="50" t="n">
        <f aca="false">INDEX(Productos!$E$2:$E$13,MATCH($H1186,Productos!$A$2:$A$13,0))*INDEX(Parametros!$B$26:$B$43,MATCH($C1186,Parametros!$A$26:$A$43,0))</f>
        <v>61.2</v>
      </c>
      <c r="R1186" s="21" t="n">
        <f aca="false">L1186*Q1186</f>
        <v>734.4</v>
      </c>
      <c r="S1186" s="18" t="n">
        <f aca="false">L1186*INDEX(Parametros!$B$20:$B$22,MATCH($E1186,Parametros!$A$20:$A$22,0))</f>
        <v>10.2</v>
      </c>
      <c r="T1186" s="18" t="n">
        <f aca="false">P1186*INDEX(Parametros!$B$13:$B$16,MATCH($F1186,Parametros!$A$13:$A$16,0))</f>
        <v>42.336</v>
      </c>
      <c r="U1186" s="21" t="n">
        <f aca="false">P1186-R1186-S1186-T1186</f>
        <v>422.664</v>
      </c>
      <c r="V1186" s="19" t="n">
        <f aca="false">IFERROR(U1186/P1186,0)</f>
        <v>0.349424603174603</v>
      </c>
      <c r="W1186" s="48" t="n">
        <f aca="false">B1186+INDEX(Parametros!$C$13:$C$16,MATCH($F1186,Parametros!$A$13:$A$16,0))</f>
        <v>46116</v>
      </c>
      <c r="X1186" s="31" t="s">
        <v>67</v>
      </c>
      <c r="Y1186" s="53" t="n">
        <f aca="false">IF(COUNTIF($A$2:$A1186,A1186)=1,1,0)</f>
        <v>0</v>
      </c>
    </row>
    <row r="1187" customFormat="false" ht="15" hidden="false" customHeight="false" outlineLevel="0" collapsed="false">
      <c r="A1187" s="31" t="s">
        <v>882</v>
      </c>
      <c r="B1187" s="36" t="n">
        <v>46071</v>
      </c>
      <c r="C1187" s="49" t="n">
        <f aca="false">DATE(YEAR(B1187),MONTH(B1187),1)</f>
        <v>46054</v>
      </c>
      <c r="D1187" s="31" t="s">
        <v>198</v>
      </c>
      <c r="E1187" s="31" t="s">
        <v>41</v>
      </c>
      <c r="F1187" s="31" t="s">
        <v>46</v>
      </c>
      <c r="G1187" s="31" t="s">
        <v>58</v>
      </c>
      <c r="H1187" s="31" t="s">
        <v>169</v>
      </c>
      <c r="I1187" s="32" t="str">
        <f aca="false">INDEX(Productos!$B$2:$B$13,MATCH($H1187,Productos!$A$2:$A$13,0))</f>
        <v>Tornillo DIN 912 M10x60 Allen inox A2</v>
      </c>
      <c r="J1187" s="32" t="str">
        <f aca="false">INDEX(Productos!$C$2:$C$13,MATCH($H1187,Productos!$A$2:$A$13,0))</f>
        <v>Inoxidable</v>
      </c>
      <c r="K1187" s="31" t="s">
        <v>246</v>
      </c>
      <c r="L1187" s="46" t="n">
        <v>54</v>
      </c>
      <c r="M1187" s="50" t="n">
        <f aca="false">INDEX(Productos!$F$2:$F$13,MATCH($H1187,Productos!$A$2:$A$13,0))</f>
        <v>79</v>
      </c>
      <c r="N1187" s="51" t="n">
        <v>0.104</v>
      </c>
      <c r="O1187" s="52" t="n">
        <f aca="false">M1187*(1-N1187)</f>
        <v>70.784</v>
      </c>
      <c r="P1187" s="21" t="n">
        <f aca="false">L1187*O1187</f>
        <v>3822.336</v>
      </c>
      <c r="Q1187" s="50" t="n">
        <f aca="false">INDEX(Productos!$E$2:$E$13,MATCH($H1187,Productos!$A$2:$A$13,0))*INDEX(Parametros!$B$26:$B$43,MATCH($C1187,Parametros!$A$26:$A$43,0))</f>
        <v>42.84</v>
      </c>
      <c r="R1187" s="21" t="n">
        <f aca="false">L1187*Q1187</f>
        <v>2313.36</v>
      </c>
      <c r="S1187" s="18" t="n">
        <f aca="false">L1187*INDEX(Parametros!$B$20:$B$22,MATCH($E1187,Parametros!$A$20:$A$22,0))</f>
        <v>45.9</v>
      </c>
      <c r="T1187" s="18" t="n">
        <f aca="false">P1187*INDEX(Parametros!$B$13:$B$16,MATCH($F1187,Parametros!$A$13:$A$16,0))</f>
        <v>152.89344</v>
      </c>
      <c r="U1187" s="21" t="n">
        <f aca="false">P1187-R1187-S1187-T1187</f>
        <v>1310.18256</v>
      </c>
      <c r="V1187" s="19" t="n">
        <f aca="false">IFERROR(U1187/P1187,0)</f>
        <v>0.342770117540687</v>
      </c>
      <c r="W1187" s="48" t="n">
        <f aca="false">B1187+INDEX(Parametros!$C$13:$C$16,MATCH($F1187,Parametros!$A$13:$A$16,0))</f>
        <v>46146</v>
      </c>
      <c r="X1187" s="31" t="s">
        <v>67</v>
      </c>
      <c r="Y1187" s="53" t="n">
        <f aca="false">IF(COUNTIF($A$2:$A1187,A1187)=1,1,0)</f>
        <v>1</v>
      </c>
    </row>
    <row r="1188" customFormat="false" ht="15" hidden="false" customHeight="false" outlineLevel="0" collapsed="false">
      <c r="A1188" s="31" t="s">
        <v>882</v>
      </c>
      <c r="B1188" s="36" t="n">
        <v>46071</v>
      </c>
      <c r="C1188" s="49" t="n">
        <f aca="false">DATE(YEAR(B1188),MONTH(B1188),1)</f>
        <v>46054</v>
      </c>
      <c r="D1188" s="31" t="s">
        <v>198</v>
      </c>
      <c r="E1188" s="31" t="s">
        <v>41</v>
      </c>
      <c r="F1188" s="31" t="s">
        <v>46</v>
      </c>
      <c r="G1188" s="31" t="s">
        <v>58</v>
      </c>
      <c r="H1188" s="31" t="s">
        <v>185</v>
      </c>
      <c r="I1188" s="32" t="str">
        <f aca="false">INDEX(Productos!$B$2:$B$13,MATCH($H1188,Productos!$A$2:$A$13,0))</f>
        <v>Varilla roscada M10 x 1 m zincada</v>
      </c>
      <c r="J1188" s="32" t="str">
        <f aca="false">INDEX(Productos!$C$2:$C$13,MATCH($H1188,Productos!$A$2:$A$13,0))</f>
        <v>Especial</v>
      </c>
      <c r="K1188" s="31" t="s">
        <v>246</v>
      </c>
      <c r="L1188" s="46" t="n">
        <v>120</v>
      </c>
      <c r="M1188" s="50" t="n">
        <f aca="false">INDEX(Productos!$F$2:$F$13,MATCH($H1188,Productos!$A$2:$A$13,0))</f>
        <v>54</v>
      </c>
      <c r="N1188" s="51" t="n">
        <v>0.135</v>
      </c>
      <c r="O1188" s="52" t="n">
        <f aca="false">M1188*(1-N1188)</f>
        <v>46.71</v>
      </c>
      <c r="P1188" s="21" t="n">
        <f aca="false">L1188*O1188</f>
        <v>5605.2</v>
      </c>
      <c r="Q1188" s="50" t="n">
        <f aca="false">INDEX(Productos!$E$2:$E$13,MATCH($H1188,Productos!$A$2:$A$13,0))*INDEX(Parametros!$B$26:$B$43,MATCH($C1188,Parametros!$A$26:$A$43,0))</f>
        <v>29.07</v>
      </c>
      <c r="R1188" s="21" t="n">
        <f aca="false">L1188*Q1188</f>
        <v>3488.4</v>
      </c>
      <c r="S1188" s="18" t="n">
        <f aca="false">L1188*INDEX(Parametros!$B$20:$B$22,MATCH($E1188,Parametros!$A$20:$A$22,0))</f>
        <v>102</v>
      </c>
      <c r="T1188" s="18" t="n">
        <f aca="false">P1188*INDEX(Parametros!$B$13:$B$16,MATCH($F1188,Parametros!$A$13:$A$16,0))</f>
        <v>224.208</v>
      </c>
      <c r="U1188" s="21" t="n">
        <f aca="false">P1188-R1188-S1188-T1188</f>
        <v>1790.592</v>
      </c>
      <c r="V1188" s="19" t="n">
        <f aca="false">IFERROR(U1188/P1188,0)</f>
        <v>0.31945193748662</v>
      </c>
      <c r="W1188" s="48" t="n">
        <f aca="false">B1188+INDEX(Parametros!$C$13:$C$16,MATCH($F1188,Parametros!$A$13:$A$16,0))</f>
        <v>46146</v>
      </c>
      <c r="X1188" s="31" t="s">
        <v>67</v>
      </c>
      <c r="Y1188" s="53" t="n">
        <f aca="false">IF(COUNTIF($A$2:$A1188,A1188)=1,1,0)</f>
        <v>0</v>
      </c>
    </row>
    <row r="1189" customFormat="false" ht="15" hidden="false" customHeight="false" outlineLevel="0" collapsed="false">
      <c r="A1189" s="31" t="s">
        <v>883</v>
      </c>
      <c r="B1189" s="36" t="n">
        <v>46071</v>
      </c>
      <c r="C1189" s="49" t="n">
        <f aca="false">DATE(YEAR(B1189),MONTH(B1189),1)</f>
        <v>46054</v>
      </c>
      <c r="D1189" s="31" t="s">
        <v>193</v>
      </c>
      <c r="E1189" s="31" t="s">
        <v>41</v>
      </c>
      <c r="F1189" s="31" t="s">
        <v>45</v>
      </c>
      <c r="G1189" s="31" t="s">
        <v>62</v>
      </c>
      <c r="H1189" s="31" t="s">
        <v>171</v>
      </c>
      <c r="I1189" s="32" t="str">
        <f aca="false">INDEX(Productos!$B$2:$B$13,MATCH($H1189,Productos!$A$2:$A$13,0))</f>
        <v>Tornillo DIN 7991 M8x30 avellanado inox A2</v>
      </c>
      <c r="J1189" s="32" t="str">
        <f aca="false">INDEX(Productos!$C$2:$C$13,MATCH($H1189,Productos!$A$2:$A$13,0))</f>
        <v>Inoxidable</v>
      </c>
      <c r="K1189" s="31" t="s">
        <v>246</v>
      </c>
      <c r="L1189" s="46" t="n">
        <v>46</v>
      </c>
      <c r="M1189" s="50" t="n">
        <f aca="false">INDEX(Productos!$F$2:$F$13,MATCH($H1189,Productos!$A$2:$A$13,0))</f>
        <v>88</v>
      </c>
      <c r="N1189" s="51" t="n">
        <v>0.147</v>
      </c>
      <c r="O1189" s="52" t="n">
        <f aca="false">M1189*(1-N1189)</f>
        <v>75.064</v>
      </c>
      <c r="P1189" s="21" t="n">
        <f aca="false">L1189*O1189</f>
        <v>3452.944</v>
      </c>
      <c r="Q1189" s="50" t="n">
        <f aca="false">INDEX(Productos!$E$2:$E$13,MATCH($H1189,Productos!$A$2:$A$13,0))*INDEX(Parametros!$B$26:$B$43,MATCH($C1189,Parametros!$A$26:$A$43,0))</f>
        <v>47.43</v>
      </c>
      <c r="R1189" s="21" t="n">
        <f aca="false">L1189*Q1189</f>
        <v>2181.78</v>
      </c>
      <c r="S1189" s="18" t="n">
        <f aca="false">L1189*INDEX(Parametros!$B$20:$B$22,MATCH($E1189,Parametros!$A$20:$A$22,0))</f>
        <v>39.1</v>
      </c>
      <c r="T1189" s="18" t="n">
        <f aca="false">P1189*INDEX(Parametros!$B$13:$B$16,MATCH($F1189,Parametros!$A$13:$A$16,0))</f>
        <v>103.58832</v>
      </c>
      <c r="U1189" s="21" t="n">
        <f aca="false">P1189-R1189-S1189-T1189</f>
        <v>1128.47568</v>
      </c>
      <c r="V1189" s="19" t="n">
        <f aca="false">IFERROR(U1189/P1189,0)</f>
        <v>0.32681551742513</v>
      </c>
      <c r="W1189" s="48" t="n">
        <f aca="false">B1189+INDEX(Parametros!$C$13:$C$16,MATCH($F1189,Parametros!$A$13:$A$16,0))</f>
        <v>46131</v>
      </c>
      <c r="X1189" s="31" t="s">
        <v>67</v>
      </c>
      <c r="Y1189" s="53" t="n">
        <f aca="false">IF(COUNTIF($A$2:$A1189,A1189)=1,1,0)</f>
        <v>1</v>
      </c>
    </row>
    <row r="1190" customFormat="false" ht="15" hidden="false" customHeight="false" outlineLevel="0" collapsed="false">
      <c r="A1190" s="31" t="s">
        <v>883</v>
      </c>
      <c r="B1190" s="36" t="n">
        <v>46071</v>
      </c>
      <c r="C1190" s="49" t="n">
        <f aca="false">DATE(YEAR(B1190),MONTH(B1190),1)</f>
        <v>46054</v>
      </c>
      <c r="D1190" s="31" t="s">
        <v>193</v>
      </c>
      <c r="E1190" s="31" t="s">
        <v>41</v>
      </c>
      <c r="F1190" s="31" t="s">
        <v>45</v>
      </c>
      <c r="G1190" s="31" t="s">
        <v>62</v>
      </c>
      <c r="H1190" s="31" t="s">
        <v>167</v>
      </c>
      <c r="I1190" s="32" t="str">
        <f aca="false">INDEX(Productos!$B$2:$B$13,MATCH($H1190,Productos!$A$2:$A$13,0))</f>
        <v>Tornillo DIN 912 M6x25 Allen zincado</v>
      </c>
      <c r="J1190" s="32" t="str">
        <f aca="false">INDEX(Productos!$C$2:$C$13,MATCH($H1190,Productos!$A$2:$A$13,0))</f>
        <v>Métrica</v>
      </c>
      <c r="K1190" s="31" t="s">
        <v>246</v>
      </c>
      <c r="L1190" s="46" t="n">
        <v>107</v>
      </c>
      <c r="M1190" s="50" t="n">
        <f aca="false">INDEX(Productos!$F$2:$F$13,MATCH($H1190,Productos!$A$2:$A$13,0))</f>
        <v>42</v>
      </c>
      <c r="N1190" s="51" t="n">
        <v>0.207</v>
      </c>
      <c r="O1190" s="52" t="n">
        <f aca="false">M1190*(1-N1190)</f>
        <v>33.306</v>
      </c>
      <c r="P1190" s="21" t="n">
        <f aca="false">L1190*O1190</f>
        <v>3563.742</v>
      </c>
      <c r="Q1190" s="50" t="n">
        <f aca="false">INDEX(Productos!$E$2:$E$13,MATCH($H1190,Productos!$A$2:$A$13,0))*INDEX(Parametros!$B$26:$B$43,MATCH($C1190,Parametros!$A$26:$A$43,0))</f>
        <v>22.236</v>
      </c>
      <c r="R1190" s="21" t="n">
        <f aca="false">L1190*Q1190</f>
        <v>2379.252</v>
      </c>
      <c r="S1190" s="18" t="n">
        <f aca="false">L1190*INDEX(Parametros!$B$20:$B$22,MATCH($E1190,Parametros!$A$20:$A$22,0))</f>
        <v>90.95</v>
      </c>
      <c r="T1190" s="18" t="n">
        <f aca="false">P1190*INDEX(Parametros!$B$13:$B$16,MATCH($F1190,Parametros!$A$13:$A$16,0))</f>
        <v>106.91226</v>
      </c>
      <c r="U1190" s="21" t="n">
        <f aca="false">P1190-R1190-S1190-T1190</f>
        <v>986.627740000001</v>
      </c>
      <c r="V1190" s="19" t="n">
        <f aca="false">IFERROR(U1190/P1190,0)</f>
        <v>0.276851618327028</v>
      </c>
      <c r="W1190" s="48" t="n">
        <f aca="false">B1190+INDEX(Parametros!$C$13:$C$16,MATCH($F1190,Parametros!$A$13:$A$16,0))</f>
        <v>46131</v>
      </c>
      <c r="X1190" s="31" t="s">
        <v>67</v>
      </c>
      <c r="Y1190" s="53" t="n">
        <f aca="false">IF(COUNTIF($A$2:$A1190,A1190)=1,1,0)</f>
        <v>0</v>
      </c>
    </row>
    <row r="1191" customFormat="false" ht="15" hidden="false" customHeight="false" outlineLevel="0" collapsed="false">
      <c r="A1191" s="31" t="s">
        <v>884</v>
      </c>
      <c r="B1191" s="36" t="n">
        <v>46071</v>
      </c>
      <c r="C1191" s="49" t="n">
        <f aca="false">DATE(YEAR(B1191),MONTH(B1191),1)</f>
        <v>46054</v>
      </c>
      <c r="D1191" s="31" t="s">
        <v>225</v>
      </c>
      <c r="E1191" s="31" t="s">
        <v>43</v>
      </c>
      <c r="F1191" s="31" t="s">
        <v>47</v>
      </c>
      <c r="G1191" s="31" t="s">
        <v>59</v>
      </c>
      <c r="H1191" s="31" t="s">
        <v>167</v>
      </c>
      <c r="I1191" s="32" t="str">
        <f aca="false">INDEX(Productos!$B$2:$B$13,MATCH($H1191,Productos!$A$2:$A$13,0))</f>
        <v>Tornillo DIN 912 M6x25 Allen zincado</v>
      </c>
      <c r="J1191" s="32" t="str">
        <f aca="false">INDEX(Productos!$C$2:$C$13,MATCH($H1191,Productos!$A$2:$A$13,0))</f>
        <v>Métrica</v>
      </c>
      <c r="K1191" s="31" t="s">
        <v>246</v>
      </c>
      <c r="L1191" s="46" t="n">
        <v>155</v>
      </c>
      <c r="M1191" s="50" t="n">
        <f aca="false">INDEX(Productos!$F$2:$F$13,MATCH($H1191,Productos!$A$2:$A$13,0))</f>
        <v>42</v>
      </c>
      <c r="N1191" s="51" t="n">
        <v>0.054</v>
      </c>
      <c r="O1191" s="52" t="n">
        <f aca="false">M1191*(1-N1191)</f>
        <v>39.732</v>
      </c>
      <c r="P1191" s="21" t="n">
        <f aca="false">L1191*O1191</f>
        <v>6158.46</v>
      </c>
      <c r="Q1191" s="50" t="n">
        <f aca="false">INDEX(Productos!$E$2:$E$13,MATCH($H1191,Productos!$A$2:$A$13,0))*INDEX(Parametros!$B$26:$B$43,MATCH($C1191,Parametros!$A$26:$A$43,0))</f>
        <v>22.236</v>
      </c>
      <c r="R1191" s="21" t="n">
        <f aca="false">L1191*Q1191</f>
        <v>3446.58</v>
      </c>
      <c r="S1191" s="18" t="n">
        <f aca="false">L1191*INDEX(Parametros!$B$20:$B$22,MATCH($E1191,Parametros!$A$20:$A$22,0))</f>
        <v>294.5</v>
      </c>
      <c r="T1191" s="18" t="n">
        <f aca="false">P1191*INDEX(Parametros!$B$13:$B$16,MATCH($F1191,Parametros!$A$13:$A$16,0))</f>
        <v>215.5461</v>
      </c>
      <c r="U1191" s="21" t="n">
        <f aca="false">P1191-R1191-S1191-T1191</f>
        <v>2201.8339</v>
      </c>
      <c r="V1191" s="19" t="n">
        <f aca="false">IFERROR(U1191/P1191,0)</f>
        <v>0.357529950669486</v>
      </c>
      <c r="W1191" s="48" t="n">
        <f aca="false">B1191+INDEX(Parametros!$C$13:$C$16,MATCH($F1191,Parametros!$A$13:$A$16,0))</f>
        <v>46116</v>
      </c>
      <c r="X1191" s="31" t="s">
        <v>67</v>
      </c>
      <c r="Y1191" s="53" t="n">
        <f aca="false">IF(COUNTIF($A$2:$A1191,A1191)=1,1,0)</f>
        <v>1</v>
      </c>
    </row>
    <row r="1192" customFormat="false" ht="15" hidden="false" customHeight="false" outlineLevel="0" collapsed="false">
      <c r="A1192" s="31" t="s">
        <v>885</v>
      </c>
      <c r="B1192" s="36" t="n">
        <v>46072</v>
      </c>
      <c r="C1192" s="49" t="n">
        <f aca="false">DATE(YEAR(B1192),MONTH(B1192),1)</f>
        <v>46054</v>
      </c>
      <c r="D1192" s="31" t="s">
        <v>195</v>
      </c>
      <c r="E1192" s="31" t="s">
        <v>41</v>
      </c>
      <c r="F1192" s="31" t="s">
        <v>45</v>
      </c>
      <c r="G1192" s="31" t="s">
        <v>58</v>
      </c>
      <c r="H1192" s="31" t="s">
        <v>175</v>
      </c>
      <c r="I1192" s="32" t="str">
        <f aca="false">INDEX(Productos!$B$2:$B$13,MATCH($H1192,Productos!$A$2:$A$13,0))</f>
        <v>Tirafondo madera 5x60 cabeza plana Torx</v>
      </c>
      <c r="J1192" s="32" t="str">
        <f aca="false">INDEX(Productos!$C$2:$C$13,MATCH($H1192,Productos!$A$2:$A$13,0))</f>
        <v>Madera</v>
      </c>
      <c r="K1192" s="31" t="s">
        <v>246</v>
      </c>
      <c r="L1192" s="46" t="n">
        <v>94</v>
      </c>
      <c r="M1192" s="50" t="n">
        <f aca="false">INDEX(Productos!$F$2:$F$13,MATCH($H1192,Productos!$A$2:$A$13,0))</f>
        <v>26</v>
      </c>
      <c r="N1192" s="51" t="n">
        <v>0.211</v>
      </c>
      <c r="O1192" s="52" t="n">
        <f aca="false">M1192*(1-N1192)</f>
        <v>20.514</v>
      </c>
      <c r="P1192" s="21" t="n">
        <f aca="false">L1192*O1192</f>
        <v>1928.316</v>
      </c>
      <c r="Q1192" s="50" t="n">
        <f aca="false">INDEX(Productos!$E$2:$E$13,MATCH($H1192,Productos!$A$2:$A$13,0))*INDEX(Parametros!$B$26:$B$43,MATCH($C1192,Parametros!$A$26:$A$43,0))</f>
        <v>13.668</v>
      </c>
      <c r="R1192" s="21" t="n">
        <f aca="false">L1192*Q1192</f>
        <v>1284.792</v>
      </c>
      <c r="S1192" s="18" t="n">
        <f aca="false">L1192*INDEX(Parametros!$B$20:$B$22,MATCH($E1192,Parametros!$A$20:$A$22,0))</f>
        <v>79.9</v>
      </c>
      <c r="T1192" s="18" t="n">
        <f aca="false">P1192*INDEX(Parametros!$B$13:$B$16,MATCH($F1192,Parametros!$A$13:$A$16,0))</f>
        <v>57.84948</v>
      </c>
      <c r="U1192" s="21" t="n">
        <f aca="false">P1192-R1192-S1192-T1192</f>
        <v>505.77452</v>
      </c>
      <c r="V1192" s="19" t="n">
        <f aca="false">IFERROR(U1192/P1192,0)</f>
        <v>0.262288193428878</v>
      </c>
      <c r="W1192" s="48" t="n">
        <f aca="false">B1192+INDEX(Parametros!$C$13:$C$16,MATCH($F1192,Parametros!$A$13:$A$16,0))</f>
        <v>46132</v>
      </c>
      <c r="X1192" s="31" t="s">
        <v>67</v>
      </c>
      <c r="Y1192" s="53" t="n">
        <f aca="false">IF(COUNTIF($A$2:$A1192,A1192)=1,1,0)</f>
        <v>1</v>
      </c>
    </row>
    <row r="1193" customFormat="false" ht="15" hidden="false" customHeight="false" outlineLevel="0" collapsed="false">
      <c r="A1193" s="31" t="s">
        <v>886</v>
      </c>
      <c r="B1193" s="36" t="n">
        <v>46072</v>
      </c>
      <c r="C1193" s="49" t="n">
        <f aca="false">DATE(YEAR(B1193),MONTH(B1193),1)</f>
        <v>46054</v>
      </c>
      <c r="D1193" s="31" t="s">
        <v>191</v>
      </c>
      <c r="E1193" s="31" t="s">
        <v>41</v>
      </c>
      <c r="F1193" s="31" t="s">
        <v>47</v>
      </c>
      <c r="G1193" s="31" t="s">
        <v>58</v>
      </c>
      <c r="H1193" s="31" t="s">
        <v>173</v>
      </c>
      <c r="I1193" s="32" t="str">
        <f aca="false">INDEX(Productos!$B$2:$B$13,MATCH($H1193,Productos!$A$2:$A$13,0))</f>
        <v>Tornillo DIN 933 M12x70 clase 8.8</v>
      </c>
      <c r="J1193" s="32" t="str">
        <f aca="false">INDEX(Productos!$C$2:$C$13,MATCH($H1193,Productos!$A$2:$A$13,0))</f>
        <v>Métrica</v>
      </c>
      <c r="K1193" s="31" t="s">
        <v>246</v>
      </c>
      <c r="L1193" s="46" t="n">
        <v>26</v>
      </c>
      <c r="M1193" s="50" t="n">
        <f aca="false">INDEX(Productos!$F$2:$F$13,MATCH($H1193,Productos!$A$2:$A$13,0))</f>
        <v>64</v>
      </c>
      <c r="N1193" s="51" t="n">
        <v>0.086</v>
      </c>
      <c r="O1193" s="52" t="n">
        <f aca="false">M1193*(1-N1193)</f>
        <v>58.496</v>
      </c>
      <c r="P1193" s="21" t="n">
        <f aca="false">L1193*O1193</f>
        <v>1520.896</v>
      </c>
      <c r="Q1193" s="50" t="n">
        <f aca="false">INDEX(Productos!$E$2:$E$13,MATCH($H1193,Productos!$A$2:$A$13,0))*INDEX(Parametros!$B$26:$B$43,MATCH($C1193,Parametros!$A$26:$A$43,0))</f>
        <v>34.17</v>
      </c>
      <c r="R1193" s="21" t="n">
        <f aca="false">L1193*Q1193</f>
        <v>888.42</v>
      </c>
      <c r="S1193" s="18" t="n">
        <f aca="false">L1193*INDEX(Parametros!$B$20:$B$22,MATCH($E1193,Parametros!$A$20:$A$22,0))</f>
        <v>22.1</v>
      </c>
      <c r="T1193" s="18" t="n">
        <f aca="false">P1193*INDEX(Parametros!$B$13:$B$16,MATCH($F1193,Parametros!$A$13:$A$16,0))</f>
        <v>53.23136</v>
      </c>
      <c r="U1193" s="21" t="n">
        <f aca="false">P1193-R1193-S1193-T1193</f>
        <v>557.14464</v>
      </c>
      <c r="V1193" s="19" t="n">
        <f aca="false">IFERROR(U1193/P1193,0)</f>
        <v>0.36632658643326</v>
      </c>
      <c r="W1193" s="48" t="n">
        <f aca="false">B1193+INDEX(Parametros!$C$13:$C$16,MATCH($F1193,Parametros!$A$13:$A$16,0))</f>
        <v>46117</v>
      </c>
      <c r="X1193" s="31" t="s">
        <v>67</v>
      </c>
      <c r="Y1193" s="53" t="n">
        <f aca="false">IF(COUNTIF($A$2:$A1193,A1193)=1,1,0)</f>
        <v>1</v>
      </c>
    </row>
    <row r="1194" customFormat="false" ht="15" hidden="false" customHeight="false" outlineLevel="0" collapsed="false">
      <c r="A1194" s="31" t="s">
        <v>886</v>
      </c>
      <c r="B1194" s="36" t="n">
        <v>46072</v>
      </c>
      <c r="C1194" s="49" t="n">
        <f aca="false">DATE(YEAR(B1194),MONTH(B1194),1)</f>
        <v>46054</v>
      </c>
      <c r="D1194" s="31" t="s">
        <v>191</v>
      </c>
      <c r="E1194" s="31" t="s">
        <v>41</v>
      </c>
      <c r="F1194" s="31" t="s">
        <v>47</v>
      </c>
      <c r="G1194" s="31" t="s">
        <v>58</v>
      </c>
      <c r="H1194" s="31" t="s">
        <v>165</v>
      </c>
      <c r="I1194" s="32" t="str">
        <f aca="false">INDEX(Productos!$B$2:$B$13,MATCH($H1194,Productos!$A$2:$A$13,0))</f>
        <v>Tornillo DIN 933 M8x40 rosca completa zincado</v>
      </c>
      <c r="J1194" s="32" t="str">
        <f aca="false">INDEX(Productos!$C$2:$C$13,MATCH($H1194,Productos!$A$2:$A$13,0))</f>
        <v>Métrica</v>
      </c>
      <c r="K1194" s="31" t="s">
        <v>246</v>
      </c>
      <c r="L1194" s="46" t="n">
        <v>33</v>
      </c>
      <c r="M1194" s="50" t="n">
        <f aca="false">INDEX(Productos!$F$2:$F$13,MATCH($H1194,Productos!$A$2:$A$13,0))</f>
        <v>37.5</v>
      </c>
      <c r="N1194" s="51" t="n">
        <v>0.06</v>
      </c>
      <c r="O1194" s="52" t="n">
        <f aca="false">M1194*(1-N1194)</f>
        <v>35.25</v>
      </c>
      <c r="P1194" s="21" t="n">
        <f aca="false">L1194*O1194</f>
        <v>1163.25</v>
      </c>
      <c r="Q1194" s="50" t="n">
        <f aca="false">INDEX(Productos!$E$2:$E$13,MATCH($H1194,Productos!$A$2:$A$13,0))*INDEX(Parametros!$B$26:$B$43,MATCH($C1194,Parametros!$A$26:$A$43,0))</f>
        <v>19.788</v>
      </c>
      <c r="R1194" s="21" t="n">
        <f aca="false">L1194*Q1194</f>
        <v>653.004</v>
      </c>
      <c r="S1194" s="18" t="n">
        <f aca="false">L1194*INDEX(Parametros!$B$20:$B$22,MATCH($E1194,Parametros!$A$20:$A$22,0))</f>
        <v>28.05</v>
      </c>
      <c r="T1194" s="18" t="n">
        <f aca="false">P1194*INDEX(Parametros!$B$13:$B$16,MATCH($F1194,Parametros!$A$13:$A$16,0))</f>
        <v>40.71375</v>
      </c>
      <c r="U1194" s="21" t="n">
        <f aca="false">P1194-R1194-S1194-T1194</f>
        <v>441.48225</v>
      </c>
      <c r="V1194" s="19" t="n">
        <f aca="false">IFERROR(U1194/P1194,0)</f>
        <v>0.379524822695035</v>
      </c>
      <c r="W1194" s="48" t="n">
        <f aca="false">B1194+INDEX(Parametros!$C$13:$C$16,MATCH($F1194,Parametros!$A$13:$A$16,0))</f>
        <v>46117</v>
      </c>
      <c r="X1194" s="31" t="s">
        <v>67</v>
      </c>
      <c r="Y1194" s="53" t="n">
        <f aca="false">IF(COUNTIF($A$2:$A1194,A1194)=1,1,0)</f>
        <v>0</v>
      </c>
    </row>
    <row r="1195" customFormat="false" ht="15" hidden="false" customHeight="false" outlineLevel="0" collapsed="false">
      <c r="A1195" s="31" t="s">
        <v>887</v>
      </c>
      <c r="B1195" s="36" t="n">
        <v>46072</v>
      </c>
      <c r="C1195" s="49" t="n">
        <f aca="false">DATE(YEAR(B1195),MONTH(B1195),1)</f>
        <v>46054</v>
      </c>
      <c r="D1195" s="31" t="s">
        <v>225</v>
      </c>
      <c r="E1195" s="31" t="s">
        <v>43</v>
      </c>
      <c r="F1195" s="31" t="s">
        <v>47</v>
      </c>
      <c r="G1195" s="31" t="s">
        <v>59</v>
      </c>
      <c r="H1195" s="31" t="s">
        <v>183</v>
      </c>
      <c r="I1195" s="32" t="str">
        <f aca="false">INDEX(Productos!$B$2:$B$13,MATCH($H1195,Productos!$A$2:$A$13,0))</f>
        <v>Tornillo estructural M16x90 clase 10.9</v>
      </c>
      <c r="J1195" s="32" t="str">
        <f aca="false">INDEX(Productos!$C$2:$C$13,MATCH($H1195,Productos!$A$2:$A$13,0))</f>
        <v>Especial</v>
      </c>
      <c r="K1195" s="31" t="s">
        <v>246</v>
      </c>
      <c r="L1195" s="46" t="n">
        <v>51</v>
      </c>
      <c r="M1195" s="50" t="n">
        <f aca="false">INDEX(Productos!$F$2:$F$13,MATCH($H1195,Productos!$A$2:$A$13,0))</f>
        <v>112</v>
      </c>
      <c r="N1195" s="51" t="n">
        <v>0.053</v>
      </c>
      <c r="O1195" s="52" t="n">
        <f aca="false">M1195*(1-N1195)</f>
        <v>106.064</v>
      </c>
      <c r="P1195" s="21" t="n">
        <f aca="false">L1195*O1195</f>
        <v>5409.264</v>
      </c>
      <c r="Q1195" s="50" t="n">
        <f aca="false">INDEX(Productos!$E$2:$E$13,MATCH($H1195,Productos!$A$2:$A$13,0))*INDEX(Parametros!$B$26:$B$43,MATCH($C1195,Parametros!$A$26:$A$43,0))</f>
        <v>61.2</v>
      </c>
      <c r="R1195" s="21" t="n">
        <f aca="false">L1195*Q1195</f>
        <v>3121.2</v>
      </c>
      <c r="S1195" s="18" t="n">
        <f aca="false">L1195*INDEX(Parametros!$B$20:$B$22,MATCH($E1195,Parametros!$A$20:$A$22,0))</f>
        <v>96.9</v>
      </c>
      <c r="T1195" s="18" t="n">
        <f aca="false">P1195*INDEX(Parametros!$B$13:$B$16,MATCH($F1195,Parametros!$A$13:$A$16,0))</f>
        <v>189.32424</v>
      </c>
      <c r="U1195" s="21" t="n">
        <f aca="false">P1195-R1195-S1195-T1195</f>
        <v>2001.83976</v>
      </c>
      <c r="V1195" s="19" t="n">
        <f aca="false">IFERROR(U1195/P1195,0)</f>
        <v>0.370076180419369</v>
      </c>
      <c r="W1195" s="48" t="n">
        <f aca="false">B1195+INDEX(Parametros!$C$13:$C$16,MATCH($F1195,Parametros!$A$13:$A$16,0))</f>
        <v>46117</v>
      </c>
      <c r="X1195" s="31" t="s">
        <v>67</v>
      </c>
      <c r="Y1195" s="53" t="n">
        <f aca="false">IF(COUNTIF($A$2:$A1195,A1195)=1,1,0)</f>
        <v>1</v>
      </c>
    </row>
    <row r="1196" customFormat="false" ht="15" hidden="false" customHeight="false" outlineLevel="0" collapsed="false">
      <c r="A1196" s="31" t="s">
        <v>888</v>
      </c>
      <c r="B1196" s="36" t="n">
        <v>46076</v>
      </c>
      <c r="C1196" s="49" t="n">
        <f aca="false">DATE(YEAR(B1196),MONTH(B1196),1)</f>
        <v>46054</v>
      </c>
      <c r="D1196" s="31" t="s">
        <v>192</v>
      </c>
      <c r="E1196" s="31" t="s">
        <v>41</v>
      </c>
      <c r="F1196" s="31" t="s">
        <v>45</v>
      </c>
      <c r="G1196" s="31" t="s">
        <v>58</v>
      </c>
      <c r="H1196" s="31" t="s">
        <v>163</v>
      </c>
      <c r="I1196" s="32" t="str">
        <f aca="false">INDEX(Productos!$B$2:$B$13,MATCH($H1196,Productos!$A$2:$A$13,0))</f>
        <v>Tornillo DIN 933 M6x30 rosca completa zincado</v>
      </c>
      <c r="J1196" s="32" t="str">
        <f aca="false">INDEX(Productos!$C$2:$C$13,MATCH($H1196,Productos!$A$2:$A$13,0))</f>
        <v>Métrica</v>
      </c>
      <c r="K1196" s="31" t="s">
        <v>246</v>
      </c>
      <c r="L1196" s="46" t="n">
        <v>43</v>
      </c>
      <c r="M1196" s="50" t="n">
        <f aca="false">INDEX(Productos!$F$2:$F$13,MATCH($H1196,Productos!$A$2:$A$13,0))</f>
        <v>32</v>
      </c>
      <c r="N1196" s="51" t="n">
        <v>0.159</v>
      </c>
      <c r="O1196" s="52" t="n">
        <f aca="false">M1196*(1-N1196)</f>
        <v>26.912</v>
      </c>
      <c r="P1196" s="21" t="n">
        <f aca="false">L1196*O1196</f>
        <v>1157.216</v>
      </c>
      <c r="Q1196" s="50" t="n">
        <f aca="false">INDEX(Productos!$E$2:$E$13,MATCH($H1196,Productos!$A$2:$A$13,0))*INDEX(Parametros!$B$26:$B$43,MATCH($C1196,Parametros!$A$26:$A$43,0))</f>
        <v>16.932</v>
      </c>
      <c r="R1196" s="21" t="n">
        <f aca="false">L1196*Q1196</f>
        <v>728.076</v>
      </c>
      <c r="S1196" s="18" t="n">
        <f aca="false">L1196*INDEX(Parametros!$B$20:$B$22,MATCH($E1196,Parametros!$A$20:$A$22,0))</f>
        <v>36.55</v>
      </c>
      <c r="T1196" s="18" t="n">
        <f aca="false">P1196*INDEX(Parametros!$B$13:$B$16,MATCH($F1196,Parametros!$A$13:$A$16,0))</f>
        <v>34.71648</v>
      </c>
      <c r="U1196" s="21" t="n">
        <f aca="false">P1196-R1196-S1196-T1196</f>
        <v>357.87352</v>
      </c>
      <c r="V1196" s="19" t="n">
        <f aca="false">IFERROR(U1196/P1196,0)</f>
        <v>0.309253864447087</v>
      </c>
      <c r="W1196" s="48" t="n">
        <f aca="false">B1196+INDEX(Parametros!$C$13:$C$16,MATCH($F1196,Parametros!$A$13:$A$16,0))</f>
        <v>46136</v>
      </c>
      <c r="X1196" s="31" t="s">
        <v>67</v>
      </c>
      <c r="Y1196" s="53" t="n">
        <f aca="false">IF(COUNTIF($A$2:$A1196,A1196)=1,1,0)</f>
        <v>1</v>
      </c>
    </row>
    <row r="1197" customFormat="false" ht="15" hidden="false" customHeight="false" outlineLevel="0" collapsed="false">
      <c r="A1197" s="31" t="s">
        <v>888</v>
      </c>
      <c r="B1197" s="36" t="n">
        <v>46076</v>
      </c>
      <c r="C1197" s="49" t="n">
        <f aca="false">DATE(YEAR(B1197),MONTH(B1197),1)</f>
        <v>46054</v>
      </c>
      <c r="D1197" s="31" t="s">
        <v>192</v>
      </c>
      <c r="E1197" s="31" t="s">
        <v>41</v>
      </c>
      <c r="F1197" s="31" t="s">
        <v>45</v>
      </c>
      <c r="G1197" s="31" t="s">
        <v>58</v>
      </c>
      <c r="H1197" s="31" t="s">
        <v>185</v>
      </c>
      <c r="I1197" s="32" t="str">
        <f aca="false">INDEX(Productos!$B$2:$B$13,MATCH($H1197,Productos!$A$2:$A$13,0))</f>
        <v>Varilla roscada M10 x 1 m zincada</v>
      </c>
      <c r="J1197" s="32" t="str">
        <f aca="false">INDEX(Productos!$C$2:$C$13,MATCH($H1197,Productos!$A$2:$A$13,0))</f>
        <v>Especial</v>
      </c>
      <c r="K1197" s="31" t="s">
        <v>246</v>
      </c>
      <c r="L1197" s="46" t="n">
        <v>60</v>
      </c>
      <c r="M1197" s="50" t="n">
        <f aca="false">INDEX(Productos!$F$2:$F$13,MATCH($H1197,Productos!$A$2:$A$13,0))</f>
        <v>54</v>
      </c>
      <c r="N1197" s="51" t="n">
        <v>0.187</v>
      </c>
      <c r="O1197" s="52" t="n">
        <f aca="false">M1197*(1-N1197)</f>
        <v>43.902</v>
      </c>
      <c r="P1197" s="21" t="n">
        <f aca="false">L1197*O1197</f>
        <v>2634.12</v>
      </c>
      <c r="Q1197" s="50" t="n">
        <f aca="false">INDEX(Productos!$E$2:$E$13,MATCH($H1197,Productos!$A$2:$A$13,0))*INDEX(Parametros!$B$26:$B$43,MATCH($C1197,Parametros!$A$26:$A$43,0))</f>
        <v>29.07</v>
      </c>
      <c r="R1197" s="21" t="n">
        <f aca="false">L1197*Q1197</f>
        <v>1744.2</v>
      </c>
      <c r="S1197" s="18" t="n">
        <f aca="false">L1197*INDEX(Parametros!$B$20:$B$22,MATCH($E1197,Parametros!$A$20:$A$22,0))</f>
        <v>51</v>
      </c>
      <c r="T1197" s="18" t="n">
        <f aca="false">P1197*INDEX(Parametros!$B$13:$B$16,MATCH($F1197,Parametros!$A$13:$A$16,0))</f>
        <v>79.0236</v>
      </c>
      <c r="U1197" s="21" t="n">
        <f aca="false">P1197-R1197-S1197-T1197</f>
        <v>759.896399999999</v>
      </c>
      <c r="V1197" s="19" t="n">
        <f aca="false">IFERROR(U1197/P1197,0)</f>
        <v>0.288482073709626</v>
      </c>
      <c r="W1197" s="48" t="n">
        <f aca="false">B1197+INDEX(Parametros!$C$13:$C$16,MATCH($F1197,Parametros!$A$13:$A$16,0))</f>
        <v>46136</v>
      </c>
      <c r="X1197" s="31" t="s">
        <v>67</v>
      </c>
      <c r="Y1197" s="53" t="n">
        <f aca="false">IF(COUNTIF($A$2:$A1197,A1197)=1,1,0)</f>
        <v>0</v>
      </c>
    </row>
    <row r="1198" customFormat="false" ht="15" hidden="false" customHeight="false" outlineLevel="0" collapsed="false">
      <c r="A1198" s="31" t="s">
        <v>889</v>
      </c>
      <c r="B1198" s="36" t="n">
        <v>46076</v>
      </c>
      <c r="C1198" s="49" t="n">
        <f aca="false">DATE(YEAR(B1198),MONTH(B1198),1)</f>
        <v>46054</v>
      </c>
      <c r="D1198" s="31" t="s">
        <v>205</v>
      </c>
      <c r="E1198" s="31" t="s">
        <v>41</v>
      </c>
      <c r="F1198" s="31" t="s">
        <v>45</v>
      </c>
      <c r="G1198" s="31" t="s">
        <v>62</v>
      </c>
      <c r="H1198" s="31" t="s">
        <v>165</v>
      </c>
      <c r="I1198" s="32" t="str">
        <f aca="false">INDEX(Productos!$B$2:$B$13,MATCH($H1198,Productos!$A$2:$A$13,0))</f>
        <v>Tornillo DIN 933 M8x40 rosca completa zincado</v>
      </c>
      <c r="J1198" s="32" t="str">
        <f aca="false">INDEX(Productos!$C$2:$C$13,MATCH($H1198,Productos!$A$2:$A$13,0))</f>
        <v>Métrica</v>
      </c>
      <c r="K1198" s="31" t="s">
        <v>246</v>
      </c>
      <c r="L1198" s="46" t="n">
        <v>107</v>
      </c>
      <c r="M1198" s="50" t="n">
        <f aca="false">INDEX(Productos!$F$2:$F$13,MATCH($H1198,Productos!$A$2:$A$13,0))</f>
        <v>37.5</v>
      </c>
      <c r="N1198" s="51" t="n">
        <v>0.128</v>
      </c>
      <c r="O1198" s="52" t="n">
        <f aca="false">M1198*(1-N1198)</f>
        <v>32.7</v>
      </c>
      <c r="P1198" s="21" t="n">
        <f aca="false">L1198*O1198</f>
        <v>3498.9</v>
      </c>
      <c r="Q1198" s="50" t="n">
        <f aca="false">INDEX(Productos!$E$2:$E$13,MATCH($H1198,Productos!$A$2:$A$13,0))*INDEX(Parametros!$B$26:$B$43,MATCH($C1198,Parametros!$A$26:$A$43,0))</f>
        <v>19.788</v>
      </c>
      <c r="R1198" s="21" t="n">
        <f aca="false">L1198*Q1198</f>
        <v>2117.316</v>
      </c>
      <c r="S1198" s="18" t="n">
        <f aca="false">L1198*INDEX(Parametros!$B$20:$B$22,MATCH($E1198,Parametros!$A$20:$A$22,0))</f>
        <v>90.95</v>
      </c>
      <c r="T1198" s="18" t="n">
        <f aca="false">P1198*INDEX(Parametros!$B$13:$B$16,MATCH($F1198,Parametros!$A$13:$A$16,0))</f>
        <v>104.967</v>
      </c>
      <c r="U1198" s="21" t="n">
        <f aca="false">P1198-R1198-S1198-T1198</f>
        <v>1185.667</v>
      </c>
      <c r="V1198" s="19" t="n">
        <f aca="false">IFERROR(U1198/P1198,0)</f>
        <v>0.338868501529052</v>
      </c>
      <c r="W1198" s="48" t="n">
        <f aca="false">B1198+INDEX(Parametros!$C$13:$C$16,MATCH($F1198,Parametros!$A$13:$A$16,0))</f>
        <v>46136</v>
      </c>
      <c r="X1198" s="31" t="s">
        <v>67</v>
      </c>
      <c r="Y1198" s="53" t="n">
        <f aca="false">IF(COUNTIF($A$2:$A1198,A1198)=1,1,0)</f>
        <v>1</v>
      </c>
    </row>
    <row r="1199" customFormat="false" ht="15" hidden="false" customHeight="false" outlineLevel="0" collapsed="false">
      <c r="A1199" s="31" t="s">
        <v>890</v>
      </c>
      <c r="B1199" s="36" t="n">
        <v>46076</v>
      </c>
      <c r="C1199" s="49" t="n">
        <f aca="false">DATE(YEAR(B1199),MONTH(B1199),1)</f>
        <v>46054</v>
      </c>
      <c r="D1199" s="31" t="s">
        <v>195</v>
      </c>
      <c r="E1199" s="31" t="s">
        <v>41</v>
      </c>
      <c r="F1199" s="31" t="s">
        <v>45</v>
      </c>
      <c r="G1199" s="31" t="s">
        <v>58</v>
      </c>
      <c r="H1199" s="31" t="s">
        <v>183</v>
      </c>
      <c r="I1199" s="32" t="str">
        <f aca="false">INDEX(Productos!$B$2:$B$13,MATCH($H1199,Productos!$A$2:$A$13,0))</f>
        <v>Tornillo estructural M16x90 clase 10.9</v>
      </c>
      <c r="J1199" s="32" t="str">
        <f aca="false">INDEX(Productos!$C$2:$C$13,MATCH($H1199,Productos!$A$2:$A$13,0))</f>
        <v>Especial</v>
      </c>
      <c r="K1199" s="31" t="s">
        <v>246</v>
      </c>
      <c r="L1199" s="46" t="n">
        <v>112</v>
      </c>
      <c r="M1199" s="50" t="n">
        <f aca="false">INDEX(Productos!$F$2:$F$13,MATCH($H1199,Productos!$A$2:$A$13,0))</f>
        <v>112</v>
      </c>
      <c r="N1199" s="51" t="n">
        <v>0.214</v>
      </c>
      <c r="O1199" s="52" t="n">
        <f aca="false">M1199*(1-N1199)</f>
        <v>88.032</v>
      </c>
      <c r="P1199" s="21" t="n">
        <f aca="false">L1199*O1199</f>
        <v>9859.584</v>
      </c>
      <c r="Q1199" s="50" t="n">
        <f aca="false">INDEX(Productos!$E$2:$E$13,MATCH($H1199,Productos!$A$2:$A$13,0))*INDEX(Parametros!$B$26:$B$43,MATCH($C1199,Parametros!$A$26:$A$43,0))</f>
        <v>61.2</v>
      </c>
      <c r="R1199" s="21" t="n">
        <f aca="false">L1199*Q1199</f>
        <v>6854.4</v>
      </c>
      <c r="S1199" s="18" t="n">
        <f aca="false">L1199*INDEX(Parametros!$B$20:$B$22,MATCH($E1199,Parametros!$A$20:$A$22,0))</f>
        <v>95.2</v>
      </c>
      <c r="T1199" s="18" t="n">
        <f aca="false">P1199*INDEX(Parametros!$B$13:$B$16,MATCH($F1199,Parametros!$A$13:$A$16,0))</f>
        <v>295.78752</v>
      </c>
      <c r="U1199" s="21" t="n">
        <f aca="false">P1199-R1199-S1199-T1199</f>
        <v>2614.19648</v>
      </c>
      <c r="V1199" s="19" t="n">
        <f aca="false">IFERROR(U1199/P1199,0)</f>
        <v>0.265142675390767</v>
      </c>
      <c r="W1199" s="48" t="n">
        <f aca="false">B1199+INDEX(Parametros!$C$13:$C$16,MATCH($F1199,Parametros!$A$13:$A$16,0))</f>
        <v>46136</v>
      </c>
      <c r="X1199" s="31" t="s">
        <v>67</v>
      </c>
      <c r="Y1199" s="53" t="n">
        <f aca="false">IF(COUNTIF($A$2:$A1199,A1199)=1,1,0)</f>
        <v>1</v>
      </c>
    </row>
    <row r="1200" customFormat="false" ht="15" hidden="false" customHeight="false" outlineLevel="0" collapsed="false">
      <c r="A1200" s="31" t="s">
        <v>891</v>
      </c>
      <c r="B1200" s="36" t="n">
        <v>46076</v>
      </c>
      <c r="C1200" s="49" t="n">
        <f aca="false">DATE(YEAR(B1200),MONTH(B1200),1)</f>
        <v>46054</v>
      </c>
      <c r="D1200" s="31" t="s">
        <v>215</v>
      </c>
      <c r="E1200" s="31" t="s">
        <v>42</v>
      </c>
      <c r="F1200" s="31" t="s">
        <v>46</v>
      </c>
      <c r="G1200" s="31" t="s">
        <v>61</v>
      </c>
      <c r="H1200" s="31" t="s">
        <v>181</v>
      </c>
      <c r="I1200" s="32" t="str">
        <f aca="false">INDEX(Productos!$B$2:$B$13,MATCH($H1200,Productos!$A$2:$A$13,0))</f>
        <v>Autotaladrante 5,5x55 punta broca</v>
      </c>
      <c r="J1200" s="32" t="str">
        <f aca="false">INDEX(Productos!$C$2:$C$13,MATCH($H1200,Productos!$A$2:$A$13,0))</f>
        <v>Autotaladrante</v>
      </c>
      <c r="K1200" s="31" t="s">
        <v>246</v>
      </c>
      <c r="L1200" s="46" t="n">
        <v>84</v>
      </c>
      <c r="M1200" s="50" t="n">
        <f aca="false">INDEX(Productos!$F$2:$F$13,MATCH($H1200,Productos!$A$2:$A$13,0))</f>
        <v>39</v>
      </c>
      <c r="N1200" s="51" t="n">
        <v>0.153</v>
      </c>
      <c r="O1200" s="52" t="n">
        <f aca="false">M1200*(1-N1200)</f>
        <v>33.033</v>
      </c>
      <c r="P1200" s="21" t="n">
        <f aca="false">L1200*O1200</f>
        <v>2774.772</v>
      </c>
      <c r="Q1200" s="50" t="n">
        <f aca="false">INDEX(Productos!$E$2:$E$13,MATCH($H1200,Productos!$A$2:$A$13,0))*INDEX(Parametros!$B$26:$B$43,MATCH($C1200,Parametros!$A$26:$A$43,0))</f>
        <v>20.706</v>
      </c>
      <c r="R1200" s="21" t="n">
        <f aca="false">L1200*Q1200</f>
        <v>1739.304</v>
      </c>
      <c r="S1200" s="18" t="n">
        <f aca="false">L1200*INDEX(Parametros!$B$20:$B$22,MATCH($E1200,Parametros!$A$20:$A$22,0))</f>
        <v>201.6</v>
      </c>
      <c r="T1200" s="18" t="n">
        <f aca="false">P1200*INDEX(Parametros!$B$13:$B$16,MATCH($F1200,Parametros!$A$13:$A$16,0))</f>
        <v>110.99088</v>
      </c>
      <c r="U1200" s="21" t="n">
        <f aca="false">P1200-R1200-S1200-T1200</f>
        <v>722.87712</v>
      </c>
      <c r="V1200" s="19" t="n">
        <f aca="false">IFERROR(U1200/P1200,0)</f>
        <v>0.260517664154028</v>
      </c>
      <c r="W1200" s="48" t="n">
        <f aca="false">B1200+INDEX(Parametros!$C$13:$C$16,MATCH($F1200,Parametros!$A$13:$A$16,0))</f>
        <v>46151</v>
      </c>
      <c r="X1200" s="31" t="s">
        <v>67</v>
      </c>
      <c r="Y1200" s="53" t="n">
        <f aca="false">IF(COUNTIF($A$2:$A1200,A1200)=1,1,0)</f>
        <v>1</v>
      </c>
    </row>
    <row r="1201" customFormat="false" ht="15" hidden="false" customHeight="false" outlineLevel="0" collapsed="false">
      <c r="A1201" s="31" t="s">
        <v>891</v>
      </c>
      <c r="B1201" s="36" t="n">
        <v>46076</v>
      </c>
      <c r="C1201" s="49" t="n">
        <f aca="false">DATE(YEAR(B1201),MONTH(B1201),1)</f>
        <v>46054</v>
      </c>
      <c r="D1201" s="31" t="s">
        <v>215</v>
      </c>
      <c r="E1201" s="31" t="s">
        <v>42</v>
      </c>
      <c r="F1201" s="31" t="s">
        <v>46</v>
      </c>
      <c r="G1201" s="31" t="s">
        <v>61</v>
      </c>
      <c r="H1201" s="31" t="s">
        <v>171</v>
      </c>
      <c r="I1201" s="32" t="str">
        <f aca="false">INDEX(Productos!$B$2:$B$13,MATCH($H1201,Productos!$A$2:$A$13,0))</f>
        <v>Tornillo DIN 7991 M8x30 avellanado inox A2</v>
      </c>
      <c r="J1201" s="32" t="str">
        <f aca="false">INDEX(Productos!$C$2:$C$13,MATCH($H1201,Productos!$A$2:$A$13,0))</f>
        <v>Inoxidable</v>
      </c>
      <c r="K1201" s="31" t="s">
        <v>246</v>
      </c>
      <c r="L1201" s="46" t="n">
        <v>25</v>
      </c>
      <c r="M1201" s="50" t="n">
        <f aca="false">INDEX(Productos!$F$2:$F$13,MATCH($H1201,Productos!$A$2:$A$13,0))</f>
        <v>88</v>
      </c>
      <c r="N1201" s="51" t="n">
        <v>0.108</v>
      </c>
      <c r="O1201" s="52" t="n">
        <f aca="false">M1201*(1-N1201)</f>
        <v>78.496</v>
      </c>
      <c r="P1201" s="21" t="n">
        <f aca="false">L1201*O1201</f>
        <v>1962.4</v>
      </c>
      <c r="Q1201" s="50" t="n">
        <f aca="false">INDEX(Productos!$E$2:$E$13,MATCH($H1201,Productos!$A$2:$A$13,0))*INDEX(Parametros!$B$26:$B$43,MATCH($C1201,Parametros!$A$26:$A$43,0))</f>
        <v>47.43</v>
      </c>
      <c r="R1201" s="21" t="n">
        <f aca="false">L1201*Q1201</f>
        <v>1185.75</v>
      </c>
      <c r="S1201" s="18" t="n">
        <f aca="false">L1201*INDEX(Parametros!$B$20:$B$22,MATCH($E1201,Parametros!$A$20:$A$22,0))</f>
        <v>60</v>
      </c>
      <c r="T1201" s="18" t="n">
        <f aca="false">P1201*INDEX(Parametros!$B$13:$B$16,MATCH($F1201,Parametros!$A$13:$A$16,0))</f>
        <v>78.496</v>
      </c>
      <c r="U1201" s="21" t="n">
        <f aca="false">P1201-R1201-S1201-T1201</f>
        <v>638.154</v>
      </c>
      <c r="V1201" s="19" t="n">
        <f aca="false">IFERROR(U1201/P1201,0)</f>
        <v>0.325190582959641</v>
      </c>
      <c r="W1201" s="48" t="n">
        <f aca="false">B1201+INDEX(Parametros!$C$13:$C$16,MATCH($F1201,Parametros!$A$13:$A$16,0))</f>
        <v>46151</v>
      </c>
      <c r="X1201" s="31" t="s">
        <v>67</v>
      </c>
      <c r="Y1201" s="53" t="n">
        <f aca="false">IF(COUNTIF($A$2:$A1201,A1201)=1,1,0)</f>
        <v>0</v>
      </c>
    </row>
    <row r="1202" customFormat="false" ht="15" hidden="false" customHeight="false" outlineLevel="0" collapsed="false">
      <c r="A1202" s="31" t="s">
        <v>891</v>
      </c>
      <c r="B1202" s="36" t="n">
        <v>46076</v>
      </c>
      <c r="C1202" s="49" t="n">
        <f aca="false">DATE(YEAR(B1202),MONTH(B1202),1)</f>
        <v>46054</v>
      </c>
      <c r="D1202" s="31" t="s">
        <v>215</v>
      </c>
      <c r="E1202" s="31" t="s">
        <v>42</v>
      </c>
      <c r="F1202" s="31" t="s">
        <v>46</v>
      </c>
      <c r="G1202" s="31" t="s">
        <v>61</v>
      </c>
      <c r="H1202" s="31" t="s">
        <v>175</v>
      </c>
      <c r="I1202" s="32" t="str">
        <f aca="false">INDEX(Productos!$B$2:$B$13,MATCH($H1202,Productos!$A$2:$A$13,0))</f>
        <v>Tirafondo madera 5x60 cabeza plana Torx</v>
      </c>
      <c r="J1202" s="32" t="str">
        <f aca="false">INDEX(Productos!$C$2:$C$13,MATCH($H1202,Productos!$A$2:$A$13,0))</f>
        <v>Madera</v>
      </c>
      <c r="K1202" s="31" t="s">
        <v>246</v>
      </c>
      <c r="L1202" s="46" t="n">
        <v>92</v>
      </c>
      <c r="M1202" s="50" t="n">
        <f aca="false">INDEX(Productos!$F$2:$F$13,MATCH($H1202,Productos!$A$2:$A$13,0))</f>
        <v>26</v>
      </c>
      <c r="N1202" s="51" t="n">
        <v>0.127</v>
      </c>
      <c r="O1202" s="52" t="n">
        <f aca="false">M1202*(1-N1202)</f>
        <v>22.698</v>
      </c>
      <c r="P1202" s="21" t="n">
        <f aca="false">L1202*O1202</f>
        <v>2088.216</v>
      </c>
      <c r="Q1202" s="50" t="n">
        <f aca="false">INDEX(Productos!$E$2:$E$13,MATCH($H1202,Productos!$A$2:$A$13,0))*INDEX(Parametros!$B$26:$B$43,MATCH($C1202,Parametros!$A$26:$A$43,0))</f>
        <v>13.668</v>
      </c>
      <c r="R1202" s="21" t="n">
        <f aca="false">L1202*Q1202</f>
        <v>1257.456</v>
      </c>
      <c r="S1202" s="18" t="n">
        <f aca="false">L1202*INDEX(Parametros!$B$20:$B$22,MATCH($E1202,Parametros!$A$20:$A$22,0))</f>
        <v>220.8</v>
      </c>
      <c r="T1202" s="18" t="n">
        <f aca="false">P1202*INDEX(Parametros!$B$13:$B$16,MATCH($F1202,Parametros!$A$13:$A$16,0))</f>
        <v>83.52864</v>
      </c>
      <c r="U1202" s="21" t="n">
        <f aca="false">P1202-R1202-S1202-T1202</f>
        <v>526.43136</v>
      </c>
      <c r="V1202" s="19" t="n">
        <f aca="false">IFERROR(U1202/P1202,0)</f>
        <v>0.252096219931271</v>
      </c>
      <c r="W1202" s="48" t="n">
        <f aca="false">B1202+INDEX(Parametros!$C$13:$C$16,MATCH($F1202,Parametros!$A$13:$A$16,0))</f>
        <v>46151</v>
      </c>
      <c r="X1202" s="31" t="s">
        <v>67</v>
      </c>
      <c r="Y1202" s="53" t="n">
        <f aca="false">IF(COUNTIF($A$2:$A1202,A1202)=1,1,0)</f>
        <v>0</v>
      </c>
    </row>
    <row r="1203" customFormat="false" ht="15" hidden="false" customHeight="false" outlineLevel="0" collapsed="false">
      <c r="A1203" s="31" t="s">
        <v>891</v>
      </c>
      <c r="B1203" s="36" t="n">
        <v>46076</v>
      </c>
      <c r="C1203" s="49" t="n">
        <f aca="false">DATE(YEAR(B1203),MONTH(B1203),1)</f>
        <v>46054</v>
      </c>
      <c r="D1203" s="31" t="s">
        <v>215</v>
      </c>
      <c r="E1203" s="31" t="s">
        <v>42</v>
      </c>
      <c r="F1203" s="31" t="s">
        <v>46</v>
      </c>
      <c r="G1203" s="31" t="s">
        <v>61</v>
      </c>
      <c r="H1203" s="31" t="s">
        <v>185</v>
      </c>
      <c r="I1203" s="32" t="str">
        <f aca="false">INDEX(Productos!$B$2:$B$13,MATCH($H1203,Productos!$A$2:$A$13,0))</f>
        <v>Varilla roscada M10 x 1 m zincada</v>
      </c>
      <c r="J1203" s="32" t="str">
        <f aca="false">INDEX(Productos!$C$2:$C$13,MATCH($H1203,Productos!$A$2:$A$13,0))</f>
        <v>Especial</v>
      </c>
      <c r="K1203" s="31" t="s">
        <v>246</v>
      </c>
      <c r="L1203" s="46" t="n">
        <v>91</v>
      </c>
      <c r="M1203" s="50" t="n">
        <f aca="false">INDEX(Productos!$F$2:$F$13,MATCH($H1203,Productos!$A$2:$A$13,0))</f>
        <v>54</v>
      </c>
      <c r="N1203" s="51" t="n">
        <v>0.111</v>
      </c>
      <c r="O1203" s="52" t="n">
        <f aca="false">M1203*(1-N1203)</f>
        <v>48.006</v>
      </c>
      <c r="P1203" s="21" t="n">
        <f aca="false">L1203*O1203</f>
        <v>4368.546</v>
      </c>
      <c r="Q1203" s="50" t="n">
        <f aca="false">INDEX(Productos!$E$2:$E$13,MATCH($H1203,Productos!$A$2:$A$13,0))*INDEX(Parametros!$B$26:$B$43,MATCH($C1203,Parametros!$A$26:$A$43,0))</f>
        <v>29.07</v>
      </c>
      <c r="R1203" s="21" t="n">
        <f aca="false">L1203*Q1203</f>
        <v>2645.37</v>
      </c>
      <c r="S1203" s="18" t="n">
        <f aca="false">L1203*INDEX(Parametros!$B$20:$B$22,MATCH($E1203,Parametros!$A$20:$A$22,0))</f>
        <v>218.4</v>
      </c>
      <c r="T1203" s="18" t="n">
        <f aca="false">P1203*INDEX(Parametros!$B$13:$B$16,MATCH($F1203,Parametros!$A$13:$A$16,0))</f>
        <v>174.74184</v>
      </c>
      <c r="U1203" s="21" t="n">
        <f aca="false">P1203-R1203-S1203-T1203</f>
        <v>1330.03416</v>
      </c>
      <c r="V1203" s="19" t="n">
        <f aca="false">IFERROR(U1203/P1203,0)</f>
        <v>0.30445694288214</v>
      </c>
      <c r="W1203" s="48" t="n">
        <f aca="false">B1203+INDEX(Parametros!$C$13:$C$16,MATCH($F1203,Parametros!$A$13:$A$16,0))</f>
        <v>46151</v>
      </c>
      <c r="X1203" s="31" t="s">
        <v>67</v>
      </c>
      <c r="Y1203" s="53" t="n">
        <f aca="false">IF(COUNTIF($A$2:$A1203,A1203)=1,1,0)</f>
        <v>0</v>
      </c>
    </row>
    <row r="1204" customFormat="false" ht="15" hidden="false" customHeight="false" outlineLevel="0" collapsed="false">
      <c r="A1204" s="31" t="s">
        <v>892</v>
      </c>
      <c r="B1204" s="36" t="n">
        <v>46076</v>
      </c>
      <c r="C1204" s="49" t="n">
        <f aca="false">DATE(YEAR(B1204),MONTH(B1204),1)</f>
        <v>46054</v>
      </c>
      <c r="D1204" s="31" t="s">
        <v>218</v>
      </c>
      <c r="E1204" s="31" t="s">
        <v>42</v>
      </c>
      <c r="F1204" s="31" t="s">
        <v>45</v>
      </c>
      <c r="G1204" s="31" t="s">
        <v>61</v>
      </c>
      <c r="H1204" s="31" t="s">
        <v>165</v>
      </c>
      <c r="I1204" s="32" t="str">
        <f aca="false">INDEX(Productos!$B$2:$B$13,MATCH($H1204,Productos!$A$2:$A$13,0))</f>
        <v>Tornillo DIN 933 M8x40 rosca completa zincado</v>
      </c>
      <c r="J1204" s="32" t="str">
        <f aca="false">INDEX(Productos!$C$2:$C$13,MATCH($H1204,Productos!$A$2:$A$13,0))</f>
        <v>Métrica</v>
      </c>
      <c r="K1204" s="31" t="s">
        <v>246</v>
      </c>
      <c r="L1204" s="46" t="n">
        <v>79</v>
      </c>
      <c r="M1204" s="50" t="n">
        <f aca="false">INDEX(Productos!$F$2:$F$13,MATCH($H1204,Productos!$A$2:$A$13,0))</f>
        <v>37.5</v>
      </c>
      <c r="N1204" s="51" t="n">
        <v>0.142</v>
      </c>
      <c r="O1204" s="52" t="n">
        <f aca="false">M1204*(1-N1204)</f>
        <v>32.175</v>
      </c>
      <c r="P1204" s="21" t="n">
        <f aca="false">L1204*O1204</f>
        <v>2541.825</v>
      </c>
      <c r="Q1204" s="50" t="n">
        <f aca="false">INDEX(Productos!$E$2:$E$13,MATCH($H1204,Productos!$A$2:$A$13,0))*INDEX(Parametros!$B$26:$B$43,MATCH($C1204,Parametros!$A$26:$A$43,0))</f>
        <v>19.788</v>
      </c>
      <c r="R1204" s="21" t="n">
        <f aca="false">L1204*Q1204</f>
        <v>1563.252</v>
      </c>
      <c r="S1204" s="18" t="n">
        <f aca="false">L1204*INDEX(Parametros!$B$20:$B$22,MATCH($E1204,Parametros!$A$20:$A$22,0))</f>
        <v>189.6</v>
      </c>
      <c r="T1204" s="18" t="n">
        <f aca="false">P1204*INDEX(Parametros!$B$13:$B$16,MATCH($F1204,Parametros!$A$13:$A$16,0))</f>
        <v>76.25475</v>
      </c>
      <c r="U1204" s="21" t="n">
        <f aca="false">P1204-R1204-S1204-T1204</f>
        <v>712.71825</v>
      </c>
      <c r="V1204" s="19" t="n">
        <f aca="false">IFERROR(U1204/P1204,0)</f>
        <v>0.28039627039627</v>
      </c>
      <c r="W1204" s="48" t="n">
        <f aca="false">B1204+INDEX(Parametros!$C$13:$C$16,MATCH($F1204,Parametros!$A$13:$A$16,0))</f>
        <v>46136</v>
      </c>
      <c r="X1204" s="31" t="s">
        <v>67</v>
      </c>
      <c r="Y1204" s="53" t="n">
        <f aca="false">IF(COUNTIF($A$2:$A1204,A1204)=1,1,0)</f>
        <v>1</v>
      </c>
    </row>
    <row r="1205" customFormat="false" ht="15" hidden="false" customHeight="false" outlineLevel="0" collapsed="false">
      <c r="A1205" s="31" t="s">
        <v>892</v>
      </c>
      <c r="B1205" s="36" t="n">
        <v>46076</v>
      </c>
      <c r="C1205" s="49" t="n">
        <f aca="false">DATE(YEAR(B1205),MONTH(B1205),1)</f>
        <v>46054</v>
      </c>
      <c r="D1205" s="31" t="s">
        <v>218</v>
      </c>
      <c r="E1205" s="31" t="s">
        <v>42</v>
      </c>
      <c r="F1205" s="31" t="s">
        <v>45</v>
      </c>
      <c r="G1205" s="31" t="s">
        <v>61</v>
      </c>
      <c r="H1205" s="31" t="s">
        <v>175</v>
      </c>
      <c r="I1205" s="32" t="str">
        <f aca="false">INDEX(Productos!$B$2:$B$13,MATCH($H1205,Productos!$A$2:$A$13,0))</f>
        <v>Tirafondo madera 5x60 cabeza plana Torx</v>
      </c>
      <c r="J1205" s="32" t="str">
        <f aca="false">INDEX(Productos!$C$2:$C$13,MATCH($H1205,Productos!$A$2:$A$13,0))</f>
        <v>Madera</v>
      </c>
      <c r="K1205" s="31" t="s">
        <v>246</v>
      </c>
      <c r="L1205" s="46" t="n">
        <v>43</v>
      </c>
      <c r="M1205" s="50" t="n">
        <f aca="false">INDEX(Productos!$F$2:$F$13,MATCH($H1205,Productos!$A$2:$A$13,0))</f>
        <v>26</v>
      </c>
      <c r="N1205" s="51" t="n">
        <v>0.213</v>
      </c>
      <c r="O1205" s="52" t="n">
        <f aca="false">M1205*(1-N1205)</f>
        <v>20.462</v>
      </c>
      <c r="P1205" s="21" t="n">
        <f aca="false">L1205*O1205</f>
        <v>879.866</v>
      </c>
      <c r="Q1205" s="50" t="n">
        <f aca="false">INDEX(Productos!$E$2:$E$13,MATCH($H1205,Productos!$A$2:$A$13,0))*INDEX(Parametros!$B$26:$B$43,MATCH($C1205,Parametros!$A$26:$A$43,0))</f>
        <v>13.668</v>
      </c>
      <c r="R1205" s="21" t="n">
        <f aca="false">L1205*Q1205</f>
        <v>587.724</v>
      </c>
      <c r="S1205" s="18" t="n">
        <f aca="false">L1205*INDEX(Parametros!$B$20:$B$22,MATCH($E1205,Parametros!$A$20:$A$22,0))</f>
        <v>103.2</v>
      </c>
      <c r="T1205" s="18" t="n">
        <f aca="false">P1205*INDEX(Parametros!$B$13:$B$16,MATCH($F1205,Parametros!$A$13:$A$16,0))</f>
        <v>26.39598</v>
      </c>
      <c r="U1205" s="21" t="n">
        <f aca="false">P1205-R1205-S1205-T1205</f>
        <v>162.54602</v>
      </c>
      <c r="V1205" s="19" t="n">
        <f aca="false">IFERROR(U1205/P1205,0)</f>
        <v>0.184739517153748</v>
      </c>
      <c r="W1205" s="48" t="n">
        <f aca="false">B1205+INDEX(Parametros!$C$13:$C$16,MATCH($F1205,Parametros!$A$13:$A$16,0))</f>
        <v>46136</v>
      </c>
      <c r="X1205" s="31" t="s">
        <v>67</v>
      </c>
      <c r="Y1205" s="53" t="n">
        <f aca="false">IF(COUNTIF($A$2:$A1205,A1205)=1,1,0)</f>
        <v>0</v>
      </c>
    </row>
    <row r="1206" customFormat="false" ht="15" hidden="false" customHeight="false" outlineLevel="0" collapsed="false">
      <c r="A1206" s="31" t="s">
        <v>893</v>
      </c>
      <c r="B1206" s="36" t="n">
        <v>46076</v>
      </c>
      <c r="C1206" s="49" t="n">
        <f aca="false">DATE(YEAR(B1206),MONTH(B1206),1)</f>
        <v>46054</v>
      </c>
      <c r="D1206" s="31" t="s">
        <v>226</v>
      </c>
      <c r="E1206" s="31" t="s">
        <v>43</v>
      </c>
      <c r="F1206" s="31" t="s">
        <v>46</v>
      </c>
      <c r="G1206" s="31" t="s">
        <v>59</v>
      </c>
      <c r="H1206" s="31" t="s">
        <v>173</v>
      </c>
      <c r="I1206" s="32" t="str">
        <f aca="false">INDEX(Productos!$B$2:$B$13,MATCH($H1206,Productos!$A$2:$A$13,0))</f>
        <v>Tornillo DIN 933 M12x70 clase 8.8</v>
      </c>
      <c r="J1206" s="32" t="str">
        <f aca="false">INDEX(Productos!$C$2:$C$13,MATCH($H1206,Productos!$A$2:$A$13,0))</f>
        <v>Métrica</v>
      </c>
      <c r="K1206" s="31" t="s">
        <v>246</v>
      </c>
      <c r="L1206" s="46" t="n">
        <v>96</v>
      </c>
      <c r="M1206" s="50" t="n">
        <f aca="false">INDEX(Productos!$F$2:$F$13,MATCH($H1206,Productos!$A$2:$A$13,0))</f>
        <v>64</v>
      </c>
      <c r="N1206" s="51" t="n">
        <v>0.135</v>
      </c>
      <c r="O1206" s="52" t="n">
        <f aca="false">M1206*(1-N1206)</f>
        <v>55.36</v>
      </c>
      <c r="P1206" s="21" t="n">
        <f aca="false">L1206*O1206</f>
        <v>5314.56</v>
      </c>
      <c r="Q1206" s="50" t="n">
        <f aca="false">INDEX(Productos!$E$2:$E$13,MATCH($H1206,Productos!$A$2:$A$13,0))*INDEX(Parametros!$B$26:$B$43,MATCH($C1206,Parametros!$A$26:$A$43,0))</f>
        <v>34.17</v>
      </c>
      <c r="R1206" s="21" t="n">
        <f aca="false">L1206*Q1206</f>
        <v>3280.32</v>
      </c>
      <c r="S1206" s="18" t="n">
        <f aca="false">L1206*INDEX(Parametros!$B$20:$B$22,MATCH($E1206,Parametros!$A$20:$A$22,0))</f>
        <v>182.4</v>
      </c>
      <c r="T1206" s="18" t="n">
        <f aca="false">P1206*INDEX(Parametros!$B$13:$B$16,MATCH($F1206,Parametros!$A$13:$A$16,0))</f>
        <v>212.5824</v>
      </c>
      <c r="U1206" s="21" t="n">
        <f aca="false">P1206-R1206-S1206-T1206</f>
        <v>1639.2576</v>
      </c>
      <c r="V1206" s="19" t="n">
        <f aca="false">IFERROR(U1206/P1206,0)</f>
        <v>0.308446531791907</v>
      </c>
      <c r="W1206" s="48" t="n">
        <f aca="false">B1206+INDEX(Parametros!$C$13:$C$16,MATCH($F1206,Parametros!$A$13:$A$16,0))</f>
        <v>46151</v>
      </c>
      <c r="X1206" s="31" t="s">
        <v>67</v>
      </c>
      <c r="Y1206" s="53" t="n">
        <f aca="false">IF(COUNTIF($A$2:$A1206,A1206)=1,1,0)</f>
        <v>1</v>
      </c>
    </row>
    <row r="1207" customFormat="false" ht="15" hidden="false" customHeight="false" outlineLevel="0" collapsed="false">
      <c r="A1207" s="31" t="s">
        <v>893</v>
      </c>
      <c r="B1207" s="36" t="n">
        <v>46076</v>
      </c>
      <c r="C1207" s="49" t="n">
        <f aca="false">DATE(YEAR(B1207),MONTH(B1207),1)</f>
        <v>46054</v>
      </c>
      <c r="D1207" s="31" t="s">
        <v>226</v>
      </c>
      <c r="E1207" s="31" t="s">
        <v>43</v>
      </c>
      <c r="F1207" s="31" t="s">
        <v>46</v>
      </c>
      <c r="G1207" s="31" t="s">
        <v>59</v>
      </c>
      <c r="H1207" s="31" t="s">
        <v>169</v>
      </c>
      <c r="I1207" s="32" t="str">
        <f aca="false">INDEX(Productos!$B$2:$B$13,MATCH($H1207,Productos!$A$2:$A$13,0))</f>
        <v>Tornillo DIN 912 M10x60 Allen inox A2</v>
      </c>
      <c r="J1207" s="32" t="str">
        <f aca="false">INDEX(Productos!$C$2:$C$13,MATCH($H1207,Productos!$A$2:$A$13,0))</f>
        <v>Inoxidable</v>
      </c>
      <c r="K1207" s="31" t="s">
        <v>246</v>
      </c>
      <c r="L1207" s="46" t="n">
        <v>242</v>
      </c>
      <c r="M1207" s="50" t="n">
        <f aca="false">INDEX(Productos!$F$2:$F$13,MATCH($H1207,Productos!$A$2:$A$13,0))</f>
        <v>79</v>
      </c>
      <c r="N1207" s="51" t="n">
        <v>0.176</v>
      </c>
      <c r="O1207" s="52" t="n">
        <f aca="false">M1207*(1-N1207)</f>
        <v>65.096</v>
      </c>
      <c r="P1207" s="21" t="n">
        <f aca="false">L1207*O1207</f>
        <v>15753.232</v>
      </c>
      <c r="Q1207" s="50" t="n">
        <f aca="false">INDEX(Productos!$E$2:$E$13,MATCH($H1207,Productos!$A$2:$A$13,0))*INDEX(Parametros!$B$26:$B$43,MATCH($C1207,Parametros!$A$26:$A$43,0))</f>
        <v>42.84</v>
      </c>
      <c r="R1207" s="21" t="n">
        <f aca="false">L1207*Q1207</f>
        <v>10367.28</v>
      </c>
      <c r="S1207" s="18" t="n">
        <f aca="false">L1207*INDEX(Parametros!$B$20:$B$22,MATCH($E1207,Parametros!$A$20:$A$22,0))</f>
        <v>459.8</v>
      </c>
      <c r="T1207" s="18" t="n">
        <f aca="false">P1207*INDEX(Parametros!$B$13:$B$16,MATCH($F1207,Parametros!$A$13:$A$16,0))</f>
        <v>630.12928</v>
      </c>
      <c r="U1207" s="21" t="n">
        <f aca="false">P1207-R1207-S1207-T1207</f>
        <v>4296.02272</v>
      </c>
      <c r="V1207" s="19" t="n">
        <f aca="false">IFERROR(U1207/P1207,0)</f>
        <v>0.272707386014502</v>
      </c>
      <c r="W1207" s="48" t="n">
        <f aca="false">B1207+INDEX(Parametros!$C$13:$C$16,MATCH($F1207,Parametros!$A$13:$A$16,0))</f>
        <v>46151</v>
      </c>
      <c r="X1207" s="31" t="s">
        <v>67</v>
      </c>
      <c r="Y1207" s="53" t="n">
        <f aca="false">IF(COUNTIF($A$2:$A1207,A1207)=1,1,0)</f>
        <v>0</v>
      </c>
    </row>
    <row r="1208" customFormat="false" ht="15" hidden="false" customHeight="false" outlineLevel="0" collapsed="false">
      <c r="A1208" s="31" t="s">
        <v>893</v>
      </c>
      <c r="B1208" s="36" t="n">
        <v>46076</v>
      </c>
      <c r="C1208" s="49" t="n">
        <f aca="false">DATE(YEAR(B1208),MONTH(B1208),1)</f>
        <v>46054</v>
      </c>
      <c r="D1208" s="31" t="s">
        <v>226</v>
      </c>
      <c r="E1208" s="31" t="s">
        <v>43</v>
      </c>
      <c r="F1208" s="31" t="s">
        <v>46</v>
      </c>
      <c r="G1208" s="31" t="s">
        <v>59</v>
      </c>
      <c r="H1208" s="31" t="s">
        <v>183</v>
      </c>
      <c r="I1208" s="32" t="str">
        <f aca="false">INDEX(Productos!$B$2:$B$13,MATCH($H1208,Productos!$A$2:$A$13,0))</f>
        <v>Tornillo estructural M16x90 clase 10.9</v>
      </c>
      <c r="J1208" s="32" t="str">
        <f aca="false">INDEX(Productos!$C$2:$C$13,MATCH($H1208,Productos!$A$2:$A$13,0))</f>
        <v>Especial</v>
      </c>
      <c r="K1208" s="31" t="s">
        <v>246</v>
      </c>
      <c r="L1208" s="46" t="n">
        <v>130</v>
      </c>
      <c r="M1208" s="50" t="n">
        <f aca="false">INDEX(Productos!$F$2:$F$13,MATCH($H1208,Productos!$A$2:$A$13,0))</f>
        <v>112</v>
      </c>
      <c r="N1208" s="51" t="n">
        <v>0.087</v>
      </c>
      <c r="O1208" s="52" t="n">
        <f aca="false">M1208*(1-N1208)</f>
        <v>102.256</v>
      </c>
      <c r="P1208" s="21" t="n">
        <f aca="false">L1208*O1208</f>
        <v>13293.28</v>
      </c>
      <c r="Q1208" s="50" t="n">
        <f aca="false">INDEX(Productos!$E$2:$E$13,MATCH($H1208,Productos!$A$2:$A$13,0))*INDEX(Parametros!$B$26:$B$43,MATCH($C1208,Parametros!$A$26:$A$43,0))</f>
        <v>61.2</v>
      </c>
      <c r="R1208" s="21" t="n">
        <f aca="false">L1208*Q1208</f>
        <v>7956</v>
      </c>
      <c r="S1208" s="18" t="n">
        <f aca="false">L1208*INDEX(Parametros!$B$20:$B$22,MATCH($E1208,Parametros!$A$20:$A$22,0))</f>
        <v>247</v>
      </c>
      <c r="T1208" s="18" t="n">
        <f aca="false">P1208*INDEX(Parametros!$B$13:$B$16,MATCH($F1208,Parametros!$A$13:$A$16,0))</f>
        <v>531.7312</v>
      </c>
      <c r="U1208" s="21" t="n">
        <f aca="false">P1208-R1208-S1208-T1208</f>
        <v>4558.5488</v>
      </c>
      <c r="V1208" s="19" t="n">
        <f aca="false">IFERROR(U1208/P1208,0)</f>
        <v>0.342921295571898</v>
      </c>
      <c r="W1208" s="48" t="n">
        <f aca="false">B1208+INDEX(Parametros!$C$13:$C$16,MATCH($F1208,Parametros!$A$13:$A$16,0))</f>
        <v>46151</v>
      </c>
      <c r="X1208" s="31" t="s">
        <v>67</v>
      </c>
      <c r="Y1208" s="53" t="n">
        <f aca="false">IF(COUNTIF($A$2:$A1208,A1208)=1,1,0)</f>
        <v>0</v>
      </c>
    </row>
    <row r="1209" customFormat="false" ht="15" hidden="false" customHeight="false" outlineLevel="0" collapsed="false">
      <c r="A1209" s="31" t="s">
        <v>894</v>
      </c>
      <c r="B1209" s="36" t="n">
        <v>46076</v>
      </c>
      <c r="C1209" s="49" t="n">
        <f aca="false">DATE(YEAR(B1209),MONTH(B1209),1)</f>
        <v>46054</v>
      </c>
      <c r="D1209" s="31" t="s">
        <v>195</v>
      </c>
      <c r="E1209" s="31" t="s">
        <v>41</v>
      </c>
      <c r="F1209" s="31" t="s">
        <v>45</v>
      </c>
      <c r="G1209" s="31" t="s">
        <v>58</v>
      </c>
      <c r="H1209" s="31" t="s">
        <v>177</v>
      </c>
      <c r="I1209" s="32" t="str">
        <f aca="false">INDEX(Productos!$B$2:$B$13,MATCH($H1209,Productos!$A$2:$A$13,0))</f>
        <v>Tirafondo madera 6x100 cabeza plana Torx</v>
      </c>
      <c r="J1209" s="32" t="str">
        <f aca="false">INDEX(Productos!$C$2:$C$13,MATCH($H1209,Productos!$A$2:$A$13,0))</f>
        <v>Madera</v>
      </c>
      <c r="K1209" s="31" t="s">
        <v>246</v>
      </c>
      <c r="L1209" s="46" t="n">
        <v>47</v>
      </c>
      <c r="M1209" s="50" t="n">
        <f aca="false">INDEX(Productos!$F$2:$F$13,MATCH($H1209,Productos!$A$2:$A$13,0))</f>
        <v>34</v>
      </c>
      <c r="N1209" s="51" t="n">
        <v>0.155</v>
      </c>
      <c r="O1209" s="52" t="n">
        <f aca="false">M1209*(1-N1209)</f>
        <v>28.73</v>
      </c>
      <c r="P1209" s="21" t="n">
        <f aca="false">L1209*O1209</f>
        <v>1350.31</v>
      </c>
      <c r="Q1209" s="50" t="n">
        <f aca="false">INDEX(Productos!$E$2:$E$13,MATCH($H1209,Productos!$A$2:$A$13,0))*INDEX(Parametros!$B$26:$B$43,MATCH($C1209,Parametros!$A$26:$A$43,0))</f>
        <v>18.156</v>
      </c>
      <c r="R1209" s="21" t="n">
        <f aca="false">L1209*Q1209</f>
        <v>853.332</v>
      </c>
      <c r="S1209" s="18" t="n">
        <f aca="false">L1209*INDEX(Parametros!$B$20:$B$22,MATCH($E1209,Parametros!$A$20:$A$22,0))</f>
        <v>39.95</v>
      </c>
      <c r="T1209" s="18" t="n">
        <f aca="false">P1209*INDEX(Parametros!$B$13:$B$16,MATCH($F1209,Parametros!$A$13:$A$16,0))</f>
        <v>40.5093</v>
      </c>
      <c r="U1209" s="21" t="n">
        <f aca="false">P1209-R1209-S1209-T1209</f>
        <v>416.5187</v>
      </c>
      <c r="V1209" s="19" t="n">
        <f aca="false">IFERROR(U1209/P1209,0)</f>
        <v>0.308461538461538</v>
      </c>
      <c r="W1209" s="48" t="n">
        <f aca="false">B1209+INDEX(Parametros!$C$13:$C$16,MATCH($F1209,Parametros!$A$13:$A$16,0))</f>
        <v>46136</v>
      </c>
      <c r="X1209" s="31" t="s">
        <v>67</v>
      </c>
      <c r="Y1209" s="53" t="n">
        <f aca="false">IF(COUNTIF($A$2:$A1209,A1209)=1,1,0)</f>
        <v>1</v>
      </c>
    </row>
    <row r="1210" customFormat="false" ht="15" hidden="false" customHeight="false" outlineLevel="0" collapsed="false">
      <c r="A1210" s="31" t="s">
        <v>894</v>
      </c>
      <c r="B1210" s="36" t="n">
        <v>46076</v>
      </c>
      <c r="C1210" s="49" t="n">
        <f aca="false">DATE(YEAR(B1210),MONTH(B1210),1)</f>
        <v>46054</v>
      </c>
      <c r="D1210" s="31" t="s">
        <v>195</v>
      </c>
      <c r="E1210" s="31" t="s">
        <v>41</v>
      </c>
      <c r="F1210" s="31" t="s">
        <v>45</v>
      </c>
      <c r="G1210" s="31" t="s">
        <v>58</v>
      </c>
      <c r="H1210" s="31" t="s">
        <v>171</v>
      </c>
      <c r="I1210" s="32" t="str">
        <f aca="false">INDEX(Productos!$B$2:$B$13,MATCH($H1210,Productos!$A$2:$A$13,0))</f>
        <v>Tornillo DIN 7991 M8x30 avellanado inox A2</v>
      </c>
      <c r="J1210" s="32" t="str">
        <f aca="false">INDEX(Productos!$C$2:$C$13,MATCH($H1210,Productos!$A$2:$A$13,0))</f>
        <v>Inoxidable</v>
      </c>
      <c r="K1210" s="31" t="s">
        <v>246</v>
      </c>
      <c r="L1210" s="46" t="n">
        <v>236</v>
      </c>
      <c r="M1210" s="50" t="n">
        <f aca="false">INDEX(Productos!$F$2:$F$13,MATCH($H1210,Productos!$A$2:$A$13,0))</f>
        <v>88</v>
      </c>
      <c r="N1210" s="51" t="n">
        <v>0.206</v>
      </c>
      <c r="O1210" s="52" t="n">
        <f aca="false">M1210*(1-N1210)</f>
        <v>69.872</v>
      </c>
      <c r="P1210" s="21" t="n">
        <f aca="false">L1210*O1210</f>
        <v>16489.792</v>
      </c>
      <c r="Q1210" s="50" t="n">
        <f aca="false">INDEX(Productos!$E$2:$E$13,MATCH($H1210,Productos!$A$2:$A$13,0))*INDEX(Parametros!$B$26:$B$43,MATCH($C1210,Parametros!$A$26:$A$43,0))</f>
        <v>47.43</v>
      </c>
      <c r="R1210" s="21" t="n">
        <f aca="false">L1210*Q1210</f>
        <v>11193.48</v>
      </c>
      <c r="S1210" s="18" t="n">
        <f aca="false">L1210*INDEX(Parametros!$B$20:$B$22,MATCH($E1210,Parametros!$A$20:$A$22,0))</f>
        <v>200.6</v>
      </c>
      <c r="T1210" s="18" t="n">
        <f aca="false">P1210*INDEX(Parametros!$B$13:$B$16,MATCH($F1210,Parametros!$A$13:$A$16,0))</f>
        <v>494.69376</v>
      </c>
      <c r="U1210" s="21" t="n">
        <f aca="false">P1210-R1210-S1210-T1210</f>
        <v>4601.01824</v>
      </c>
      <c r="V1210" s="19" t="n">
        <f aca="false">IFERROR(U1210/P1210,0)</f>
        <v>0.279022212044882</v>
      </c>
      <c r="W1210" s="48" t="n">
        <f aca="false">B1210+INDEX(Parametros!$C$13:$C$16,MATCH($F1210,Parametros!$A$13:$A$16,0))</f>
        <v>46136</v>
      </c>
      <c r="X1210" s="31" t="s">
        <v>67</v>
      </c>
      <c r="Y1210" s="53" t="n">
        <f aca="false">IF(COUNTIF($A$2:$A1210,A1210)=1,1,0)</f>
        <v>0</v>
      </c>
    </row>
    <row r="1211" customFormat="false" ht="15" hidden="false" customHeight="false" outlineLevel="0" collapsed="false">
      <c r="A1211" s="31" t="s">
        <v>895</v>
      </c>
      <c r="B1211" s="36" t="n">
        <v>46076</v>
      </c>
      <c r="C1211" s="49" t="n">
        <f aca="false">DATE(YEAR(B1211),MONTH(B1211),1)</f>
        <v>46054</v>
      </c>
      <c r="D1211" s="31" t="s">
        <v>221</v>
      </c>
      <c r="E1211" s="31" t="s">
        <v>43</v>
      </c>
      <c r="F1211" s="31" t="s">
        <v>45</v>
      </c>
      <c r="G1211" s="31" t="s">
        <v>59</v>
      </c>
      <c r="H1211" s="31" t="s">
        <v>165</v>
      </c>
      <c r="I1211" s="32" t="str">
        <f aca="false">INDEX(Productos!$B$2:$B$13,MATCH($H1211,Productos!$A$2:$A$13,0))</f>
        <v>Tornillo DIN 933 M8x40 rosca completa zincado</v>
      </c>
      <c r="J1211" s="32" t="str">
        <f aca="false">INDEX(Productos!$C$2:$C$13,MATCH($H1211,Productos!$A$2:$A$13,0))</f>
        <v>Métrica</v>
      </c>
      <c r="K1211" s="31" t="s">
        <v>246</v>
      </c>
      <c r="L1211" s="46" t="n">
        <v>83</v>
      </c>
      <c r="M1211" s="50" t="n">
        <f aca="false">INDEX(Productos!$F$2:$F$13,MATCH($H1211,Productos!$A$2:$A$13,0))</f>
        <v>37.5</v>
      </c>
      <c r="N1211" s="51" t="n">
        <v>0.217</v>
      </c>
      <c r="O1211" s="52" t="n">
        <f aca="false">M1211*(1-N1211)</f>
        <v>29.3625</v>
      </c>
      <c r="P1211" s="21" t="n">
        <f aca="false">L1211*O1211</f>
        <v>2437.0875</v>
      </c>
      <c r="Q1211" s="50" t="n">
        <f aca="false">INDEX(Productos!$E$2:$E$13,MATCH($H1211,Productos!$A$2:$A$13,0))*INDEX(Parametros!$B$26:$B$43,MATCH($C1211,Parametros!$A$26:$A$43,0))</f>
        <v>19.788</v>
      </c>
      <c r="R1211" s="21" t="n">
        <f aca="false">L1211*Q1211</f>
        <v>1642.404</v>
      </c>
      <c r="S1211" s="18" t="n">
        <f aca="false">L1211*INDEX(Parametros!$B$20:$B$22,MATCH($E1211,Parametros!$A$20:$A$22,0))</f>
        <v>157.7</v>
      </c>
      <c r="T1211" s="18" t="n">
        <f aca="false">P1211*INDEX(Parametros!$B$13:$B$16,MATCH($F1211,Parametros!$A$13:$A$16,0))</f>
        <v>73.112625</v>
      </c>
      <c r="U1211" s="21" t="n">
        <f aca="false">P1211-R1211-S1211-T1211</f>
        <v>563.870875</v>
      </c>
      <c r="V1211" s="19" t="n">
        <f aca="false">IFERROR(U1211/P1211,0)</f>
        <v>0.23137079608344</v>
      </c>
      <c r="W1211" s="48" t="n">
        <f aca="false">B1211+INDEX(Parametros!$C$13:$C$16,MATCH($F1211,Parametros!$A$13:$A$16,0))</f>
        <v>46136</v>
      </c>
      <c r="X1211" s="31" t="s">
        <v>67</v>
      </c>
      <c r="Y1211" s="53" t="n">
        <f aca="false">IF(COUNTIF($A$2:$A1211,A1211)=1,1,0)</f>
        <v>1</v>
      </c>
    </row>
    <row r="1212" customFormat="false" ht="15" hidden="false" customHeight="false" outlineLevel="0" collapsed="false">
      <c r="A1212" s="31" t="s">
        <v>896</v>
      </c>
      <c r="B1212" s="36" t="n">
        <v>46077</v>
      </c>
      <c r="C1212" s="49" t="n">
        <f aca="false">DATE(YEAR(B1212),MONTH(B1212),1)</f>
        <v>46054</v>
      </c>
      <c r="D1212" s="31" t="s">
        <v>193</v>
      </c>
      <c r="E1212" s="31" t="s">
        <v>41</v>
      </c>
      <c r="F1212" s="31" t="s">
        <v>45</v>
      </c>
      <c r="G1212" s="31" t="s">
        <v>62</v>
      </c>
      <c r="H1212" s="31" t="s">
        <v>183</v>
      </c>
      <c r="I1212" s="32" t="str">
        <f aca="false">INDEX(Productos!$B$2:$B$13,MATCH($H1212,Productos!$A$2:$A$13,0))</f>
        <v>Tornillo estructural M16x90 clase 10.9</v>
      </c>
      <c r="J1212" s="32" t="str">
        <f aca="false">INDEX(Productos!$C$2:$C$13,MATCH($H1212,Productos!$A$2:$A$13,0))</f>
        <v>Especial</v>
      </c>
      <c r="K1212" s="31" t="s">
        <v>246</v>
      </c>
      <c r="L1212" s="46" t="n">
        <v>69</v>
      </c>
      <c r="M1212" s="50" t="n">
        <f aca="false">INDEX(Productos!$F$2:$F$13,MATCH($H1212,Productos!$A$2:$A$13,0))</f>
        <v>112</v>
      </c>
      <c r="N1212" s="51" t="n">
        <v>0.2</v>
      </c>
      <c r="O1212" s="52" t="n">
        <f aca="false">M1212*(1-N1212)</f>
        <v>89.6</v>
      </c>
      <c r="P1212" s="21" t="n">
        <f aca="false">L1212*O1212</f>
        <v>6182.4</v>
      </c>
      <c r="Q1212" s="50" t="n">
        <f aca="false">INDEX(Productos!$E$2:$E$13,MATCH($H1212,Productos!$A$2:$A$13,0))*INDEX(Parametros!$B$26:$B$43,MATCH($C1212,Parametros!$A$26:$A$43,0))</f>
        <v>61.2</v>
      </c>
      <c r="R1212" s="21" t="n">
        <f aca="false">L1212*Q1212</f>
        <v>4222.8</v>
      </c>
      <c r="S1212" s="18" t="n">
        <f aca="false">L1212*INDEX(Parametros!$B$20:$B$22,MATCH($E1212,Parametros!$A$20:$A$22,0))</f>
        <v>58.65</v>
      </c>
      <c r="T1212" s="18" t="n">
        <f aca="false">P1212*INDEX(Parametros!$B$13:$B$16,MATCH($F1212,Parametros!$A$13:$A$16,0))</f>
        <v>185.472</v>
      </c>
      <c r="U1212" s="21" t="n">
        <f aca="false">P1212-R1212-S1212-T1212</f>
        <v>1715.478</v>
      </c>
      <c r="V1212" s="19" t="n">
        <f aca="false">IFERROR(U1212/P1212,0)</f>
        <v>0.277477678571429</v>
      </c>
      <c r="W1212" s="48" t="n">
        <f aca="false">B1212+INDEX(Parametros!$C$13:$C$16,MATCH($F1212,Parametros!$A$13:$A$16,0))</f>
        <v>46137</v>
      </c>
      <c r="X1212" s="31" t="s">
        <v>67</v>
      </c>
      <c r="Y1212" s="53" t="n">
        <f aca="false">IF(COUNTIF($A$2:$A1212,A1212)=1,1,0)</f>
        <v>1</v>
      </c>
    </row>
    <row r="1213" customFormat="false" ht="15" hidden="false" customHeight="false" outlineLevel="0" collapsed="false">
      <c r="A1213" s="31" t="s">
        <v>896</v>
      </c>
      <c r="B1213" s="36" t="n">
        <v>46077</v>
      </c>
      <c r="C1213" s="49" t="n">
        <f aca="false">DATE(YEAR(B1213),MONTH(B1213),1)</f>
        <v>46054</v>
      </c>
      <c r="D1213" s="31" t="s">
        <v>193</v>
      </c>
      <c r="E1213" s="31" t="s">
        <v>41</v>
      </c>
      <c r="F1213" s="31" t="s">
        <v>45</v>
      </c>
      <c r="G1213" s="31" t="s">
        <v>62</v>
      </c>
      <c r="H1213" s="31" t="s">
        <v>163</v>
      </c>
      <c r="I1213" s="32" t="str">
        <f aca="false">INDEX(Productos!$B$2:$B$13,MATCH($H1213,Productos!$A$2:$A$13,0))</f>
        <v>Tornillo DIN 933 M6x30 rosca completa zincado</v>
      </c>
      <c r="J1213" s="32" t="str">
        <f aca="false">INDEX(Productos!$C$2:$C$13,MATCH($H1213,Productos!$A$2:$A$13,0))</f>
        <v>Métrica</v>
      </c>
      <c r="K1213" s="31" t="s">
        <v>246</v>
      </c>
      <c r="L1213" s="46" t="n">
        <v>60</v>
      </c>
      <c r="M1213" s="50" t="n">
        <f aca="false">INDEX(Productos!$F$2:$F$13,MATCH($H1213,Productos!$A$2:$A$13,0))</f>
        <v>32</v>
      </c>
      <c r="N1213" s="51" t="n">
        <v>0.176</v>
      </c>
      <c r="O1213" s="52" t="n">
        <f aca="false">M1213*(1-N1213)</f>
        <v>26.368</v>
      </c>
      <c r="P1213" s="21" t="n">
        <f aca="false">L1213*O1213</f>
        <v>1582.08</v>
      </c>
      <c r="Q1213" s="50" t="n">
        <f aca="false">INDEX(Productos!$E$2:$E$13,MATCH($H1213,Productos!$A$2:$A$13,0))*INDEX(Parametros!$B$26:$B$43,MATCH($C1213,Parametros!$A$26:$A$43,0))</f>
        <v>16.932</v>
      </c>
      <c r="R1213" s="21" t="n">
        <f aca="false">L1213*Q1213</f>
        <v>1015.92</v>
      </c>
      <c r="S1213" s="18" t="n">
        <f aca="false">L1213*INDEX(Parametros!$B$20:$B$22,MATCH($E1213,Parametros!$A$20:$A$22,0))</f>
        <v>51</v>
      </c>
      <c r="T1213" s="18" t="n">
        <f aca="false">P1213*INDEX(Parametros!$B$13:$B$16,MATCH($F1213,Parametros!$A$13:$A$16,0))</f>
        <v>47.4624</v>
      </c>
      <c r="U1213" s="21" t="n">
        <f aca="false">P1213-R1213-S1213-T1213</f>
        <v>467.6976</v>
      </c>
      <c r="V1213" s="19" t="n">
        <f aca="false">IFERROR(U1213/P1213,0)</f>
        <v>0.295621966019418</v>
      </c>
      <c r="W1213" s="48" t="n">
        <f aca="false">B1213+INDEX(Parametros!$C$13:$C$16,MATCH($F1213,Parametros!$A$13:$A$16,0))</f>
        <v>46137</v>
      </c>
      <c r="X1213" s="31" t="s">
        <v>67</v>
      </c>
      <c r="Y1213" s="53" t="n">
        <f aca="false">IF(COUNTIF($A$2:$A1213,A1213)=1,1,0)</f>
        <v>0</v>
      </c>
    </row>
    <row r="1214" customFormat="false" ht="15" hidden="false" customHeight="false" outlineLevel="0" collapsed="false">
      <c r="A1214" s="31" t="s">
        <v>897</v>
      </c>
      <c r="B1214" s="36" t="n">
        <v>46078</v>
      </c>
      <c r="C1214" s="49" t="n">
        <f aca="false">DATE(YEAR(B1214),MONTH(B1214),1)</f>
        <v>46054</v>
      </c>
      <c r="D1214" s="31" t="s">
        <v>212</v>
      </c>
      <c r="E1214" s="31" t="s">
        <v>42</v>
      </c>
      <c r="F1214" s="31" t="s">
        <v>45</v>
      </c>
      <c r="G1214" s="31" t="s">
        <v>61</v>
      </c>
      <c r="H1214" s="31" t="s">
        <v>173</v>
      </c>
      <c r="I1214" s="32" t="str">
        <f aca="false">INDEX(Productos!$B$2:$B$13,MATCH($H1214,Productos!$A$2:$A$13,0))</f>
        <v>Tornillo DIN 933 M12x70 clase 8.8</v>
      </c>
      <c r="J1214" s="32" t="str">
        <f aca="false">INDEX(Productos!$C$2:$C$13,MATCH($H1214,Productos!$A$2:$A$13,0))</f>
        <v>Métrica</v>
      </c>
      <c r="K1214" s="31" t="s">
        <v>246</v>
      </c>
      <c r="L1214" s="46" t="n">
        <v>57</v>
      </c>
      <c r="M1214" s="50" t="n">
        <f aca="false">INDEX(Productos!$F$2:$F$13,MATCH($H1214,Productos!$A$2:$A$13,0))</f>
        <v>64</v>
      </c>
      <c r="N1214" s="51" t="n">
        <v>0.177</v>
      </c>
      <c r="O1214" s="52" t="n">
        <f aca="false">M1214*(1-N1214)</f>
        <v>52.672</v>
      </c>
      <c r="P1214" s="21" t="n">
        <f aca="false">L1214*O1214</f>
        <v>3002.304</v>
      </c>
      <c r="Q1214" s="50" t="n">
        <f aca="false">INDEX(Productos!$E$2:$E$13,MATCH($H1214,Productos!$A$2:$A$13,0))*INDEX(Parametros!$B$26:$B$43,MATCH($C1214,Parametros!$A$26:$A$43,0))</f>
        <v>34.17</v>
      </c>
      <c r="R1214" s="21" t="n">
        <f aca="false">L1214*Q1214</f>
        <v>1947.69</v>
      </c>
      <c r="S1214" s="18" t="n">
        <f aca="false">L1214*INDEX(Parametros!$B$20:$B$22,MATCH($E1214,Parametros!$A$20:$A$22,0))</f>
        <v>136.8</v>
      </c>
      <c r="T1214" s="18" t="n">
        <f aca="false">P1214*INDEX(Parametros!$B$13:$B$16,MATCH($F1214,Parametros!$A$13:$A$16,0))</f>
        <v>90.06912</v>
      </c>
      <c r="U1214" s="21" t="n">
        <f aca="false">P1214-R1214-S1214-T1214</f>
        <v>827.74488</v>
      </c>
      <c r="V1214" s="19" t="n">
        <f aca="false">IFERROR(U1214/P1214,0)</f>
        <v>0.275703219927096</v>
      </c>
      <c r="W1214" s="48" t="n">
        <f aca="false">B1214+INDEX(Parametros!$C$13:$C$16,MATCH($F1214,Parametros!$A$13:$A$16,0))</f>
        <v>46138</v>
      </c>
      <c r="X1214" s="31" t="s">
        <v>67</v>
      </c>
      <c r="Y1214" s="53" t="n">
        <f aca="false">IF(COUNTIF($A$2:$A1214,A1214)=1,1,0)</f>
        <v>1</v>
      </c>
    </row>
    <row r="1215" customFormat="false" ht="15" hidden="false" customHeight="false" outlineLevel="0" collapsed="false">
      <c r="A1215" s="31" t="s">
        <v>898</v>
      </c>
      <c r="B1215" s="36" t="n">
        <v>46078</v>
      </c>
      <c r="C1215" s="49" t="n">
        <f aca="false">DATE(YEAR(B1215),MONTH(B1215),1)</f>
        <v>46054</v>
      </c>
      <c r="D1215" s="31" t="s">
        <v>215</v>
      </c>
      <c r="E1215" s="31" t="s">
        <v>42</v>
      </c>
      <c r="F1215" s="31" t="s">
        <v>46</v>
      </c>
      <c r="G1215" s="31" t="s">
        <v>61</v>
      </c>
      <c r="H1215" s="31" t="s">
        <v>179</v>
      </c>
      <c r="I1215" s="32" t="str">
        <f aca="false">INDEX(Productos!$B$2:$B$13,MATCH($H1215,Productos!$A$2:$A$13,0))</f>
        <v>Autotaladrante DIN 7504 4,8x38 zincado</v>
      </c>
      <c r="J1215" s="32" t="str">
        <f aca="false">INDEX(Productos!$C$2:$C$13,MATCH($H1215,Productos!$A$2:$A$13,0))</f>
        <v>Autotaladrante</v>
      </c>
      <c r="K1215" s="31" t="s">
        <v>246</v>
      </c>
      <c r="L1215" s="46" t="n">
        <v>272</v>
      </c>
      <c r="M1215" s="50" t="n">
        <f aca="false">INDEX(Productos!$F$2:$F$13,MATCH($H1215,Productos!$A$2:$A$13,0))</f>
        <v>29.5</v>
      </c>
      <c r="N1215" s="51" t="n">
        <v>0.139</v>
      </c>
      <c r="O1215" s="52" t="n">
        <f aca="false">M1215*(1-N1215)</f>
        <v>25.3995</v>
      </c>
      <c r="P1215" s="21" t="n">
        <f aca="false">L1215*O1215</f>
        <v>6908.664</v>
      </c>
      <c r="Q1215" s="50" t="n">
        <f aca="false">INDEX(Productos!$E$2:$E$13,MATCH($H1215,Productos!$A$2:$A$13,0))*INDEX(Parametros!$B$26:$B$43,MATCH($C1215,Parametros!$A$26:$A$43,0))</f>
        <v>15.504</v>
      </c>
      <c r="R1215" s="21" t="n">
        <f aca="false">L1215*Q1215</f>
        <v>4217.088</v>
      </c>
      <c r="S1215" s="18" t="n">
        <f aca="false">L1215*INDEX(Parametros!$B$20:$B$22,MATCH($E1215,Parametros!$A$20:$A$22,0))</f>
        <v>652.8</v>
      </c>
      <c r="T1215" s="18" t="n">
        <f aca="false">P1215*INDEX(Parametros!$B$13:$B$16,MATCH($F1215,Parametros!$A$13:$A$16,0))</f>
        <v>276.34656</v>
      </c>
      <c r="U1215" s="21" t="n">
        <f aca="false">P1215-R1215-S1215-T1215</f>
        <v>1762.42944</v>
      </c>
      <c r="V1215" s="19" t="n">
        <f aca="false">IFERROR(U1215/P1215,0)</f>
        <v>0.255104234335322</v>
      </c>
      <c r="W1215" s="48" t="n">
        <f aca="false">B1215+INDEX(Parametros!$C$13:$C$16,MATCH($F1215,Parametros!$A$13:$A$16,0))</f>
        <v>46153</v>
      </c>
      <c r="X1215" s="31" t="s">
        <v>67</v>
      </c>
      <c r="Y1215" s="53" t="n">
        <f aca="false">IF(COUNTIF($A$2:$A1215,A1215)=1,1,0)</f>
        <v>1</v>
      </c>
    </row>
    <row r="1216" customFormat="false" ht="15" hidden="false" customHeight="false" outlineLevel="0" collapsed="false">
      <c r="A1216" s="31" t="s">
        <v>898</v>
      </c>
      <c r="B1216" s="36" t="n">
        <v>46078</v>
      </c>
      <c r="C1216" s="49" t="n">
        <f aca="false">DATE(YEAR(B1216),MONTH(B1216),1)</f>
        <v>46054</v>
      </c>
      <c r="D1216" s="31" t="s">
        <v>215</v>
      </c>
      <c r="E1216" s="31" t="s">
        <v>42</v>
      </c>
      <c r="F1216" s="31" t="s">
        <v>46</v>
      </c>
      <c r="G1216" s="31" t="s">
        <v>61</v>
      </c>
      <c r="H1216" s="31" t="s">
        <v>173</v>
      </c>
      <c r="I1216" s="32" t="str">
        <f aca="false">INDEX(Productos!$B$2:$B$13,MATCH($H1216,Productos!$A$2:$A$13,0))</f>
        <v>Tornillo DIN 933 M12x70 clase 8.8</v>
      </c>
      <c r="J1216" s="32" t="str">
        <f aca="false">INDEX(Productos!$C$2:$C$13,MATCH($H1216,Productos!$A$2:$A$13,0))</f>
        <v>Métrica</v>
      </c>
      <c r="K1216" s="31" t="s">
        <v>246</v>
      </c>
      <c r="L1216" s="46" t="n">
        <v>37</v>
      </c>
      <c r="M1216" s="50" t="n">
        <f aca="false">INDEX(Productos!$F$2:$F$13,MATCH($H1216,Productos!$A$2:$A$13,0))</f>
        <v>64</v>
      </c>
      <c r="N1216" s="51" t="n">
        <v>0.159</v>
      </c>
      <c r="O1216" s="52" t="n">
        <f aca="false">M1216*(1-N1216)</f>
        <v>53.824</v>
      </c>
      <c r="P1216" s="21" t="n">
        <f aca="false">L1216*O1216</f>
        <v>1991.488</v>
      </c>
      <c r="Q1216" s="50" t="n">
        <f aca="false">INDEX(Productos!$E$2:$E$13,MATCH($H1216,Productos!$A$2:$A$13,0))*INDEX(Parametros!$B$26:$B$43,MATCH($C1216,Parametros!$A$26:$A$43,0))</f>
        <v>34.17</v>
      </c>
      <c r="R1216" s="21" t="n">
        <f aca="false">L1216*Q1216</f>
        <v>1264.29</v>
      </c>
      <c r="S1216" s="18" t="n">
        <f aca="false">L1216*INDEX(Parametros!$B$20:$B$22,MATCH($E1216,Parametros!$A$20:$A$22,0))</f>
        <v>88.8</v>
      </c>
      <c r="T1216" s="18" t="n">
        <f aca="false">P1216*INDEX(Parametros!$B$13:$B$16,MATCH($F1216,Parametros!$A$13:$A$16,0))</f>
        <v>79.65952</v>
      </c>
      <c r="U1216" s="21" t="n">
        <f aca="false">P1216-R1216-S1216-T1216</f>
        <v>558.73848</v>
      </c>
      <c r="V1216" s="19" t="n">
        <f aca="false">IFERROR(U1216/P1216,0)</f>
        <v>0.280563317479191</v>
      </c>
      <c r="W1216" s="48" t="n">
        <f aca="false">B1216+INDEX(Parametros!$C$13:$C$16,MATCH($F1216,Parametros!$A$13:$A$16,0))</f>
        <v>46153</v>
      </c>
      <c r="X1216" s="31" t="s">
        <v>67</v>
      </c>
      <c r="Y1216" s="53" t="n">
        <f aca="false">IF(COUNTIF($A$2:$A1216,A1216)=1,1,0)</f>
        <v>0</v>
      </c>
    </row>
    <row r="1217" customFormat="false" ht="15" hidden="false" customHeight="false" outlineLevel="0" collapsed="false">
      <c r="A1217" s="31" t="s">
        <v>899</v>
      </c>
      <c r="B1217" s="36" t="n">
        <v>46081</v>
      </c>
      <c r="C1217" s="49" t="n">
        <f aca="false">DATE(YEAR(B1217),MONTH(B1217),1)</f>
        <v>46054</v>
      </c>
      <c r="D1217" s="31" t="s">
        <v>199</v>
      </c>
      <c r="E1217" s="31" t="s">
        <v>41</v>
      </c>
      <c r="F1217" s="31" t="s">
        <v>45</v>
      </c>
      <c r="G1217" s="31" t="s">
        <v>58</v>
      </c>
      <c r="H1217" s="31" t="s">
        <v>163</v>
      </c>
      <c r="I1217" s="32" t="str">
        <f aca="false">INDEX(Productos!$B$2:$B$13,MATCH($H1217,Productos!$A$2:$A$13,0))</f>
        <v>Tornillo DIN 933 M6x30 rosca completa zincado</v>
      </c>
      <c r="J1217" s="32" t="str">
        <f aca="false">INDEX(Productos!$C$2:$C$13,MATCH($H1217,Productos!$A$2:$A$13,0))</f>
        <v>Métrica</v>
      </c>
      <c r="K1217" s="31" t="s">
        <v>246</v>
      </c>
      <c r="L1217" s="46" t="n">
        <v>84</v>
      </c>
      <c r="M1217" s="50" t="n">
        <f aca="false">INDEX(Productos!$F$2:$F$13,MATCH($H1217,Productos!$A$2:$A$13,0))</f>
        <v>32</v>
      </c>
      <c r="N1217" s="51" t="n">
        <v>0.219</v>
      </c>
      <c r="O1217" s="52" t="n">
        <f aca="false">M1217*(1-N1217)</f>
        <v>24.992</v>
      </c>
      <c r="P1217" s="21" t="n">
        <f aca="false">L1217*O1217</f>
        <v>2099.328</v>
      </c>
      <c r="Q1217" s="50" t="n">
        <f aca="false">INDEX(Productos!$E$2:$E$13,MATCH($H1217,Productos!$A$2:$A$13,0))*INDEX(Parametros!$B$26:$B$43,MATCH($C1217,Parametros!$A$26:$A$43,0))</f>
        <v>16.932</v>
      </c>
      <c r="R1217" s="21" t="n">
        <f aca="false">L1217*Q1217</f>
        <v>1422.288</v>
      </c>
      <c r="S1217" s="18" t="n">
        <f aca="false">L1217*INDEX(Parametros!$B$20:$B$22,MATCH($E1217,Parametros!$A$20:$A$22,0))</f>
        <v>71.4</v>
      </c>
      <c r="T1217" s="18" t="n">
        <f aca="false">P1217*INDEX(Parametros!$B$13:$B$16,MATCH($F1217,Parametros!$A$13:$A$16,0))</f>
        <v>62.97984</v>
      </c>
      <c r="U1217" s="21" t="n">
        <f aca="false">P1217-R1217-S1217-T1217</f>
        <v>542.66016</v>
      </c>
      <c r="V1217" s="19" t="n">
        <f aca="false">IFERROR(U1217/P1217,0)</f>
        <v>0.258492317541613</v>
      </c>
      <c r="W1217" s="48" t="n">
        <f aca="false">B1217+INDEX(Parametros!$C$13:$C$16,MATCH($F1217,Parametros!$A$13:$A$16,0))</f>
        <v>46141</v>
      </c>
      <c r="X1217" s="31" t="s">
        <v>67</v>
      </c>
      <c r="Y1217" s="53" t="n">
        <f aca="false">IF(COUNTIF($A$2:$A1217,A1217)=1,1,0)</f>
        <v>1</v>
      </c>
    </row>
    <row r="1218" customFormat="false" ht="15" hidden="false" customHeight="false" outlineLevel="0" collapsed="false">
      <c r="A1218" s="31" t="s">
        <v>900</v>
      </c>
      <c r="B1218" s="36" t="n">
        <v>46083</v>
      </c>
      <c r="C1218" s="49" t="n">
        <f aca="false">DATE(YEAR(B1218),MONTH(B1218),1)</f>
        <v>46082</v>
      </c>
      <c r="D1218" s="31" t="s">
        <v>203</v>
      </c>
      <c r="E1218" s="31" t="s">
        <v>41</v>
      </c>
      <c r="F1218" s="31" t="s">
        <v>46</v>
      </c>
      <c r="G1218" s="31" t="s">
        <v>58</v>
      </c>
      <c r="H1218" s="31" t="s">
        <v>185</v>
      </c>
      <c r="I1218" s="32" t="str">
        <f aca="false">INDEX(Productos!$B$2:$B$13,MATCH($H1218,Productos!$A$2:$A$13,0))</f>
        <v>Varilla roscada M10 x 1 m zincada</v>
      </c>
      <c r="J1218" s="32" t="str">
        <f aca="false">INDEX(Productos!$C$2:$C$13,MATCH($H1218,Productos!$A$2:$A$13,0))</f>
        <v>Especial</v>
      </c>
      <c r="K1218" s="31" t="s">
        <v>275</v>
      </c>
      <c r="L1218" s="46" t="n">
        <v>-45</v>
      </c>
      <c r="M1218" s="50" t="n">
        <f aca="false">INDEX(Productos!$F$2:$F$13,MATCH($H1218,Productos!$A$2:$A$13,0))</f>
        <v>54</v>
      </c>
      <c r="N1218" s="51" t="n">
        <v>0.134</v>
      </c>
      <c r="O1218" s="52" t="n">
        <f aca="false">M1218*(1-N1218)</f>
        <v>46.764</v>
      </c>
      <c r="P1218" s="21" t="n">
        <f aca="false">L1218*O1218</f>
        <v>-2104.38</v>
      </c>
      <c r="Q1218" s="50" t="n">
        <f aca="false">INDEX(Productos!$E$2:$E$13,MATCH($H1218,Productos!$A$2:$A$13,0))*INDEX(Parametros!$B$26:$B$43,MATCH($C1218,Parametros!$A$26:$A$43,0))</f>
        <v>28.842</v>
      </c>
      <c r="R1218" s="21" t="n">
        <f aca="false">L1218*Q1218</f>
        <v>-1297.89</v>
      </c>
      <c r="S1218" s="18" t="n">
        <f aca="false">L1218*INDEX(Parametros!$B$20:$B$22,MATCH($E1218,Parametros!$A$20:$A$22,0))</f>
        <v>-38.25</v>
      </c>
      <c r="T1218" s="18" t="n">
        <f aca="false">P1218*INDEX(Parametros!$B$13:$B$16,MATCH($F1218,Parametros!$A$13:$A$16,0))</f>
        <v>-84.1752</v>
      </c>
      <c r="U1218" s="21" t="n">
        <f aca="false">P1218-R1218-S1218-T1218</f>
        <v>-684.0648</v>
      </c>
      <c r="V1218" s="19" t="n">
        <f aca="false">IFERROR(U1218/P1218,0)</f>
        <v>0.325067145667608</v>
      </c>
      <c r="W1218" s="48" t="n">
        <f aca="false">B1218+INDEX(Parametros!$C$13:$C$16,MATCH($F1218,Parametros!$A$13:$A$16,0))</f>
        <v>46158</v>
      </c>
      <c r="X1218" s="31" t="s">
        <v>67</v>
      </c>
      <c r="Y1218" s="53" t="n">
        <f aca="false">IF(COUNTIF($A$2:$A1218,A1218)=1,1,0)</f>
        <v>1</v>
      </c>
    </row>
    <row r="1219" customFormat="false" ht="15" hidden="false" customHeight="false" outlineLevel="0" collapsed="false">
      <c r="A1219" s="31" t="s">
        <v>900</v>
      </c>
      <c r="B1219" s="36" t="n">
        <v>46083</v>
      </c>
      <c r="C1219" s="49" t="n">
        <f aca="false">DATE(YEAR(B1219),MONTH(B1219),1)</f>
        <v>46082</v>
      </c>
      <c r="D1219" s="31" t="s">
        <v>203</v>
      </c>
      <c r="E1219" s="31" t="s">
        <v>41</v>
      </c>
      <c r="F1219" s="31" t="s">
        <v>46</v>
      </c>
      <c r="G1219" s="31" t="s">
        <v>58</v>
      </c>
      <c r="H1219" s="31" t="s">
        <v>169</v>
      </c>
      <c r="I1219" s="32" t="str">
        <f aca="false">INDEX(Productos!$B$2:$B$13,MATCH($H1219,Productos!$A$2:$A$13,0))</f>
        <v>Tornillo DIN 912 M10x60 Allen inox A2</v>
      </c>
      <c r="J1219" s="32" t="str">
        <f aca="false">INDEX(Productos!$C$2:$C$13,MATCH($H1219,Productos!$A$2:$A$13,0))</f>
        <v>Inoxidable</v>
      </c>
      <c r="K1219" s="31" t="s">
        <v>275</v>
      </c>
      <c r="L1219" s="46" t="n">
        <v>-23</v>
      </c>
      <c r="M1219" s="50" t="n">
        <f aca="false">INDEX(Productos!$F$2:$F$13,MATCH($H1219,Productos!$A$2:$A$13,0))</f>
        <v>79</v>
      </c>
      <c r="N1219" s="51" t="n">
        <v>0.139</v>
      </c>
      <c r="O1219" s="52" t="n">
        <f aca="false">M1219*(1-N1219)</f>
        <v>68.019</v>
      </c>
      <c r="P1219" s="21" t="n">
        <f aca="false">L1219*O1219</f>
        <v>-1564.437</v>
      </c>
      <c r="Q1219" s="50" t="n">
        <f aca="false">INDEX(Productos!$E$2:$E$13,MATCH($H1219,Productos!$A$2:$A$13,0))*INDEX(Parametros!$B$26:$B$43,MATCH($C1219,Parametros!$A$26:$A$43,0))</f>
        <v>42.504</v>
      </c>
      <c r="R1219" s="21" t="n">
        <f aca="false">L1219*Q1219</f>
        <v>-977.592</v>
      </c>
      <c r="S1219" s="18" t="n">
        <f aca="false">L1219*INDEX(Parametros!$B$20:$B$22,MATCH($E1219,Parametros!$A$20:$A$22,0))</f>
        <v>-19.55</v>
      </c>
      <c r="T1219" s="18" t="n">
        <f aca="false">P1219*INDEX(Parametros!$B$13:$B$16,MATCH($F1219,Parametros!$A$13:$A$16,0))</f>
        <v>-62.57748</v>
      </c>
      <c r="U1219" s="21" t="n">
        <f aca="false">P1219-R1219-S1219-T1219</f>
        <v>-504.71752</v>
      </c>
      <c r="V1219" s="19" t="n">
        <f aca="false">IFERROR(U1219/P1219,0)</f>
        <v>0.322619268145665</v>
      </c>
      <c r="W1219" s="48" t="n">
        <f aca="false">B1219+INDEX(Parametros!$C$13:$C$16,MATCH($F1219,Parametros!$A$13:$A$16,0))</f>
        <v>46158</v>
      </c>
      <c r="X1219" s="31" t="s">
        <v>67</v>
      </c>
      <c r="Y1219" s="53" t="n">
        <f aca="false">IF(COUNTIF($A$2:$A1219,A1219)=1,1,0)</f>
        <v>0</v>
      </c>
    </row>
    <row r="1220" customFormat="false" ht="15" hidden="false" customHeight="false" outlineLevel="0" collapsed="false">
      <c r="A1220" s="31" t="s">
        <v>901</v>
      </c>
      <c r="B1220" s="36" t="n">
        <v>46083</v>
      </c>
      <c r="C1220" s="49" t="n">
        <f aca="false">DATE(YEAR(B1220),MONTH(B1220),1)</f>
        <v>46082</v>
      </c>
      <c r="D1220" s="31" t="s">
        <v>210</v>
      </c>
      <c r="E1220" s="31" t="s">
        <v>41</v>
      </c>
      <c r="F1220" s="31" t="s">
        <v>48</v>
      </c>
      <c r="G1220" s="31" t="s">
        <v>60</v>
      </c>
      <c r="H1220" s="31" t="s">
        <v>177</v>
      </c>
      <c r="I1220" s="32" t="str">
        <f aca="false">INDEX(Productos!$B$2:$B$13,MATCH($H1220,Productos!$A$2:$A$13,0))</f>
        <v>Tirafondo madera 6x100 cabeza plana Torx</v>
      </c>
      <c r="J1220" s="32" t="str">
        <f aca="false">INDEX(Productos!$C$2:$C$13,MATCH($H1220,Productos!$A$2:$A$13,0))</f>
        <v>Madera</v>
      </c>
      <c r="K1220" s="31" t="s">
        <v>246</v>
      </c>
      <c r="L1220" s="46" t="n">
        <v>4</v>
      </c>
      <c r="M1220" s="50" t="n">
        <f aca="false">INDEX(Productos!$F$2:$F$13,MATCH($H1220,Productos!$A$2:$A$13,0))</f>
        <v>34</v>
      </c>
      <c r="N1220" s="51" t="n">
        <v>0.044</v>
      </c>
      <c r="O1220" s="52" t="n">
        <f aca="false">M1220*(1-N1220)</f>
        <v>32.504</v>
      </c>
      <c r="P1220" s="21" t="n">
        <f aca="false">L1220*O1220</f>
        <v>130.016</v>
      </c>
      <c r="Q1220" s="50" t="n">
        <f aca="false">INDEX(Productos!$E$2:$E$13,MATCH($H1220,Productos!$A$2:$A$13,0))*INDEX(Parametros!$B$26:$B$43,MATCH($C1220,Parametros!$A$26:$A$43,0))</f>
        <v>18.0136</v>
      </c>
      <c r="R1220" s="21" t="n">
        <f aca="false">L1220*Q1220</f>
        <v>72.0544</v>
      </c>
      <c r="S1220" s="18" t="n">
        <f aca="false">L1220*INDEX(Parametros!$B$20:$B$22,MATCH($E1220,Parametros!$A$20:$A$22,0))</f>
        <v>3.4</v>
      </c>
      <c r="T1220" s="18" t="n">
        <f aca="false">P1220*INDEX(Parametros!$B$13:$B$16,MATCH($F1220,Parametros!$A$13:$A$16,0))</f>
        <v>1.30016</v>
      </c>
      <c r="U1220" s="21" t="n">
        <f aca="false">P1220-R1220-S1220-T1220</f>
        <v>53.26144</v>
      </c>
      <c r="V1220" s="19" t="n">
        <f aca="false">IFERROR(U1220/P1220,0)</f>
        <v>0.409652965788826</v>
      </c>
      <c r="W1220" s="48" t="n">
        <f aca="false">B1220+INDEX(Parametros!$C$13:$C$16,MATCH($F1220,Parametros!$A$13:$A$16,0))</f>
        <v>46083</v>
      </c>
      <c r="X1220" s="31" t="s">
        <v>67</v>
      </c>
      <c r="Y1220" s="53" t="n">
        <f aca="false">IF(COUNTIF($A$2:$A1220,A1220)=1,1,0)</f>
        <v>1</v>
      </c>
    </row>
    <row r="1221" customFormat="false" ht="15" hidden="false" customHeight="false" outlineLevel="0" collapsed="false">
      <c r="A1221" s="31" t="s">
        <v>901</v>
      </c>
      <c r="B1221" s="36" t="n">
        <v>46083</v>
      </c>
      <c r="C1221" s="49" t="n">
        <f aca="false">DATE(YEAR(B1221),MONTH(B1221),1)</f>
        <v>46082</v>
      </c>
      <c r="D1221" s="31" t="s">
        <v>210</v>
      </c>
      <c r="E1221" s="31" t="s">
        <v>41</v>
      </c>
      <c r="F1221" s="31" t="s">
        <v>48</v>
      </c>
      <c r="G1221" s="31" t="s">
        <v>60</v>
      </c>
      <c r="H1221" s="31" t="s">
        <v>181</v>
      </c>
      <c r="I1221" s="32" t="str">
        <f aca="false">INDEX(Productos!$B$2:$B$13,MATCH($H1221,Productos!$A$2:$A$13,0))</f>
        <v>Autotaladrante 5,5x55 punta broca</v>
      </c>
      <c r="J1221" s="32" t="str">
        <f aca="false">INDEX(Productos!$C$2:$C$13,MATCH($H1221,Productos!$A$2:$A$13,0))</f>
        <v>Autotaladrante</v>
      </c>
      <c r="K1221" s="31" t="s">
        <v>246</v>
      </c>
      <c r="L1221" s="46" t="n">
        <v>9</v>
      </c>
      <c r="M1221" s="50" t="n">
        <f aca="false">INDEX(Productos!$F$2:$F$13,MATCH($H1221,Productos!$A$2:$A$13,0))</f>
        <v>39</v>
      </c>
      <c r="N1221" s="51" t="n">
        <v>0.021</v>
      </c>
      <c r="O1221" s="52" t="n">
        <f aca="false">M1221*(1-N1221)</f>
        <v>38.181</v>
      </c>
      <c r="P1221" s="21" t="n">
        <f aca="false">L1221*O1221</f>
        <v>343.629</v>
      </c>
      <c r="Q1221" s="50" t="n">
        <f aca="false">INDEX(Productos!$E$2:$E$13,MATCH($H1221,Productos!$A$2:$A$13,0))*INDEX(Parametros!$B$26:$B$43,MATCH($C1221,Parametros!$A$26:$A$43,0))</f>
        <v>20.5436</v>
      </c>
      <c r="R1221" s="21" t="n">
        <f aca="false">L1221*Q1221</f>
        <v>184.8924</v>
      </c>
      <c r="S1221" s="18" t="n">
        <f aca="false">L1221*INDEX(Parametros!$B$20:$B$22,MATCH($E1221,Parametros!$A$20:$A$22,0))</f>
        <v>7.65</v>
      </c>
      <c r="T1221" s="18" t="n">
        <f aca="false">P1221*INDEX(Parametros!$B$13:$B$16,MATCH($F1221,Parametros!$A$13:$A$16,0))</f>
        <v>3.43629</v>
      </c>
      <c r="U1221" s="21" t="n">
        <f aca="false">P1221-R1221-S1221-T1221</f>
        <v>147.65031</v>
      </c>
      <c r="V1221" s="19" t="n">
        <f aca="false">IFERROR(U1221/P1221,0)</f>
        <v>0.429679421701893</v>
      </c>
      <c r="W1221" s="48" t="n">
        <f aca="false">B1221+INDEX(Parametros!$C$13:$C$16,MATCH($F1221,Parametros!$A$13:$A$16,0))</f>
        <v>46083</v>
      </c>
      <c r="X1221" s="31" t="s">
        <v>67</v>
      </c>
      <c r="Y1221" s="53" t="n">
        <f aca="false">IF(COUNTIF($A$2:$A1221,A1221)=1,1,0)</f>
        <v>0</v>
      </c>
    </row>
    <row r="1222" customFormat="false" ht="15" hidden="false" customHeight="false" outlineLevel="0" collapsed="false">
      <c r="A1222" s="31" t="s">
        <v>902</v>
      </c>
      <c r="B1222" s="36" t="n">
        <v>46083</v>
      </c>
      <c r="C1222" s="49" t="n">
        <f aca="false">DATE(YEAR(B1222),MONTH(B1222),1)</f>
        <v>46082</v>
      </c>
      <c r="D1222" s="31" t="s">
        <v>202</v>
      </c>
      <c r="E1222" s="31" t="s">
        <v>41</v>
      </c>
      <c r="F1222" s="31" t="s">
        <v>46</v>
      </c>
      <c r="G1222" s="31" t="s">
        <v>62</v>
      </c>
      <c r="H1222" s="31" t="s">
        <v>183</v>
      </c>
      <c r="I1222" s="32" t="str">
        <f aca="false">INDEX(Productos!$B$2:$B$13,MATCH($H1222,Productos!$A$2:$A$13,0))</f>
        <v>Tornillo estructural M16x90 clase 10.9</v>
      </c>
      <c r="J1222" s="32" t="str">
        <f aca="false">INDEX(Productos!$C$2:$C$13,MATCH($H1222,Productos!$A$2:$A$13,0))</f>
        <v>Especial</v>
      </c>
      <c r="K1222" s="31" t="s">
        <v>246</v>
      </c>
      <c r="L1222" s="46" t="n">
        <v>257</v>
      </c>
      <c r="M1222" s="50" t="n">
        <f aca="false">INDEX(Productos!$F$2:$F$13,MATCH($H1222,Productos!$A$2:$A$13,0))</f>
        <v>112</v>
      </c>
      <c r="N1222" s="51" t="n">
        <v>0.107</v>
      </c>
      <c r="O1222" s="52" t="n">
        <f aca="false">M1222*(1-N1222)</f>
        <v>100.016</v>
      </c>
      <c r="P1222" s="21" t="n">
        <f aca="false">L1222*O1222</f>
        <v>25704.112</v>
      </c>
      <c r="Q1222" s="50" t="n">
        <f aca="false">INDEX(Productos!$E$2:$E$13,MATCH($H1222,Productos!$A$2:$A$13,0))*INDEX(Parametros!$B$26:$B$43,MATCH($C1222,Parametros!$A$26:$A$43,0))</f>
        <v>60.72</v>
      </c>
      <c r="R1222" s="21" t="n">
        <f aca="false">L1222*Q1222</f>
        <v>15605.04</v>
      </c>
      <c r="S1222" s="18" t="n">
        <f aca="false">L1222*INDEX(Parametros!$B$20:$B$22,MATCH($E1222,Parametros!$A$20:$A$22,0))</f>
        <v>218.45</v>
      </c>
      <c r="T1222" s="18" t="n">
        <f aca="false">P1222*INDEX(Parametros!$B$13:$B$16,MATCH($F1222,Parametros!$A$13:$A$16,0))</f>
        <v>1028.16448</v>
      </c>
      <c r="U1222" s="21" t="n">
        <f aca="false">P1222-R1222-S1222-T1222</f>
        <v>8852.45752</v>
      </c>
      <c r="V1222" s="19" t="n">
        <f aca="false">IFERROR(U1222/P1222,0)</f>
        <v>0.344398496240602</v>
      </c>
      <c r="W1222" s="48" t="n">
        <f aca="false">B1222+INDEX(Parametros!$C$13:$C$16,MATCH($F1222,Parametros!$A$13:$A$16,0))</f>
        <v>46158</v>
      </c>
      <c r="X1222" s="31" t="s">
        <v>67</v>
      </c>
      <c r="Y1222" s="53" t="n">
        <f aca="false">IF(COUNTIF($A$2:$A1222,A1222)=1,1,0)</f>
        <v>1</v>
      </c>
    </row>
    <row r="1223" customFormat="false" ht="15" hidden="false" customHeight="false" outlineLevel="0" collapsed="false">
      <c r="A1223" s="31" t="s">
        <v>903</v>
      </c>
      <c r="B1223" s="36" t="n">
        <v>46083</v>
      </c>
      <c r="C1223" s="49" t="n">
        <f aca="false">DATE(YEAR(B1223),MONTH(B1223),1)</f>
        <v>46082</v>
      </c>
      <c r="D1223" s="31" t="s">
        <v>219</v>
      </c>
      <c r="E1223" s="31" t="s">
        <v>42</v>
      </c>
      <c r="F1223" s="31" t="s">
        <v>45</v>
      </c>
      <c r="G1223" s="31" t="s">
        <v>61</v>
      </c>
      <c r="H1223" s="31" t="s">
        <v>171</v>
      </c>
      <c r="I1223" s="32" t="str">
        <f aca="false">INDEX(Productos!$B$2:$B$13,MATCH($H1223,Productos!$A$2:$A$13,0))</f>
        <v>Tornillo DIN 7991 M8x30 avellanado inox A2</v>
      </c>
      <c r="J1223" s="32" t="str">
        <f aca="false">INDEX(Productos!$C$2:$C$13,MATCH($H1223,Productos!$A$2:$A$13,0))</f>
        <v>Inoxidable</v>
      </c>
      <c r="K1223" s="31" t="s">
        <v>246</v>
      </c>
      <c r="L1223" s="46" t="n">
        <v>208</v>
      </c>
      <c r="M1223" s="50" t="n">
        <f aca="false">INDEX(Productos!$F$2:$F$13,MATCH($H1223,Productos!$A$2:$A$13,0))</f>
        <v>88</v>
      </c>
      <c r="N1223" s="51" t="n">
        <v>0.149</v>
      </c>
      <c r="O1223" s="52" t="n">
        <f aca="false">M1223*(1-N1223)</f>
        <v>74.888</v>
      </c>
      <c r="P1223" s="21" t="n">
        <f aca="false">L1223*O1223</f>
        <v>15576.704</v>
      </c>
      <c r="Q1223" s="50" t="n">
        <f aca="false">INDEX(Productos!$E$2:$E$13,MATCH($H1223,Productos!$A$2:$A$13,0))*INDEX(Parametros!$B$26:$B$43,MATCH($C1223,Parametros!$A$26:$A$43,0))</f>
        <v>47.058</v>
      </c>
      <c r="R1223" s="21" t="n">
        <f aca="false">L1223*Q1223</f>
        <v>9788.064</v>
      </c>
      <c r="S1223" s="18" t="n">
        <f aca="false">L1223*INDEX(Parametros!$B$20:$B$22,MATCH($E1223,Parametros!$A$20:$A$22,0))</f>
        <v>499.2</v>
      </c>
      <c r="T1223" s="18" t="n">
        <f aca="false">P1223*INDEX(Parametros!$B$13:$B$16,MATCH($F1223,Parametros!$A$13:$A$16,0))</f>
        <v>467.30112</v>
      </c>
      <c r="U1223" s="21" t="n">
        <f aca="false">P1223-R1223-S1223-T1223</f>
        <v>4822.13888</v>
      </c>
      <c r="V1223" s="19" t="n">
        <f aca="false">IFERROR(U1223/P1223,0)</f>
        <v>0.309573763486807</v>
      </c>
      <c r="W1223" s="48" t="n">
        <f aca="false">B1223+INDEX(Parametros!$C$13:$C$16,MATCH($F1223,Parametros!$A$13:$A$16,0))</f>
        <v>46143</v>
      </c>
      <c r="X1223" s="31" t="s">
        <v>67</v>
      </c>
      <c r="Y1223" s="53" t="n">
        <f aca="false">IF(COUNTIF($A$2:$A1223,A1223)=1,1,0)</f>
        <v>1</v>
      </c>
    </row>
    <row r="1224" customFormat="false" ht="15" hidden="false" customHeight="false" outlineLevel="0" collapsed="false">
      <c r="A1224" s="31" t="s">
        <v>903</v>
      </c>
      <c r="B1224" s="36" t="n">
        <v>46083</v>
      </c>
      <c r="C1224" s="49" t="n">
        <f aca="false">DATE(YEAR(B1224),MONTH(B1224),1)</f>
        <v>46082</v>
      </c>
      <c r="D1224" s="31" t="s">
        <v>219</v>
      </c>
      <c r="E1224" s="31" t="s">
        <v>42</v>
      </c>
      <c r="F1224" s="31" t="s">
        <v>45</v>
      </c>
      <c r="G1224" s="31" t="s">
        <v>61</v>
      </c>
      <c r="H1224" s="31" t="s">
        <v>163</v>
      </c>
      <c r="I1224" s="32" t="str">
        <f aca="false">INDEX(Productos!$B$2:$B$13,MATCH($H1224,Productos!$A$2:$A$13,0))</f>
        <v>Tornillo DIN 933 M6x30 rosca completa zincado</v>
      </c>
      <c r="J1224" s="32" t="str">
        <f aca="false">INDEX(Productos!$C$2:$C$13,MATCH($H1224,Productos!$A$2:$A$13,0))</f>
        <v>Métrica</v>
      </c>
      <c r="K1224" s="31" t="s">
        <v>246</v>
      </c>
      <c r="L1224" s="46" t="n">
        <v>34</v>
      </c>
      <c r="M1224" s="50" t="n">
        <f aca="false">INDEX(Productos!$F$2:$F$13,MATCH($H1224,Productos!$A$2:$A$13,0))</f>
        <v>32</v>
      </c>
      <c r="N1224" s="51" t="n">
        <v>0.194</v>
      </c>
      <c r="O1224" s="52" t="n">
        <f aca="false">M1224*(1-N1224)</f>
        <v>25.792</v>
      </c>
      <c r="P1224" s="21" t="n">
        <f aca="false">L1224*O1224</f>
        <v>876.928</v>
      </c>
      <c r="Q1224" s="50" t="n">
        <f aca="false">INDEX(Productos!$E$2:$E$13,MATCH($H1224,Productos!$A$2:$A$13,0))*INDEX(Parametros!$B$26:$B$43,MATCH($C1224,Parametros!$A$26:$A$43,0))</f>
        <v>16.7992</v>
      </c>
      <c r="R1224" s="21" t="n">
        <f aca="false">L1224*Q1224</f>
        <v>571.1728</v>
      </c>
      <c r="S1224" s="18" t="n">
        <f aca="false">L1224*INDEX(Parametros!$B$20:$B$22,MATCH($E1224,Parametros!$A$20:$A$22,0))</f>
        <v>81.6</v>
      </c>
      <c r="T1224" s="18" t="n">
        <f aca="false">P1224*INDEX(Parametros!$B$13:$B$16,MATCH($F1224,Parametros!$A$13:$A$16,0))</f>
        <v>26.30784</v>
      </c>
      <c r="U1224" s="21" t="n">
        <f aca="false">P1224-R1224-S1224-T1224</f>
        <v>197.84736</v>
      </c>
      <c r="V1224" s="19" t="n">
        <f aca="false">IFERROR(U1224/P1224,0)</f>
        <v>0.225614143920596</v>
      </c>
      <c r="W1224" s="48" t="n">
        <f aca="false">B1224+INDEX(Parametros!$C$13:$C$16,MATCH($F1224,Parametros!$A$13:$A$16,0))</f>
        <v>46143</v>
      </c>
      <c r="X1224" s="31" t="s">
        <v>67</v>
      </c>
      <c r="Y1224" s="53" t="n">
        <f aca="false">IF(COUNTIF($A$2:$A1224,A1224)=1,1,0)</f>
        <v>0</v>
      </c>
    </row>
    <row r="1225" customFormat="false" ht="15" hidden="false" customHeight="false" outlineLevel="0" collapsed="false">
      <c r="A1225" s="31" t="s">
        <v>903</v>
      </c>
      <c r="B1225" s="36" t="n">
        <v>46083</v>
      </c>
      <c r="C1225" s="49" t="n">
        <f aca="false">DATE(YEAR(B1225),MONTH(B1225),1)</f>
        <v>46082</v>
      </c>
      <c r="D1225" s="31" t="s">
        <v>219</v>
      </c>
      <c r="E1225" s="31" t="s">
        <v>42</v>
      </c>
      <c r="F1225" s="31" t="s">
        <v>45</v>
      </c>
      <c r="G1225" s="31" t="s">
        <v>61</v>
      </c>
      <c r="H1225" s="31" t="s">
        <v>173</v>
      </c>
      <c r="I1225" s="32" t="str">
        <f aca="false">INDEX(Productos!$B$2:$B$13,MATCH($H1225,Productos!$A$2:$A$13,0))</f>
        <v>Tornillo DIN 933 M12x70 clase 8.8</v>
      </c>
      <c r="J1225" s="32" t="str">
        <f aca="false">INDEX(Productos!$C$2:$C$13,MATCH($H1225,Productos!$A$2:$A$13,0))</f>
        <v>Métrica</v>
      </c>
      <c r="K1225" s="31" t="s">
        <v>246</v>
      </c>
      <c r="L1225" s="46" t="n">
        <v>48</v>
      </c>
      <c r="M1225" s="50" t="n">
        <f aca="false">INDEX(Productos!$F$2:$F$13,MATCH($H1225,Productos!$A$2:$A$13,0))</f>
        <v>64</v>
      </c>
      <c r="N1225" s="51" t="n">
        <v>0.141</v>
      </c>
      <c r="O1225" s="52" t="n">
        <f aca="false">M1225*(1-N1225)</f>
        <v>54.976</v>
      </c>
      <c r="P1225" s="21" t="n">
        <f aca="false">L1225*O1225</f>
        <v>2638.848</v>
      </c>
      <c r="Q1225" s="50" t="n">
        <f aca="false">INDEX(Productos!$E$2:$E$13,MATCH($H1225,Productos!$A$2:$A$13,0))*INDEX(Parametros!$B$26:$B$43,MATCH($C1225,Parametros!$A$26:$A$43,0))</f>
        <v>33.902</v>
      </c>
      <c r="R1225" s="21" t="n">
        <f aca="false">L1225*Q1225</f>
        <v>1627.296</v>
      </c>
      <c r="S1225" s="18" t="n">
        <f aca="false">L1225*INDEX(Parametros!$B$20:$B$22,MATCH($E1225,Parametros!$A$20:$A$22,0))</f>
        <v>115.2</v>
      </c>
      <c r="T1225" s="18" t="n">
        <f aca="false">P1225*INDEX(Parametros!$B$13:$B$16,MATCH($F1225,Parametros!$A$13:$A$16,0))</f>
        <v>79.16544</v>
      </c>
      <c r="U1225" s="21" t="n">
        <f aca="false">P1225-R1225-S1225-T1225</f>
        <v>817.18656</v>
      </c>
      <c r="V1225" s="19" t="n">
        <f aca="false">IFERROR(U1225/P1225,0)</f>
        <v>0.30967549476135</v>
      </c>
      <c r="W1225" s="48" t="n">
        <f aca="false">B1225+INDEX(Parametros!$C$13:$C$16,MATCH($F1225,Parametros!$A$13:$A$16,0))</f>
        <v>46143</v>
      </c>
      <c r="X1225" s="31" t="s">
        <v>67</v>
      </c>
      <c r="Y1225" s="53" t="n">
        <f aca="false">IF(COUNTIF($A$2:$A1225,A1225)=1,1,0)</f>
        <v>0</v>
      </c>
    </row>
    <row r="1226" customFormat="false" ht="15" hidden="false" customHeight="false" outlineLevel="0" collapsed="false">
      <c r="A1226" s="31" t="s">
        <v>904</v>
      </c>
      <c r="B1226" s="36" t="n">
        <v>46083</v>
      </c>
      <c r="C1226" s="49" t="n">
        <f aca="false">DATE(YEAR(B1226),MONTH(B1226),1)</f>
        <v>46082</v>
      </c>
      <c r="D1226" s="31" t="s">
        <v>213</v>
      </c>
      <c r="E1226" s="31" t="s">
        <v>42</v>
      </c>
      <c r="F1226" s="31" t="s">
        <v>46</v>
      </c>
      <c r="G1226" s="31" t="s">
        <v>61</v>
      </c>
      <c r="H1226" s="31" t="s">
        <v>173</v>
      </c>
      <c r="I1226" s="32" t="str">
        <f aca="false">INDEX(Productos!$B$2:$B$13,MATCH($H1226,Productos!$A$2:$A$13,0))</f>
        <v>Tornillo DIN 933 M12x70 clase 8.8</v>
      </c>
      <c r="J1226" s="32" t="str">
        <f aca="false">INDEX(Productos!$C$2:$C$13,MATCH($H1226,Productos!$A$2:$A$13,0))</f>
        <v>Métrica</v>
      </c>
      <c r="K1226" s="31" t="s">
        <v>246</v>
      </c>
      <c r="L1226" s="46" t="n">
        <v>129</v>
      </c>
      <c r="M1226" s="50" t="n">
        <f aca="false">INDEX(Productos!$F$2:$F$13,MATCH($H1226,Productos!$A$2:$A$13,0))</f>
        <v>64</v>
      </c>
      <c r="N1226" s="51" t="n">
        <v>0.134</v>
      </c>
      <c r="O1226" s="52" t="n">
        <f aca="false">M1226*(1-N1226)</f>
        <v>55.424</v>
      </c>
      <c r="P1226" s="21" t="n">
        <f aca="false">L1226*O1226</f>
        <v>7149.696</v>
      </c>
      <c r="Q1226" s="50" t="n">
        <f aca="false">INDEX(Productos!$E$2:$E$13,MATCH($H1226,Productos!$A$2:$A$13,0))*INDEX(Parametros!$B$26:$B$43,MATCH($C1226,Parametros!$A$26:$A$43,0))</f>
        <v>33.902</v>
      </c>
      <c r="R1226" s="21" t="n">
        <f aca="false">L1226*Q1226</f>
        <v>4373.358</v>
      </c>
      <c r="S1226" s="18" t="n">
        <f aca="false">L1226*INDEX(Parametros!$B$20:$B$22,MATCH($E1226,Parametros!$A$20:$A$22,0))</f>
        <v>309.6</v>
      </c>
      <c r="T1226" s="18" t="n">
        <f aca="false">P1226*INDEX(Parametros!$B$13:$B$16,MATCH($F1226,Parametros!$A$13:$A$16,0))</f>
        <v>285.98784</v>
      </c>
      <c r="U1226" s="21" t="n">
        <f aca="false">P1226-R1226-S1226-T1226</f>
        <v>2180.75016</v>
      </c>
      <c r="V1226" s="19" t="n">
        <f aca="false">IFERROR(U1226/P1226,0)</f>
        <v>0.305012990762125</v>
      </c>
      <c r="W1226" s="48" t="n">
        <f aca="false">B1226+INDEX(Parametros!$C$13:$C$16,MATCH($F1226,Parametros!$A$13:$A$16,0))</f>
        <v>46158</v>
      </c>
      <c r="X1226" s="31" t="s">
        <v>67</v>
      </c>
      <c r="Y1226" s="53" t="n">
        <f aca="false">IF(COUNTIF($A$2:$A1226,A1226)=1,1,0)</f>
        <v>1</v>
      </c>
    </row>
    <row r="1227" customFormat="false" ht="15" hidden="false" customHeight="false" outlineLevel="0" collapsed="false">
      <c r="A1227" s="31" t="s">
        <v>904</v>
      </c>
      <c r="B1227" s="36" t="n">
        <v>46083</v>
      </c>
      <c r="C1227" s="49" t="n">
        <f aca="false">DATE(YEAR(B1227),MONTH(B1227),1)</f>
        <v>46082</v>
      </c>
      <c r="D1227" s="31" t="s">
        <v>213</v>
      </c>
      <c r="E1227" s="31" t="s">
        <v>42</v>
      </c>
      <c r="F1227" s="31" t="s">
        <v>46</v>
      </c>
      <c r="G1227" s="31" t="s">
        <v>61</v>
      </c>
      <c r="H1227" s="31" t="s">
        <v>181</v>
      </c>
      <c r="I1227" s="32" t="str">
        <f aca="false">INDEX(Productos!$B$2:$B$13,MATCH($H1227,Productos!$A$2:$A$13,0))</f>
        <v>Autotaladrante 5,5x55 punta broca</v>
      </c>
      <c r="J1227" s="32" t="str">
        <f aca="false">INDEX(Productos!$C$2:$C$13,MATCH($H1227,Productos!$A$2:$A$13,0))</f>
        <v>Autotaladrante</v>
      </c>
      <c r="K1227" s="31" t="s">
        <v>246</v>
      </c>
      <c r="L1227" s="46" t="n">
        <v>28</v>
      </c>
      <c r="M1227" s="50" t="n">
        <f aca="false">INDEX(Productos!$F$2:$F$13,MATCH($H1227,Productos!$A$2:$A$13,0))</f>
        <v>39</v>
      </c>
      <c r="N1227" s="51" t="n">
        <v>0.11</v>
      </c>
      <c r="O1227" s="52" t="n">
        <f aca="false">M1227*(1-N1227)</f>
        <v>34.71</v>
      </c>
      <c r="P1227" s="21" t="n">
        <f aca="false">L1227*O1227</f>
        <v>971.88</v>
      </c>
      <c r="Q1227" s="50" t="n">
        <f aca="false">INDEX(Productos!$E$2:$E$13,MATCH($H1227,Productos!$A$2:$A$13,0))*INDEX(Parametros!$B$26:$B$43,MATCH($C1227,Parametros!$A$26:$A$43,0))</f>
        <v>20.5436</v>
      </c>
      <c r="R1227" s="21" t="n">
        <f aca="false">L1227*Q1227</f>
        <v>575.2208</v>
      </c>
      <c r="S1227" s="18" t="n">
        <f aca="false">L1227*INDEX(Parametros!$B$20:$B$22,MATCH($E1227,Parametros!$A$20:$A$22,0))</f>
        <v>67.2</v>
      </c>
      <c r="T1227" s="18" t="n">
        <f aca="false">P1227*INDEX(Parametros!$B$13:$B$16,MATCH($F1227,Parametros!$A$13:$A$16,0))</f>
        <v>38.8752</v>
      </c>
      <c r="U1227" s="21" t="n">
        <f aca="false">P1227-R1227-S1227-T1227</f>
        <v>290.584</v>
      </c>
      <c r="V1227" s="19" t="n">
        <f aca="false">IFERROR(U1227/P1227,0)</f>
        <v>0.298991645059061</v>
      </c>
      <c r="W1227" s="48" t="n">
        <f aca="false">B1227+INDEX(Parametros!$C$13:$C$16,MATCH($F1227,Parametros!$A$13:$A$16,0))</f>
        <v>46158</v>
      </c>
      <c r="X1227" s="31" t="s">
        <v>67</v>
      </c>
      <c r="Y1227" s="53" t="n">
        <f aca="false">IF(COUNTIF($A$2:$A1227,A1227)=1,1,0)</f>
        <v>0</v>
      </c>
    </row>
    <row r="1228" customFormat="false" ht="15" hidden="false" customHeight="false" outlineLevel="0" collapsed="false">
      <c r="A1228" s="31" t="s">
        <v>905</v>
      </c>
      <c r="B1228" s="36" t="n">
        <v>46083</v>
      </c>
      <c r="C1228" s="49" t="n">
        <f aca="false">DATE(YEAR(B1228),MONTH(B1228),1)</f>
        <v>46082</v>
      </c>
      <c r="D1228" s="31" t="s">
        <v>226</v>
      </c>
      <c r="E1228" s="31" t="s">
        <v>43</v>
      </c>
      <c r="F1228" s="31" t="s">
        <v>46</v>
      </c>
      <c r="G1228" s="31" t="s">
        <v>59</v>
      </c>
      <c r="H1228" s="31" t="s">
        <v>167</v>
      </c>
      <c r="I1228" s="32" t="str">
        <f aca="false">INDEX(Productos!$B$2:$B$13,MATCH($H1228,Productos!$A$2:$A$13,0))</f>
        <v>Tornillo DIN 912 M6x25 Allen zincado</v>
      </c>
      <c r="J1228" s="32" t="str">
        <f aca="false">INDEX(Productos!$C$2:$C$13,MATCH($H1228,Productos!$A$2:$A$13,0))</f>
        <v>Métrica</v>
      </c>
      <c r="K1228" s="31" t="s">
        <v>246</v>
      </c>
      <c r="L1228" s="46" t="n">
        <v>35</v>
      </c>
      <c r="M1228" s="50" t="n">
        <f aca="false">INDEX(Productos!$F$2:$F$13,MATCH($H1228,Productos!$A$2:$A$13,0))</f>
        <v>42</v>
      </c>
      <c r="N1228" s="51" t="n">
        <v>0.127</v>
      </c>
      <c r="O1228" s="52" t="n">
        <f aca="false">M1228*(1-N1228)</f>
        <v>36.666</v>
      </c>
      <c r="P1228" s="21" t="n">
        <f aca="false">L1228*O1228</f>
        <v>1283.31</v>
      </c>
      <c r="Q1228" s="50" t="n">
        <f aca="false">INDEX(Productos!$E$2:$E$13,MATCH($H1228,Productos!$A$2:$A$13,0))*INDEX(Parametros!$B$26:$B$43,MATCH($C1228,Parametros!$A$26:$A$43,0))</f>
        <v>22.0616</v>
      </c>
      <c r="R1228" s="21" t="n">
        <f aca="false">L1228*Q1228</f>
        <v>772.156</v>
      </c>
      <c r="S1228" s="18" t="n">
        <f aca="false">L1228*INDEX(Parametros!$B$20:$B$22,MATCH($E1228,Parametros!$A$20:$A$22,0))</f>
        <v>66.5</v>
      </c>
      <c r="T1228" s="18" t="n">
        <f aca="false">P1228*INDEX(Parametros!$B$13:$B$16,MATCH($F1228,Parametros!$A$13:$A$16,0))</f>
        <v>51.3324</v>
      </c>
      <c r="U1228" s="21" t="n">
        <f aca="false">P1228-R1228-S1228-T1228</f>
        <v>393.3216</v>
      </c>
      <c r="V1228" s="19" t="n">
        <f aca="false">IFERROR(U1228/P1228,0)</f>
        <v>0.306489936180658</v>
      </c>
      <c r="W1228" s="48" t="n">
        <f aca="false">B1228+INDEX(Parametros!$C$13:$C$16,MATCH($F1228,Parametros!$A$13:$A$16,0))</f>
        <v>46158</v>
      </c>
      <c r="X1228" s="31" t="s">
        <v>67</v>
      </c>
      <c r="Y1228" s="53" t="n">
        <f aca="false">IF(COUNTIF($A$2:$A1228,A1228)=1,1,0)</f>
        <v>1</v>
      </c>
    </row>
    <row r="1229" customFormat="false" ht="15" hidden="false" customHeight="false" outlineLevel="0" collapsed="false">
      <c r="A1229" s="31" t="s">
        <v>906</v>
      </c>
      <c r="B1229" s="36" t="n">
        <v>46083</v>
      </c>
      <c r="C1229" s="49" t="n">
        <f aca="false">DATE(YEAR(B1229),MONTH(B1229),1)</f>
        <v>46082</v>
      </c>
      <c r="D1229" s="31" t="s">
        <v>204</v>
      </c>
      <c r="E1229" s="31" t="s">
        <v>41</v>
      </c>
      <c r="F1229" s="31" t="s">
        <v>47</v>
      </c>
      <c r="G1229" s="31" t="s">
        <v>62</v>
      </c>
      <c r="H1229" s="31" t="s">
        <v>183</v>
      </c>
      <c r="I1229" s="32" t="str">
        <f aca="false">INDEX(Productos!$B$2:$B$13,MATCH($H1229,Productos!$A$2:$A$13,0))</f>
        <v>Tornillo estructural M16x90 clase 10.9</v>
      </c>
      <c r="J1229" s="32" t="str">
        <f aca="false">INDEX(Productos!$C$2:$C$13,MATCH($H1229,Productos!$A$2:$A$13,0))</f>
        <v>Especial</v>
      </c>
      <c r="K1229" s="31" t="s">
        <v>246</v>
      </c>
      <c r="L1229" s="46" t="n">
        <v>18</v>
      </c>
      <c r="M1229" s="50" t="n">
        <f aca="false">INDEX(Productos!$F$2:$F$13,MATCH($H1229,Productos!$A$2:$A$13,0))</f>
        <v>112</v>
      </c>
      <c r="N1229" s="51" t="n">
        <v>0.075</v>
      </c>
      <c r="O1229" s="52" t="n">
        <f aca="false">M1229*(1-N1229)</f>
        <v>103.6</v>
      </c>
      <c r="P1229" s="21" t="n">
        <f aca="false">L1229*O1229</f>
        <v>1864.8</v>
      </c>
      <c r="Q1229" s="50" t="n">
        <f aca="false">INDEX(Productos!$E$2:$E$13,MATCH($H1229,Productos!$A$2:$A$13,0))*INDEX(Parametros!$B$26:$B$43,MATCH($C1229,Parametros!$A$26:$A$43,0))</f>
        <v>60.72</v>
      </c>
      <c r="R1229" s="21" t="n">
        <f aca="false">L1229*Q1229</f>
        <v>1092.96</v>
      </c>
      <c r="S1229" s="18" t="n">
        <f aca="false">L1229*INDEX(Parametros!$B$20:$B$22,MATCH($E1229,Parametros!$A$20:$A$22,0))</f>
        <v>15.3</v>
      </c>
      <c r="T1229" s="18" t="n">
        <f aca="false">P1229*INDEX(Parametros!$B$13:$B$16,MATCH($F1229,Parametros!$A$13:$A$16,0))</f>
        <v>65.268</v>
      </c>
      <c r="U1229" s="21" t="n">
        <f aca="false">P1229-R1229-S1229-T1229</f>
        <v>691.272</v>
      </c>
      <c r="V1229" s="19" t="n">
        <f aca="false">IFERROR(U1229/P1229,0)</f>
        <v>0.370694980694981</v>
      </c>
      <c r="W1229" s="48" t="n">
        <f aca="false">B1229+INDEX(Parametros!$C$13:$C$16,MATCH($F1229,Parametros!$A$13:$A$16,0))</f>
        <v>46128</v>
      </c>
      <c r="X1229" s="31" t="s">
        <v>67</v>
      </c>
      <c r="Y1229" s="53" t="n">
        <f aca="false">IF(COUNTIF($A$2:$A1229,A1229)=1,1,0)</f>
        <v>1</v>
      </c>
    </row>
    <row r="1230" customFormat="false" ht="15" hidden="false" customHeight="false" outlineLevel="0" collapsed="false">
      <c r="A1230" s="31" t="s">
        <v>906</v>
      </c>
      <c r="B1230" s="36" t="n">
        <v>46083</v>
      </c>
      <c r="C1230" s="49" t="n">
        <f aca="false">DATE(YEAR(B1230),MONTH(B1230),1)</f>
        <v>46082</v>
      </c>
      <c r="D1230" s="31" t="s">
        <v>204</v>
      </c>
      <c r="E1230" s="31" t="s">
        <v>41</v>
      </c>
      <c r="F1230" s="31" t="s">
        <v>47</v>
      </c>
      <c r="G1230" s="31" t="s">
        <v>62</v>
      </c>
      <c r="H1230" s="31" t="s">
        <v>177</v>
      </c>
      <c r="I1230" s="32" t="str">
        <f aca="false">INDEX(Productos!$B$2:$B$13,MATCH($H1230,Productos!$A$2:$A$13,0))</f>
        <v>Tirafondo madera 6x100 cabeza plana Torx</v>
      </c>
      <c r="J1230" s="32" t="str">
        <f aca="false">INDEX(Productos!$C$2:$C$13,MATCH($H1230,Productos!$A$2:$A$13,0))</f>
        <v>Madera</v>
      </c>
      <c r="K1230" s="31" t="s">
        <v>246</v>
      </c>
      <c r="L1230" s="46" t="n">
        <v>48</v>
      </c>
      <c r="M1230" s="50" t="n">
        <f aca="false">INDEX(Productos!$F$2:$F$13,MATCH($H1230,Productos!$A$2:$A$13,0))</f>
        <v>34</v>
      </c>
      <c r="N1230" s="51" t="n">
        <v>0.031</v>
      </c>
      <c r="O1230" s="52" t="n">
        <f aca="false">M1230*(1-N1230)</f>
        <v>32.946</v>
      </c>
      <c r="P1230" s="21" t="n">
        <f aca="false">L1230*O1230</f>
        <v>1581.408</v>
      </c>
      <c r="Q1230" s="50" t="n">
        <f aca="false">INDEX(Productos!$E$2:$E$13,MATCH($H1230,Productos!$A$2:$A$13,0))*INDEX(Parametros!$B$26:$B$43,MATCH($C1230,Parametros!$A$26:$A$43,0))</f>
        <v>18.0136</v>
      </c>
      <c r="R1230" s="21" t="n">
        <f aca="false">L1230*Q1230</f>
        <v>864.6528</v>
      </c>
      <c r="S1230" s="18" t="n">
        <f aca="false">L1230*INDEX(Parametros!$B$20:$B$22,MATCH($E1230,Parametros!$A$20:$A$22,0))</f>
        <v>40.8</v>
      </c>
      <c r="T1230" s="18" t="n">
        <f aca="false">P1230*INDEX(Parametros!$B$13:$B$16,MATCH($F1230,Parametros!$A$13:$A$16,0))</f>
        <v>55.34928</v>
      </c>
      <c r="U1230" s="21" t="n">
        <f aca="false">P1230-R1230-S1230-T1230</f>
        <v>620.60592</v>
      </c>
      <c r="V1230" s="19" t="n">
        <f aca="false">IFERROR(U1230/P1230,0)</f>
        <v>0.392438839312815</v>
      </c>
      <c r="W1230" s="48" t="n">
        <f aca="false">B1230+INDEX(Parametros!$C$13:$C$16,MATCH($F1230,Parametros!$A$13:$A$16,0))</f>
        <v>46128</v>
      </c>
      <c r="X1230" s="31" t="s">
        <v>67</v>
      </c>
      <c r="Y1230" s="53" t="n">
        <f aca="false">IF(COUNTIF($A$2:$A1230,A1230)=1,1,0)</f>
        <v>0</v>
      </c>
    </row>
    <row r="1231" customFormat="false" ht="15" hidden="false" customHeight="false" outlineLevel="0" collapsed="false">
      <c r="A1231" s="31" t="s">
        <v>906</v>
      </c>
      <c r="B1231" s="36" t="n">
        <v>46083</v>
      </c>
      <c r="C1231" s="49" t="n">
        <f aca="false">DATE(YEAR(B1231),MONTH(B1231),1)</f>
        <v>46082</v>
      </c>
      <c r="D1231" s="31" t="s">
        <v>204</v>
      </c>
      <c r="E1231" s="31" t="s">
        <v>41</v>
      </c>
      <c r="F1231" s="31" t="s">
        <v>47</v>
      </c>
      <c r="G1231" s="31" t="s">
        <v>62</v>
      </c>
      <c r="H1231" s="31" t="s">
        <v>175</v>
      </c>
      <c r="I1231" s="32" t="str">
        <f aca="false">INDEX(Productos!$B$2:$B$13,MATCH($H1231,Productos!$A$2:$A$13,0))</f>
        <v>Tirafondo madera 5x60 cabeza plana Torx</v>
      </c>
      <c r="J1231" s="32" t="str">
        <f aca="false">INDEX(Productos!$C$2:$C$13,MATCH($H1231,Productos!$A$2:$A$13,0))</f>
        <v>Madera</v>
      </c>
      <c r="K1231" s="31" t="s">
        <v>246</v>
      </c>
      <c r="L1231" s="46" t="n">
        <v>62</v>
      </c>
      <c r="M1231" s="50" t="n">
        <f aca="false">INDEX(Productos!$F$2:$F$13,MATCH($H1231,Productos!$A$2:$A$13,0))</f>
        <v>26</v>
      </c>
      <c r="N1231" s="51" t="n">
        <v>0.06</v>
      </c>
      <c r="O1231" s="52" t="n">
        <f aca="false">M1231*(1-N1231)</f>
        <v>24.44</v>
      </c>
      <c r="P1231" s="21" t="n">
        <f aca="false">L1231*O1231</f>
        <v>1515.28</v>
      </c>
      <c r="Q1231" s="50" t="n">
        <f aca="false">INDEX(Productos!$E$2:$E$13,MATCH($H1231,Productos!$A$2:$A$13,0))*INDEX(Parametros!$B$26:$B$43,MATCH($C1231,Parametros!$A$26:$A$43,0))</f>
        <v>13.5608</v>
      </c>
      <c r="R1231" s="21" t="n">
        <f aca="false">L1231*Q1231</f>
        <v>840.7696</v>
      </c>
      <c r="S1231" s="18" t="n">
        <f aca="false">L1231*INDEX(Parametros!$B$20:$B$22,MATCH($E1231,Parametros!$A$20:$A$22,0))</f>
        <v>52.7</v>
      </c>
      <c r="T1231" s="18" t="n">
        <f aca="false">P1231*INDEX(Parametros!$B$13:$B$16,MATCH($F1231,Parametros!$A$13:$A$16,0))</f>
        <v>53.0348</v>
      </c>
      <c r="U1231" s="21" t="n">
        <f aca="false">P1231-R1231-S1231-T1231</f>
        <v>568.7756</v>
      </c>
      <c r="V1231" s="19" t="n">
        <f aca="false">IFERROR(U1231/P1231,0)</f>
        <v>0.375360065466448</v>
      </c>
      <c r="W1231" s="48" t="n">
        <f aca="false">B1231+INDEX(Parametros!$C$13:$C$16,MATCH($F1231,Parametros!$A$13:$A$16,0))</f>
        <v>46128</v>
      </c>
      <c r="X1231" s="31" t="s">
        <v>67</v>
      </c>
      <c r="Y1231" s="53" t="n">
        <f aca="false">IF(COUNTIF($A$2:$A1231,A1231)=1,1,0)</f>
        <v>0</v>
      </c>
    </row>
    <row r="1232" customFormat="false" ht="15" hidden="false" customHeight="false" outlineLevel="0" collapsed="false">
      <c r="A1232" s="31" t="s">
        <v>907</v>
      </c>
      <c r="B1232" s="36" t="n">
        <v>46083</v>
      </c>
      <c r="C1232" s="49" t="n">
        <f aca="false">DATE(YEAR(B1232),MONTH(B1232),1)</f>
        <v>46082</v>
      </c>
      <c r="D1232" s="31" t="s">
        <v>216</v>
      </c>
      <c r="E1232" s="31" t="s">
        <v>42</v>
      </c>
      <c r="F1232" s="31" t="s">
        <v>45</v>
      </c>
      <c r="G1232" s="31" t="s">
        <v>61</v>
      </c>
      <c r="H1232" s="31" t="s">
        <v>171</v>
      </c>
      <c r="I1232" s="32" t="str">
        <f aca="false">INDEX(Productos!$B$2:$B$13,MATCH($H1232,Productos!$A$2:$A$13,0))</f>
        <v>Tornillo DIN 7991 M8x30 avellanado inox A2</v>
      </c>
      <c r="J1232" s="32" t="str">
        <f aca="false">INDEX(Productos!$C$2:$C$13,MATCH($H1232,Productos!$A$2:$A$13,0))</f>
        <v>Inoxidable</v>
      </c>
      <c r="K1232" s="31" t="s">
        <v>246</v>
      </c>
      <c r="L1232" s="46" t="n">
        <v>36</v>
      </c>
      <c r="M1232" s="50" t="n">
        <f aca="false">INDEX(Productos!$F$2:$F$13,MATCH($H1232,Productos!$A$2:$A$13,0))</f>
        <v>88</v>
      </c>
      <c r="N1232" s="51" t="n">
        <v>0.176</v>
      </c>
      <c r="O1232" s="52" t="n">
        <f aca="false">M1232*(1-N1232)</f>
        <v>72.512</v>
      </c>
      <c r="P1232" s="21" t="n">
        <f aca="false">L1232*O1232</f>
        <v>2610.432</v>
      </c>
      <c r="Q1232" s="50" t="n">
        <f aca="false">INDEX(Productos!$E$2:$E$13,MATCH($H1232,Productos!$A$2:$A$13,0))*INDEX(Parametros!$B$26:$B$43,MATCH($C1232,Parametros!$A$26:$A$43,0))</f>
        <v>47.058</v>
      </c>
      <c r="R1232" s="21" t="n">
        <f aca="false">L1232*Q1232</f>
        <v>1694.088</v>
      </c>
      <c r="S1232" s="18" t="n">
        <f aca="false">L1232*INDEX(Parametros!$B$20:$B$22,MATCH($E1232,Parametros!$A$20:$A$22,0))</f>
        <v>86.4</v>
      </c>
      <c r="T1232" s="18" t="n">
        <f aca="false">P1232*INDEX(Parametros!$B$13:$B$16,MATCH($F1232,Parametros!$A$13:$A$16,0))</f>
        <v>78.31296</v>
      </c>
      <c r="U1232" s="21" t="n">
        <f aca="false">P1232-R1232-S1232-T1232</f>
        <v>751.63104</v>
      </c>
      <c r="V1232" s="19" t="n">
        <f aca="false">IFERROR(U1232/P1232,0)</f>
        <v>0.287933583406884</v>
      </c>
      <c r="W1232" s="48" t="n">
        <f aca="false">B1232+INDEX(Parametros!$C$13:$C$16,MATCH($F1232,Parametros!$A$13:$A$16,0))</f>
        <v>46143</v>
      </c>
      <c r="X1232" s="31" t="s">
        <v>67</v>
      </c>
      <c r="Y1232" s="53" t="n">
        <f aca="false">IF(COUNTIF($A$2:$A1232,A1232)=1,1,0)</f>
        <v>1</v>
      </c>
    </row>
    <row r="1233" customFormat="false" ht="15" hidden="false" customHeight="false" outlineLevel="0" collapsed="false">
      <c r="A1233" s="31" t="s">
        <v>907</v>
      </c>
      <c r="B1233" s="36" t="n">
        <v>46083</v>
      </c>
      <c r="C1233" s="49" t="n">
        <f aca="false">DATE(YEAR(B1233),MONTH(B1233),1)</f>
        <v>46082</v>
      </c>
      <c r="D1233" s="31" t="s">
        <v>216</v>
      </c>
      <c r="E1233" s="31" t="s">
        <v>42</v>
      </c>
      <c r="F1233" s="31" t="s">
        <v>45</v>
      </c>
      <c r="G1233" s="31" t="s">
        <v>61</v>
      </c>
      <c r="H1233" s="31" t="s">
        <v>169</v>
      </c>
      <c r="I1233" s="32" t="str">
        <f aca="false">INDEX(Productos!$B$2:$B$13,MATCH($H1233,Productos!$A$2:$A$13,0))</f>
        <v>Tornillo DIN 912 M10x60 Allen inox A2</v>
      </c>
      <c r="J1233" s="32" t="str">
        <f aca="false">INDEX(Productos!$C$2:$C$13,MATCH($H1233,Productos!$A$2:$A$13,0))</f>
        <v>Inoxidable</v>
      </c>
      <c r="K1233" s="31" t="s">
        <v>246</v>
      </c>
      <c r="L1233" s="46" t="n">
        <v>103</v>
      </c>
      <c r="M1233" s="50" t="n">
        <f aca="false">INDEX(Productos!$F$2:$F$13,MATCH($H1233,Productos!$A$2:$A$13,0))</f>
        <v>79</v>
      </c>
      <c r="N1233" s="51" t="n">
        <v>0.158</v>
      </c>
      <c r="O1233" s="52" t="n">
        <f aca="false">M1233*(1-N1233)</f>
        <v>66.518</v>
      </c>
      <c r="P1233" s="21" t="n">
        <f aca="false">L1233*O1233</f>
        <v>6851.354</v>
      </c>
      <c r="Q1233" s="50" t="n">
        <f aca="false">INDEX(Productos!$E$2:$E$13,MATCH($H1233,Productos!$A$2:$A$13,0))*INDEX(Parametros!$B$26:$B$43,MATCH($C1233,Parametros!$A$26:$A$43,0))</f>
        <v>42.504</v>
      </c>
      <c r="R1233" s="21" t="n">
        <f aca="false">L1233*Q1233</f>
        <v>4377.912</v>
      </c>
      <c r="S1233" s="18" t="n">
        <f aca="false">L1233*INDEX(Parametros!$B$20:$B$22,MATCH($E1233,Parametros!$A$20:$A$22,0))</f>
        <v>247.2</v>
      </c>
      <c r="T1233" s="18" t="n">
        <f aca="false">P1233*INDEX(Parametros!$B$13:$B$16,MATCH($F1233,Parametros!$A$13:$A$16,0))</f>
        <v>205.54062</v>
      </c>
      <c r="U1233" s="21" t="n">
        <f aca="false">P1233-R1233-S1233-T1233</f>
        <v>2020.70138</v>
      </c>
      <c r="V1233" s="19" t="n">
        <f aca="false">IFERROR(U1233/P1233,0)</f>
        <v>0.294934604167293</v>
      </c>
      <c r="W1233" s="48" t="n">
        <f aca="false">B1233+INDEX(Parametros!$C$13:$C$16,MATCH($F1233,Parametros!$A$13:$A$16,0))</f>
        <v>46143</v>
      </c>
      <c r="X1233" s="31" t="s">
        <v>67</v>
      </c>
      <c r="Y1233" s="53" t="n">
        <f aca="false">IF(COUNTIF($A$2:$A1233,A1233)=1,1,0)</f>
        <v>0</v>
      </c>
    </row>
    <row r="1234" customFormat="false" ht="15" hidden="false" customHeight="false" outlineLevel="0" collapsed="false">
      <c r="A1234" s="31" t="s">
        <v>908</v>
      </c>
      <c r="B1234" s="36" t="n">
        <v>46085</v>
      </c>
      <c r="C1234" s="49" t="n">
        <f aca="false">DATE(YEAR(B1234),MONTH(B1234),1)</f>
        <v>46082</v>
      </c>
      <c r="D1234" s="31" t="s">
        <v>215</v>
      </c>
      <c r="E1234" s="31" t="s">
        <v>42</v>
      </c>
      <c r="F1234" s="31" t="s">
        <v>46</v>
      </c>
      <c r="G1234" s="31" t="s">
        <v>61</v>
      </c>
      <c r="H1234" s="31" t="s">
        <v>179</v>
      </c>
      <c r="I1234" s="32" t="str">
        <f aca="false">INDEX(Productos!$B$2:$B$13,MATCH($H1234,Productos!$A$2:$A$13,0))</f>
        <v>Autotaladrante DIN 7504 4,8x38 zincado</v>
      </c>
      <c r="J1234" s="32" t="str">
        <f aca="false">INDEX(Productos!$C$2:$C$13,MATCH($H1234,Productos!$A$2:$A$13,0))</f>
        <v>Autotaladrante</v>
      </c>
      <c r="K1234" s="31" t="s">
        <v>275</v>
      </c>
      <c r="L1234" s="46" t="n">
        <v>-37</v>
      </c>
      <c r="M1234" s="50" t="n">
        <f aca="false">INDEX(Productos!$F$2:$F$13,MATCH($H1234,Productos!$A$2:$A$13,0))</f>
        <v>29.5</v>
      </c>
      <c r="N1234" s="51" t="n">
        <v>0.093</v>
      </c>
      <c r="O1234" s="52" t="n">
        <f aca="false">M1234*(1-N1234)</f>
        <v>26.7565</v>
      </c>
      <c r="P1234" s="21" t="n">
        <f aca="false">L1234*O1234</f>
        <v>-989.9905</v>
      </c>
      <c r="Q1234" s="50" t="n">
        <f aca="false">INDEX(Productos!$E$2:$E$13,MATCH($H1234,Productos!$A$2:$A$13,0))*INDEX(Parametros!$B$26:$B$43,MATCH($C1234,Parametros!$A$26:$A$43,0))</f>
        <v>15.3824</v>
      </c>
      <c r="R1234" s="21" t="n">
        <f aca="false">L1234*Q1234</f>
        <v>-569.1488</v>
      </c>
      <c r="S1234" s="18" t="n">
        <f aca="false">L1234*INDEX(Parametros!$B$20:$B$22,MATCH($E1234,Parametros!$A$20:$A$22,0))</f>
        <v>-88.8</v>
      </c>
      <c r="T1234" s="18" t="n">
        <f aca="false">P1234*INDEX(Parametros!$B$13:$B$16,MATCH($F1234,Parametros!$A$13:$A$16,0))</f>
        <v>-39.59962</v>
      </c>
      <c r="U1234" s="21" t="n">
        <f aca="false">P1234-R1234-S1234-T1234</f>
        <v>-292.44208</v>
      </c>
      <c r="V1234" s="19" t="n">
        <f aca="false">IFERROR(U1234/P1234,0)</f>
        <v>0.29539887503971</v>
      </c>
      <c r="W1234" s="48" t="n">
        <f aca="false">B1234+INDEX(Parametros!$C$13:$C$16,MATCH($F1234,Parametros!$A$13:$A$16,0))</f>
        <v>46160</v>
      </c>
      <c r="X1234" s="31" t="s">
        <v>67</v>
      </c>
      <c r="Y1234" s="53" t="n">
        <f aca="false">IF(COUNTIF($A$2:$A1234,A1234)=1,1,0)</f>
        <v>1</v>
      </c>
    </row>
    <row r="1235" customFormat="false" ht="15" hidden="false" customHeight="false" outlineLevel="0" collapsed="false">
      <c r="A1235" s="31" t="s">
        <v>908</v>
      </c>
      <c r="B1235" s="36" t="n">
        <v>46085</v>
      </c>
      <c r="C1235" s="49" t="n">
        <f aca="false">DATE(YEAR(B1235),MONTH(B1235),1)</f>
        <v>46082</v>
      </c>
      <c r="D1235" s="31" t="s">
        <v>215</v>
      </c>
      <c r="E1235" s="31" t="s">
        <v>42</v>
      </c>
      <c r="F1235" s="31" t="s">
        <v>46</v>
      </c>
      <c r="G1235" s="31" t="s">
        <v>61</v>
      </c>
      <c r="H1235" s="31" t="s">
        <v>169</v>
      </c>
      <c r="I1235" s="32" t="str">
        <f aca="false">INDEX(Productos!$B$2:$B$13,MATCH($H1235,Productos!$A$2:$A$13,0))</f>
        <v>Tornillo DIN 912 M10x60 Allen inox A2</v>
      </c>
      <c r="J1235" s="32" t="str">
        <f aca="false">INDEX(Productos!$C$2:$C$13,MATCH($H1235,Productos!$A$2:$A$13,0))</f>
        <v>Inoxidable</v>
      </c>
      <c r="K1235" s="31" t="s">
        <v>275</v>
      </c>
      <c r="L1235" s="46" t="n">
        <v>-49</v>
      </c>
      <c r="M1235" s="50" t="n">
        <f aca="false">INDEX(Productos!$F$2:$F$13,MATCH($H1235,Productos!$A$2:$A$13,0))</f>
        <v>79</v>
      </c>
      <c r="N1235" s="51" t="n">
        <v>0.167</v>
      </c>
      <c r="O1235" s="52" t="n">
        <f aca="false">M1235*(1-N1235)</f>
        <v>65.807</v>
      </c>
      <c r="P1235" s="21" t="n">
        <f aca="false">L1235*O1235</f>
        <v>-3224.543</v>
      </c>
      <c r="Q1235" s="50" t="n">
        <f aca="false">INDEX(Productos!$E$2:$E$13,MATCH($H1235,Productos!$A$2:$A$13,0))*INDEX(Parametros!$B$26:$B$43,MATCH($C1235,Parametros!$A$26:$A$43,0))</f>
        <v>42.504</v>
      </c>
      <c r="R1235" s="21" t="n">
        <f aca="false">L1235*Q1235</f>
        <v>-2082.696</v>
      </c>
      <c r="S1235" s="18" t="n">
        <f aca="false">L1235*INDEX(Parametros!$B$20:$B$22,MATCH($E1235,Parametros!$A$20:$A$22,0))</f>
        <v>-117.6</v>
      </c>
      <c r="T1235" s="18" t="n">
        <f aca="false">P1235*INDEX(Parametros!$B$13:$B$16,MATCH($F1235,Parametros!$A$13:$A$16,0))</f>
        <v>-128.98172</v>
      </c>
      <c r="U1235" s="21" t="n">
        <f aca="false">P1235-R1235-S1235-T1235</f>
        <v>-895.26528</v>
      </c>
      <c r="V1235" s="19" t="n">
        <f aca="false">IFERROR(U1235/P1235,0)</f>
        <v>0.27764098044281</v>
      </c>
      <c r="W1235" s="48" t="n">
        <f aca="false">B1235+INDEX(Parametros!$C$13:$C$16,MATCH($F1235,Parametros!$A$13:$A$16,0))</f>
        <v>46160</v>
      </c>
      <c r="X1235" s="31" t="s">
        <v>67</v>
      </c>
      <c r="Y1235" s="53" t="n">
        <f aca="false">IF(COUNTIF($A$2:$A1235,A1235)=1,1,0)</f>
        <v>0</v>
      </c>
    </row>
    <row r="1236" customFormat="false" ht="15" hidden="false" customHeight="false" outlineLevel="0" collapsed="false">
      <c r="A1236" s="31" t="s">
        <v>908</v>
      </c>
      <c r="B1236" s="36" t="n">
        <v>46085</v>
      </c>
      <c r="C1236" s="49" t="n">
        <f aca="false">DATE(YEAR(B1236),MONTH(B1236),1)</f>
        <v>46082</v>
      </c>
      <c r="D1236" s="31" t="s">
        <v>215</v>
      </c>
      <c r="E1236" s="31" t="s">
        <v>42</v>
      </c>
      <c r="F1236" s="31" t="s">
        <v>46</v>
      </c>
      <c r="G1236" s="31" t="s">
        <v>61</v>
      </c>
      <c r="H1236" s="31" t="s">
        <v>183</v>
      </c>
      <c r="I1236" s="32" t="str">
        <f aca="false">INDEX(Productos!$B$2:$B$13,MATCH($H1236,Productos!$A$2:$A$13,0))</f>
        <v>Tornillo estructural M16x90 clase 10.9</v>
      </c>
      <c r="J1236" s="32" t="str">
        <f aca="false">INDEX(Productos!$C$2:$C$13,MATCH($H1236,Productos!$A$2:$A$13,0))</f>
        <v>Especial</v>
      </c>
      <c r="K1236" s="31" t="s">
        <v>275</v>
      </c>
      <c r="L1236" s="46" t="n">
        <v>-33</v>
      </c>
      <c r="M1236" s="50" t="n">
        <f aca="false">INDEX(Productos!$F$2:$F$13,MATCH($H1236,Productos!$A$2:$A$13,0))</f>
        <v>112</v>
      </c>
      <c r="N1236" s="51" t="n">
        <v>0.171</v>
      </c>
      <c r="O1236" s="52" t="n">
        <f aca="false">M1236*(1-N1236)</f>
        <v>92.848</v>
      </c>
      <c r="P1236" s="21" t="n">
        <f aca="false">L1236*O1236</f>
        <v>-3063.984</v>
      </c>
      <c r="Q1236" s="50" t="n">
        <f aca="false">INDEX(Productos!$E$2:$E$13,MATCH($H1236,Productos!$A$2:$A$13,0))*INDEX(Parametros!$B$26:$B$43,MATCH($C1236,Parametros!$A$26:$A$43,0))</f>
        <v>60.72</v>
      </c>
      <c r="R1236" s="21" t="n">
        <f aca="false">L1236*Q1236</f>
        <v>-2003.76</v>
      </c>
      <c r="S1236" s="18" t="n">
        <f aca="false">L1236*INDEX(Parametros!$B$20:$B$22,MATCH($E1236,Parametros!$A$20:$A$22,0))</f>
        <v>-79.2</v>
      </c>
      <c r="T1236" s="18" t="n">
        <f aca="false">P1236*INDEX(Parametros!$B$13:$B$16,MATCH($F1236,Parametros!$A$13:$A$16,0))</f>
        <v>-122.55936</v>
      </c>
      <c r="U1236" s="21" t="n">
        <f aca="false">P1236-R1236-S1236-T1236</f>
        <v>-858.46464</v>
      </c>
      <c r="V1236" s="19" t="n">
        <f aca="false">IFERROR(U1236/P1236,0)</f>
        <v>0.280179217646045</v>
      </c>
      <c r="W1236" s="48" t="n">
        <f aca="false">B1236+INDEX(Parametros!$C$13:$C$16,MATCH($F1236,Parametros!$A$13:$A$16,0))</f>
        <v>46160</v>
      </c>
      <c r="X1236" s="31" t="s">
        <v>67</v>
      </c>
      <c r="Y1236" s="53" t="n">
        <f aca="false">IF(COUNTIF($A$2:$A1236,A1236)=1,1,0)</f>
        <v>0</v>
      </c>
    </row>
    <row r="1237" customFormat="false" ht="15" hidden="false" customHeight="false" outlineLevel="0" collapsed="false">
      <c r="A1237" s="31" t="s">
        <v>909</v>
      </c>
      <c r="B1237" s="36" t="n">
        <v>46085</v>
      </c>
      <c r="C1237" s="49" t="n">
        <f aca="false">DATE(YEAR(B1237),MONTH(B1237),1)</f>
        <v>46082</v>
      </c>
      <c r="D1237" s="31" t="s">
        <v>201</v>
      </c>
      <c r="E1237" s="31" t="s">
        <v>41</v>
      </c>
      <c r="F1237" s="31" t="s">
        <v>46</v>
      </c>
      <c r="G1237" s="31" t="s">
        <v>62</v>
      </c>
      <c r="H1237" s="31" t="s">
        <v>167</v>
      </c>
      <c r="I1237" s="32" t="str">
        <f aca="false">INDEX(Productos!$B$2:$B$13,MATCH($H1237,Productos!$A$2:$A$13,0))</f>
        <v>Tornillo DIN 912 M6x25 Allen zincado</v>
      </c>
      <c r="J1237" s="32" t="str">
        <f aca="false">INDEX(Productos!$C$2:$C$13,MATCH($H1237,Productos!$A$2:$A$13,0))</f>
        <v>Métrica</v>
      </c>
      <c r="K1237" s="31" t="s">
        <v>246</v>
      </c>
      <c r="L1237" s="46" t="n">
        <v>139</v>
      </c>
      <c r="M1237" s="50" t="n">
        <f aca="false">INDEX(Productos!$F$2:$F$13,MATCH($H1237,Productos!$A$2:$A$13,0))</f>
        <v>42</v>
      </c>
      <c r="N1237" s="51" t="n">
        <v>0.161</v>
      </c>
      <c r="O1237" s="52" t="n">
        <f aca="false">M1237*(1-N1237)</f>
        <v>35.238</v>
      </c>
      <c r="P1237" s="21" t="n">
        <f aca="false">L1237*O1237</f>
        <v>4898.082</v>
      </c>
      <c r="Q1237" s="50" t="n">
        <f aca="false">INDEX(Productos!$E$2:$E$13,MATCH($H1237,Productos!$A$2:$A$13,0))*INDEX(Parametros!$B$26:$B$43,MATCH($C1237,Parametros!$A$26:$A$43,0))</f>
        <v>22.0616</v>
      </c>
      <c r="R1237" s="21" t="n">
        <f aca="false">L1237*Q1237</f>
        <v>3066.5624</v>
      </c>
      <c r="S1237" s="18" t="n">
        <f aca="false">L1237*INDEX(Parametros!$B$20:$B$22,MATCH($E1237,Parametros!$A$20:$A$22,0))</f>
        <v>118.15</v>
      </c>
      <c r="T1237" s="18" t="n">
        <f aca="false">P1237*INDEX(Parametros!$B$13:$B$16,MATCH($F1237,Parametros!$A$13:$A$16,0))</f>
        <v>195.92328</v>
      </c>
      <c r="U1237" s="21" t="n">
        <f aca="false">P1237-R1237-S1237-T1237</f>
        <v>1517.44632</v>
      </c>
      <c r="V1237" s="19" t="n">
        <f aca="false">IFERROR(U1237/P1237,0)</f>
        <v>0.309804188659969</v>
      </c>
      <c r="W1237" s="48" t="n">
        <f aca="false">B1237+INDEX(Parametros!$C$13:$C$16,MATCH($F1237,Parametros!$A$13:$A$16,0))</f>
        <v>46160</v>
      </c>
      <c r="X1237" s="31" t="s">
        <v>67</v>
      </c>
      <c r="Y1237" s="53" t="n">
        <f aca="false">IF(COUNTIF($A$2:$A1237,A1237)=1,1,0)</f>
        <v>1</v>
      </c>
    </row>
    <row r="1238" customFormat="false" ht="15" hidden="false" customHeight="false" outlineLevel="0" collapsed="false">
      <c r="A1238" s="31" t="s">
        <v>909</v>
      </c>
      <c r="B1238" s="36" t="n">
        <v>46085</v>
      </c>
      <c r="C1238" s="49" t="n">
        <f aca="false">DATE(YEAR(B1238),MONTH(B1238),1)</f>
        <v>46082</v>
      </c>
      <c r="D1238" s="31" t="s">
        <v>201</v>
      </c>
      <c r="E1238" s="31" t="s">
        <v>41</v>
      </c>
      <c r="F1238" s="31" t="s">
        <v>46</v>
      </c>
      <c r="G1238" s="31" t="s">
        <v>62</v>
      </c>
      <c r="H1238" s="31" t="s">
        <v>169</v>
      </c>
      <c r="I1238" s="32" t="str">
        <f aca="false">INDEX(Productos!$B$2:$B$13,MATCH($H1238,Productos!$A$2:$A$13,0))</f>
        <v>Tornillo DIN 912 M10x60 Allen inox A2</v>
      </c>
      <c r="J1238" s="32" t="str">
        <f aca="false">INDEX(Productos!$C$2:$C$13,MATCH($H1238,Productos!$A$2:$A$13,0))</f>
        <v>Inoxidable</v>
      </c>
      <c r="K1238" s="31" t="s">
        <v>246</v>
      </c>
      <c r="L1238" s="46" t="n">
        <v>134</v>
      </c>
      <c r="M1238" s="50" t="n">
        <f aca="false">INDEX(Productos!$F$2:$F$13,MATCH($H1238,Productos!$A$2:$A$13,0))</f>
        <v>79</v>
      </c>
      <c r="N1238" s="51" t="n">
        <v>0.124</v>
      </c>
      <c r="O1238" s="52" t="n">
        <f aca="false">M1238*(1-N1238)</f>
        <v>69.204</v>
      </c>
      <c r="P1238" s="21" t="n">
        <f aca="false">L1238*O1238</f>
        <v>9273.336</v>
      </c>
      <c r="Q1238" s="50" t="n">
        <f aca="false">INDEX(Productos!$E$2:$E$13,MATCH($H1238,Productos!$A$2:$A$13,0))*INDEX(Parametros!$B$26:$B$43,MATCH($C1238,Parametros!$A$26:$A$43,0))</f>
        <v>42.504</v>
      </c>
      <c r="R1238" s="21" t="n">
        <f aca="false">L1238*Q1238</f>
        <v>5695.536</v>
      </c>
      <c r="S1238" s="18" t="n">
        <f aca="false">L1238*INDEX(Parametros!$B$20:$B$22,MATCH($E1238,Parametros!$A$20:$A$22,0))</f>
        <v>113.9</v>
      </c>
      <c r="T1238" s="18" t="n">
        <f aca="false">P1238*INDEX(Parametros!$B$13:$B$16,MATCH($F1238,Parametros!$A$13:$A$16,0))</f>
        <v>370.93344</v>
      </c>
      <c r="U1238" s="21" t="n">
        <f aca="false">P1238-R1238-S1238-T1238</f>
        <v>3092.96656</v>
      </c>
      <c r="V1238" s="19" t="n">
        <f aca="false">IFERROR(U1238/P1238,0)</f>
        <v>0.333533321773308</v>
      </c>
      <c r="W1238" s="48" t="n">
        <f aca="false">B1238+INDEX(Parametros!$C$13:$C$16,MATCH($F1238,Parametros!$A$13:$A$16,0))</f>
        <v>46160</v>
      </c>
      <c r="X1238" s="31" t="s">
        <v>67</v>
      </c>
      <c r="Y1238" s="53" t="n">
        <f aca="false">IF(COUNTIF($A$2:$A1238,A1238)=1,1,0)</f>
        <v>0</v>
      </c>
    </row>
    <row r="1239" customFormat="false" ht="15" hidden="false" customHeight="false" outlineLevel="0" collapsed="false">
      <c r="A1239" s="31" t="s">
        <v>909</v>
      </c>
      <c r="B1239" s="36" t="n">
        <v>46085</v>
      </c>
      <c r="C1239" s="49" t="n">
        <f aca="false">DATE(YEAR(B1239),MONTH(B1239),1)</f>
        <v>46082</v>
      </c>
      <c r="D1239" s="31" t="s">
        <v>201</v>
      </c>
      <c r="E1239" s="31" t="s">
        <v>41</v>
      </c>
      <c r="F1239" s="31" t="s">
        <v>46</v>
      </c>
      <c r="G1239" s="31" t="s">
        <v>62</v>
      </c>
      <c r="H1239" s="31" t="s">
        <v>175</v>
      </c>
      <c r="I1239" s="32" t="str">
        <f aca="false">INDEX(Productos!$B$2:$B$13,MATCH($H1239,Productos!$A$2:$A$13,0))</f>
        <v>Tirafondo madera 5x60 cabeza plana Torx</v>
      </c>
      <c r="J1239" s="32" t="str">
        <f aca="false">INDEX(Productos!$C$2:$C$13,MATCH($H1239,Productos!$A$2:$A$13,0))</f>
        <v>Madera</v>
      </c>
      <c r="K1239" s="31" t="s">
        <v>246</v>
      </c>
      <c r="L1239" s="46" t="n">
        <v>317</v>
      </c>
      <c r="M1239" s="50" t="n">
        <f aca="false">INDEX(Productos!$F$2:$F$13,MATCH($H1239,Productos!$A$2:$A$13,0))</f>
        <v>26</v>
      </c>
      <c r="N1239" s="51" t="n">
        <v>0.093</v>
      </c>
      <c r="O1239" s="52" t="n">
        <f aca="false">M1239*(1-N1239)</f>
        <v>23.582</v>
      </c>
      <c r="P1239" s="21" t="n">
        <f aca="false">L1239*O1239</f>
        <v>7475.494</v>
      </c>
      <c r="Q1239" s="50" t="n">
        <f aca="false">INDEX(Productos!$E$2:$E$13,MATCH($H1239,Productos!$A$2:$A$13,0))*INDEX(Parametros!$B$26:$B$43,MATCH($C1239,Parametros!$A$26:$A$43,0))</f>
        <v>13.5608</v>
      </c>
      <c r="R1239" s="21" t="n">
        <f aca="false">L1239*Q1239</f>
        <v>4298.7736</v>
      </c>
      <c r="S1239" s="18" t="n">
        <f aca="false">L1239*INDEX(Parametros!$B$20:$B$22,MATCH($E1239,Parametros!$A$20:$A$22,0))</f>
        <v>269.45</v>
      </c>
      <c r="T1239" s="18" t="n">
        <f aca="false">P1239*INDEX(Parametros!$B$13:$B$16,MATCH($F1239,Parametros!$A$13:$A$16,0))</f>
        <v>299.01976</v>
      </c>
      <c r="U1239" s="21" t="n">
        <f aca="false">P1239-R1239-S1239-T1239</f>
        <v>2608.25064</v>
      </c>
      <c r="V1239" s="19" t="n">
        <f aca="false">IFERROR(U1239/P1239,0)</f>
        <v>0.348906793316937</v>
      </c>
      <c r="W1239" s="48" t="n">
        <f aca="false">B1239+INDEX(Parametros!$C$13:$C$16,MATCH($F1239,Parametros!$A$13:$A$16,0))</f>
        <v>46160</v>
      </c>
      <c r="X1239" s="31" t="s">
        <v>67</v>
      </c>
      <c r="Y1239" s="53" t="n">
        <f aca="false">IF(COUNTIF($A$2:$A1239,A1239)=1,1,0)</f>
        <v>0</v>
      </c>
    </row>
    <row r="1240" customFormat="false" ht="15" hidden="false" customHeight="false" outlineLevel="0" collapsed="false">
      <c r="A1240" s="31" t="s">
        <v>910</v>
      </c>
      <c r="B1240" s="36" t="n">
        <v>46085</v>
      </c>
      <c r="C1240" s="49" t="n">
        <f aca="false">DATE(YEAR(B1240),MONTH(B1240),1)</f>
        <v>46082</v>
      </c>
      <c r="D1240" s="31" t="s">
        <v>218</v>
      </c>
      <c r="E1240" s="31" t="s">
        <v>42</v>
      </c>
      <c r="F1240" s="31" t="s">
        <v>45</v>
      </c>
      <c r="G1240" s="31" t="s">
        <v>61</v>
      </c>
      <c r="H1240" s="31" t="s">
        <v>171</v>
      </c>
      <c r="I1240" s="32" t="str">
        <f aca="false">INDEX(Productos!$B$2:$B$13,MATCH($H1240,Productos!$A$2:$A$13,0))</f>
        <v>Tornillo DIN 7991 M8x30 avellanado inox A2</v>
      </c>
      <c r="J1240" s="32" t="str">
        <f aca="false">INDEX(Productos!$C$2:$C$13,MATCH($H1240,Productos!$A$2:$A$13,0))</f>
        <v>Inoxidable</v>
      </c>
      <c r="K1240" s="31" t="s">
        <v>246</v>
      </c>
      <c r="L1240" s="46" t="n">
        <v>122</v>
      </c>
      <c r="M1240" s="50" t="n">
        <f aca="false">INDEX(Productos!$F$2:$F$13,MATCH($H1240,Productos!$A$2:$A$13,0))</f>
        <v>88</v>
      </c>
      <c r="N1240" s="51" t="n">
        <v>0.193</v>
      </c>
      <c r="O1240" s="52" t="n">
        <f aca="false">M1240*(1-N1240)</f>
        <v>71.016</v>
      </c>
      <c r="P1240" s="21" t="n">
        <f aca="false">L1240*O1240</f>
        <v>8663.952</v>
      </c>
      <c r="Q1240" s="50" t="n">
        <f aca="false">INDEX(Productos!$E$2:$E$13,MATCH($H1240,Productos!$A$2:$A$13,0))*INDEX(Parametros!$B$26:$B$43,MATCH($C1240,Parametros!$A$26:$A$43,0))</f>
        <v>47.058</v>
      </c>
      <c r="R1240" s="21" t="n">
        <f aca="false">L1240*Q1240</f>
        <v>5741.076</v>
      </c>
      <c r="S1240" s="18" t="n">
        <f aca="false">L1240*INDEX(Parametros!$B$20:$B$22,MATCH($E1240,Parametros!$A$20:$A$22,0))</f>
        <v>292.8</v>
      </c>
      <c r="T1240" s="18" t="n">
        <f aca="false">P1240*INDEX(Parametros!$B$13:$B$16,MATCH($F1240,Parametros!$A$13:$A$16,0))</f>
        <v>259.91856</v>
      </c>
      <c r="U1240" s="21" t="n">
        <f aca="false">P1240-R1240-S1240-T1240</f>
        <v>2370.15744</v>
      </c>
      <c r="V1240" s="19" t="n">
        <f aca="false">IFERROR(U1240/P1240,0)</f>
        <v>0.273565393714093</v>
      </c>
      <c r="W1240" s="48" t="n">
        <f aca="false">B1240+INDEX(Parametros!$C$13:$C$16,MATCH($F1240,Parametros!$A$13:$A$16,0))</f>
        <v>46145</v>
      </c>
      <c r="X1240" s="31" t="s">
        <v>67</v>
      </c>
      <c r="Y1240" s="53" t="n">
        <f aca="false">IF(COUNTIF($A$2:$A1240,A1240)=1,1,0)</f>
        <v>1</v>
      </c>
    </row>
    <row r="1241" customFormat="false" ht="15" hidden="false" customHeight="false" outlineLevel="0" collapsed="false">
      <c r="A1241" s="31" t="s">
        <v>911</v>
      </c>
      <c r="B1241" s="36" t="n">
        <v>46085</v>
      </c>
      <c r="C1241" s="49" t="n">
        <f aca="false">DATE(YEAR(B1241),MONTH(B1241),1)</f>
        <v>46082</v>
      </c>
      <c r="D1241" s="31" t="s">
        <v>202</v>
      </c>
      <c r="E1241" s="31" t="s">
        <v>41</v>
      </c>
      <c r="F1241" s="31" t="s">
        <v>46</v>
      </c>
      <c r="G1241" s="31" t="s">
        <v>62</v>
      </c>
      <c r="H1241" s="31" t="s">
        <v>169</v>
      </c>
      <c r="I1241" s="32" t="str">
        <f aca="false">INDEX(Productos!$B$2:$B$13,MATCH($H1241,Productos!$A$2:$A$13,0))</f>
        <v>Tornillo DIN 912 M10x60 Allen inox A2</v>
      </c>
      <c r="J1241" s="32" t="str">
        <f aca="false">INDEX(Productos!$C$2:$C$13,MATCH($H1241,Productos!$A$2:$A$13,0))</f>
        <v>Inoxidable</v>
      </c>
      <c r="K1241" s="31" t="s">
        <v>246</v>
      </c>
      <c r="L1241" s="46" t="n">
        <v>27</v>
      </c>
      <c r="M1241" s="50" t="n">
        <f aca="false">INDEX(Productos!$F$2:$F$13,MATCH($H1241,Productos!$A$2:$A$13,0))</f>
        <v>79</v>
      </c>
      <c r="N1241" s="51" t="n">
        <v>0.15</v>
      </c>
      <c r="O1241" s="52" t="n">
        <f aca="false">M1241*(1-N1241)</f>
        <v>67.15</v>
      </c>
      <c r="P1241" s="21" t="n">
        <f aca="false">L1241*O1241</f>
        <v>1813.05</v>
      </c>
      <c r="Q1241" s="50" t="n">
        <f aca="false">INDEX(Productos!$E$2:$E$13,MATCH($H1241,Productos!$A$2:$A$13,0))*INDEX(Parametros!$B$26:$B$43,MATCH($C1241,Parametros!$A$26:$A$43,0))</f>
        <v>42.504</v>
      </c>
      <c r="R1241" s="21" t="n">
        <f aca="false">L1241*Q1241</f>
        <v>1147.608</v>
      </c>
      <c r="S1241" s="18" t="n">
        <f aca="false">L1241*INDEX(Parametros!$B$20:$B$22,MATCH($E1241,Parametros!$A$20:$A$22,0))</f>
        <v>22.95</v>
      </c>
      <c r="T1241" s="18" t="n">
        <f aca="false">P1241*INDEX(Parametros!$B$13:$B$16,MATCH($F1241,Parametros!$A$13:$A$16,0))</f>
        <v>72.522</v>
      </c>
      <c r="U1241" s="21" t="n">
        <f aca="false">P1241-R1241-S1241-T1241</f>
        <v>569.97</v>
      </c>
      <c r="V1241" s="19" t="n">
        <f aca="false">IFERROR(U1241/P1241,0)</f>
        <v>0.314370811615786</v>
      </c>
      <c r="W1241" s="48" t="n">
        <f aca="false">B1241+INDEX(Parametros!$C$13:$C$16,MATCH($F1241,Parametros!$A$13:$A$16,0))</f>
        <v>46160</v>
      </c>
      <c r="X1241" s="31" t="s">
        <v>67</v>
      </c>
      <c r="Y1241" s="53" t="n">
        <f aca="false">IF(COUNTIF($A$2:$A1241,A1241)=1,1,0)</f>
        <v>1</v>
      </c>
    </row>
    <row r="1242" customFormat="false" ht="15" hidden="false" customHeight="false" outlineLevel="0" collapsed="false">
      <c r="A1242" s="31" t="s">
        <v>911</v>
      </c>
      <c r="B1242" s="36" t="n">
        <v>46085</v>
      </c>
      <c r="C1242" s="49" t="n">
        <f aca="false">DATE(YEAR(B1242),MONTH(B1242),1)</f>
        <v>46082</v>
      </c>
      <c r="D1242" s="31" t="s">
        <v>202</v>
      </c>
      <c r="E1242" s="31" t="s">
        <v>41</v>
      </c>
      <c r="F1242" s="31" t="s">
        <v>46</v>
      </c>
      <c r="G1242" s="31" t="s">
        <v>62</v>
      </c>
      <c r="H1242" s="31" t="s">
        <v>163</v>
      </c>
      <c r="I1242" s="32" t="str">
        <f aca="false">INDEX(Productos!$B$2:$B$13,MATCH($H1242,Productos!$A$2:$A$13,0))</f>
        <v>Tornillo DIN 933 M6x30 rosca completa zincado</v>
      </c>
      <c r="J1242" s="32" t="str">
        <f aca="false">INDEX(Productos!$C$2:$C$13,MATCH($H1242,Productos!$A$2:$A$13,0))</f>
        <v>Métrica</v>
      </c>
      <c r="K1242" s="31" t="s">
        <v>246</v>
      </c>
      <c r="L1242" s="46" t="n">
        <v>143</v>
      </c>
      <c r="M1242" s="50" t="n">
        <f aca="false">INDEX(Productos!$F$2:$F$13,MATCH($H1242,Productos!$A$2:$A$13,0))</f>
        <v>32</v>
      </c>
      <c r="N1242" s="51" t="n">
        <v>0.138</v>
      </c>
      <c r="O1242" s="52" t="n">
        <f aca="false">M1242*(1-N1242)</f>
        <v>27.584</v>
      </c>
      <c r="P1242" s="21" t="n">
        <f aca="false">L1242*O1242</f>
        <v>3944.512</v>
      </c>
      <c r="Q1242" s="50" t="n">
        <f aca="false">INDEX(Productos!$E$2:$E$13,MATCH($H1242,Productos!$A$2:$A$13,0))*INDEX(Parametros!$B$26:$B$43,MATCH($C1242,Parametros!$A$26:$A$43,0))</f>
        <v>16.7992</v>
      </c>
      <c r="R1242" s="21" t="n">
        <f aca="false">L1242*Q1242</f>
        <v>2402.2856</v>
      </c>
      <c r="S1242" s="18" t="n">
        <f aca="false">L1242*INDEX(Parametros!$B$20:$B$22,MATCH($E1242,Parametros!$A$20:$A$22,0))</f>
        <v>121.55</v>
      </c>
      <c r="T1242" s="18" t="n">
        <f aca="false">P1242*INDEX(Parametros!$B$13:$B$16,MATCH($F1242,Parametros!$A$13:$A$16,0))</f>
        <v>157.78048</v>
      </c>
      <c r="U1242" s="21" t="n">
        <f aca="false">P1242-R1242-S1242-T1242</f>
        <v>1262.89592</v>
      </c>
      <c r="V1242" s="19" t="n">
        <f aca="false">IFERROR(U1242/P1242,0)</f>
        <v>0.320165313225058</v>
      </c>
      <c r="W1242" s="48" t="n">
        <f aca="false">B1242+INDEX(Parametros!$C$13:$C$16,MATCH($F1242,Parametros!$A$13:$A$16,0))</f>
        <v>46160</v>
      </c>
      <c r="X1242" s="31" t="s">
        <v>67</v>
      </c>
      <c r="Y1242" s="53" t="n">
        <f aca="false">IF(COUNTIF($A$2:$A1242,A1242)=1,1,0)</f>
        <v>0</v>
      </c>
    </row>
    <row r="1243" customFormat="false" ht="15" hidden="false" customHeight="false" outlineLevel="0" collapsed="false">
      <c r="A1243" s="31" t="s">
        <v>911</v>
      </c>
      <c r="B1243" s="36" t="n">
        <v>46085</v>
      </c>
      <c r="C1243" s="49" t="n">
        <f aca="false">DATE(YEAR(B1243),MONTH(B1243),1)</f>
        <v>46082</v>
      </c>
      <c r="D1243" s="31" t="s">
        <v>202</v>
      </c>
      <c r="E1243" s="31" t="s">
        <v>41</v>
      </c>
      <c r="F1243" s="31" t="s">
        <v>46</v>
      </c>
      <c r="G1243" s="31" t="s">
        <v>62</v>
      </c>
      <c r="H1243" s="31" t="s">
        <v>181</v>
      </c>
      <c r="I1243" s="32" t="str">
        <f aca="false">INDEX(Productos!$B$2:$B$13,MATCH($H1243,Productos!$A$2:$A$13,0))</f>
        <v>Autotaladrante 5,5x55 punta broca</v>
      </c>
      <c r="J1243" s="32" t="str">
        <f aca="false">INDEX(Productos!$C$2:$C$13,MATCH($H1243,Productos!$A$2:$A$13,0))</f>
        <v>Autotaladrante</v>
      </c>
      <c r="K1243" s="31" t="s">
        <v>246</v>
      </c>
      <c r="L1243" s="46" t="n">
        <v>51</v>
      </c>
      <c r="M1243" s="50" t="n">
        <f aca="false">INDEX(Productos!$F$2:$F$13,MATCH($H1243,Productos!$A$2:$A$13,0))</f>
        <v>39</v>
      </c>
      <c r="N1243" s="51" t="n">
        <v>0.161</v>
      </c>
      <c r="O1243" s="52" t="n">
        <f aca="false">M1243*(1-N1243)</f>
        <v>32.721</v>
      </c>
      <c r="P1243" s="21" t="n">
        <f aca="false">L1243*O1243</f>
        <v>1668.771</v>
      </c>
      <c r="Q1243" s="50" t="n">
        <f aca="false">INDEX(Productos!$E$2:$E$13,MATCH($H1243,Productos!$A$2:$A$13,0))*INDEX(Parametros!$B$26:$B$43,MATCH($C1243,Parametros!$A$26:$A$43,0))</f>
        <v>20.5436</v>
      </c>
      <c r="R1243" s="21" t="n">
        <f aca="false">L1243*Q1243</f>
        <v>1047.7236</v>
      </c>
      <c r="S1243" s="18" t="n">
        <f aca="false">L1243*INDEX(Parametros!$B$20:$B$22,MATCH($E1243,Parametros!$A$20:$A$22,0))</f>
        <v>43.35</v>
      </c>
      <c r="T1243" s="18" t="n">
        <f aca="false">P1243*INDEX(Parametros!$B$13:$B$16,MATCH($F1243,Parametros!$A$13:$A$16,0))</f>
        <v>66.75084</v>
      </c>
      <c r="U1243" s="21" t="n">
        <f aca="false">P1243-R1243-S1243-T1243</f>
        <v>510.94656</v>
      </c>
      <c r="V1243" s="19" t="n">
        <f aca="false">IFERROR(U1243/P1243,0)</f>
        <v>0.30618135142569</v>
      </c>
      <c r="W1243" s="48" t="n">
        <f aca="false">B1243+INDEX(Parametros!$C$13:$C$16,MATCH($F1243,Parametros!$A$13:$A$16,0))</f>
        <v>46160</v>
      </c>
      <c r="X1243" s="31" t="s">
        <v>67</v>
      </c>
      <c r="Y1243" s="53" t="n">
        <f aca="false">IF(COUNTIF($A$2:$A1243,A1243)=1,1,0)</f>
        <v>0</v>
      </c>
    </row>
    <row r="1244" customFormat="false" ht="15" hidden="false" customHeight="false" outlineLevel="0" collapsed="false">
      <c r="A1244" s="31" t="s">
        <v>911</v>
      </c>
      <c r="B1244" s="36" t="n">
        <v>46085</v>
      </c>
      <c r="C1244" s="49" t="n">
        <f aca="false">DATE(YEAR(B1244),MONTH(B1244),1)</f>
        <v>46082</v>
      </c>
      <c r="D1244" s="31" t="s">
        <v>202</v>
      </c>
      <c r="E1244" s="31" t="s">
        <v>41</v>
      </c>
      <c r="F1244" s="31" t="s">
        <v>46</v>
      </c>
      <c r="G1244" s="31" t="s">
        <v>62</v>
      </c>
      <c r="H1244" s="31" t="s">
        <v>183</v>
      </c>
      <c r="I1244" s="32" t="str">
        <f aca="false">INDEX(Productos!$B$2:$B$13,MATCH($H1244,Productos!$A$2:$A$13,0))</f>
        <v>Tornillo estructural M16x90 clase 10.9</v>
      </c>
      <c r="J1244" s="32" t="str">
        <f aca="false">INDEX(Productos!$C$2:$C$13,MATCH($H1244,Productos!$A$2:$A$13,0))</f>
        <v>Especial</v>
      </c>
      <c r="K1244" s="31" t="s">
        <v>246</v>
      </c>
      <c r="L1244" s="46" t="n">
        <v>247</v>
      </c>
      <c r="M1244" s="50" t="n">
        <f aca="false">INDEX(Productos!$F$2:$F$13,MATCH($H1244,Productos!$A$2:$A$13,0))</f>
        <v>112</v>
      </c>
      <c r="N1244" s="51" t="n">
        <v>0.166</v>
      </c>
      <c r="O1244" s="52" t="n">
        <f aca="false">M1244*(1-N1244)</f>
        <v>93.408</v>
      </c>
      <c r="P1244" s="21" t="n">
        <f aca="false">L1244*O1244</f>
        <v>23071.776</v>
      </c>
      <c r="Q1244" s="50" t="n">
        <f aca="false">INDEX(Productos!$E$2:$E$13,MATCH($H1244,Productos!$A$2:$A$13,0))*INDEX(Parametros!$B$26:$B$43,MATCH($C1244,Parametros!$A$26:$A$43,0))</f>
        <v>60.72</v>
      </c>
      <c r="R1244" s="21" t="n">
        <f aca="false">L1244*Q1244</f>
        <v>14997.84</v>
      </c>
      <c r="S1244" s="18" t="n">
        <f aca="false">L1244*INDEX(Parametros!$B$20:$B$22,MATCH($E1244,Parametros!$A$20:$A$22,0))</f>
        <v>209.95</v>
      </c>
      <c r="T1244" s="18" t="n">
        <f aca="false">P1244*INDEX(Parametros!$B$13:$B$16,MATCH($F1244,Parametros!$A$13:$A$16,0))</f>
        <v>922.87104</v>
      </c>
      <c r="U1244" s="21" t="n">
        <f aca="false">P1244-R1244-S1244-T1244</f>
        <v>6941.11496</v>
      </c>
      <c r="V1244" s="19" t="n">
        <f aca="false">IFERROR(U1244/P1244,0)</f>
        <v>0.300848749571771</v>
      </c>
      <c r="W1244" s="48" t="n">
        <f aca="false">B1244+INDEX(Parametros!$C$13:$C$16,MATCH($F1244,Parametros!$A$13:$A$16,0))</f>
        <v>46160</v>
      </c>
      <c r="X1244" s="31" t="s">
        <v>67</v>
      </c>
      <c r="Y1244" s="53" t="n">
        <f aca="false">IF(COUNTIF($A$2:$A1244,A1244)=1,1,0)</f>
        <v>0</v>
      </c>
    </row>
    <row r="1245" customFormat="false" ht="15" hidden="false" customHeight="false" outlineLevel="0" collapsed="false">
      <c r="A1245" s="31" t="s">
        <v>912</v>
      </c>
      <c r="B1245" s="36" t="n">
        <v>46086</v>
      </c>
      <c r="C1245" s="49" t="n">
        <f aca="false">DATE(YEAR(B1245),MONTH(B1245),1)</f>
        <v>46082</v>
      </c>
      <c r="D1245" s="31" t="s">
        <v>193</v>
      </c>
      <c r="E1245" s="31" t="s">
        <v>41</v>
      </c>
      <c r="F1245" s="31" t="s">
        <v>45</v>
      </c>
      <c r="G1245" s="31" t="s">
        <v>62</v>
      </c>
      <c r="H1245" s="31" t="s">
        <v>183</v>
      </c>
      <c r="I1245" s="32" t="str">
        <f aca="false">INDEX(Productos!$B$2:$B$13,MATCH($H1245,Productos!$A$2:$A$13,0))</f>
        <v>Tornillo estructural M16x90 clase 10.9</v>
      </c>
      <c r="J1245" s="32" t="str">
        <f aca="false">INDEX(Productos!$C$2:$C$13,MATCH($H1245,Productos!$A$2:$A$13,0))</f>
        <v>Especial</v>
      </c>
      <c r="K1245" s="31" t="s">
        <v>246</v>
      </c>
      <c r="L1245" s="46" t="n">
        <v>50</v>
      </c>
      <c r="M1245" s="50" t="n">
        <f aca="false">INDEX(Productos!$F$2:$F$13,MATCH($H1245,Productos!$A$2:$A$13,0))</f>
        <v>112</v>
      </c>
      <c r="N1245" s="51" t="n">
        <v>0.198</v>
      </c>
      <c r="O1245" s="52" t="n">
        <f aca="false">M1245*(1-N1245)</f>
        <v>89.824</v>
      </c>
      <c r="P1245" s="21" t="n">
        <f aca="false">L1245*O1245</f>
        <v>4491.2</v>
      </c>
      <c r="Q1245" s="50" t="n">
        <f aca="false">INDEX(Productos!$E$2:$E$13,MATCH($H1245,Productos!$A$2:$A$13,0))*INDEX(Parametros!$B$26:$B$43,MATCH($C1245,Parametros!$A$26:$A$43,0))</f>
        <v>60.72</v>
      </c>
      <c r="R1245" s="21" t="n">
        <f aca="false">L1245*Q1245</f>
        <v>3036</v>
      </c>
      <c r="S1245" s="18" t="n">
        <f aca="false">L1245*INDEX(Parametros!$B$20:$B$22,MATCH($E1245,Parametros!$A$20:$A$22,0))</f>
        <v>42.5</v>
      </c>
      <c r="T1245" s="18" t="n">
        <f aca="false">P1245*INDEX(Parametros!$B$13:$B$16,MATCH($F1245,Parametros!$A$13:$A$16,0))</f>
        <v>134.736</v>
      </c>
      <c r="U1245" s="21" t="n">
        <f aca="false">P1245-R1245-S1245-T1245</f>
        <v>1277.964</v>
      </c>
      <c r="V1245" s="19" t="n">
        <f aca="false">IFERROR(U1245/P1245,0)</f>
        <v>0.284548450302815</v>
      </c>
      <c r="W1245" s="48" t="n">
        <f aca="false">B1245+INDEX(Parametros!$C$13:$C$16,MATCH($F1245,Parametros!$A$13:$A$16,0))</f>
        <v>46146</v>
      </c>
      <c r="X1245" s="31" t="s">
        <v>67</v>
      </c>
      <c r="Y1245" s="53" t="n">
        <f aca="false">IF(COUNTIF($A$2:$A1245,A1245)=1,1,0)</f>
        <v>1</v>
      </c>
    </row>
    <row r="1246" customFormat="false" ht="15" hidden="false" customHeight="false" outlineLevel="0" collapsed="false">
      <c r="A1246" s="31" t="s">
        <v>913</v>
      </c>
      <c r="B1246" s="36" t="n">
        <v>46087</v>
      </c>
      <c r="C1246" s="49" t="n">
        <f aca="false">DATE(YEAR(B1246),MONTH(B1246),1)</f>
        <v>46082</v>
      </c>
      <c r="D1246" s="31" t="s">
        <v>226</v>
      </c>
      <c r="E1246" s="31" t="s">
        <v>43</v>
      </c>
      <c r="F1246" s="31" t="s">
        <v>46</v>
      </c>
      <c r="G1246" s="31" t="s">
        <v>59</v>
      </c>
      <c r="H1246" s="31" t="s">
        <v>173</v>
      </c>
      <c r="I1246" s="32" t="str">
        <f aca="false">INDEX(Productos!$B$2:$B$13,MATCH($H1246,Productos!$A$2:$A$13,0))</f>
        <v>Tornillo DIN 933 M12x70 clase 8.8</v>
      </c>
      <c r="J1246" s="32" t="str">
        <f aca="false">INDEX(Productos!$C$2:$C$13,MATCH($H1246,Productos!$A$2:$A$13,0))</f>
        <v>Métrica</v>
      </c>
      <c r="K1246" s="31" t="s">
        <v>246</v>
      </c>
      <c r="L1246" s="46" t="n">
        <v>41</v>
      </c>
      <c r="M1246" s="50" t="n">
        <f aca="false">INDEX(Productos!$F$2:$F$13,MATCH($H1246,Productos!$A$2:$A$13,0))</f>
        <v>64</v>
      </c>
      <c r="N1246" s="51" t="n">
        <v>0.134</v>
      </c>
      <c r="O1246" s="52" t="n">
        <f aca="false">M1246*(1-N1246)</f>
        <v>55.424</v>
      </c>
      <c r="P1246" s="21" t="n">
        <f aca="false">L1246*O1246</f>
        <v>2272.384</v>
      </c>
      <c r="Q1246" s="50" t="n">
        <f aca="false">INDEX(Productos!$E$2:$E$13,MATCH($H1246,Productos!$A$2:$A$13,0))*INDEX(Parametros!$B$26:$B$43,MATCH($C1246,Parametros!$A$26:$A$43,0))</f>
        <v>33.902</v>
      </c>
      <c r="R1246" s="21" t="n">
        <f aca="false">L1246*Q1246</f>
        <v>1389.982</v>
      </c>
      <c r="S1246" s="18" t="n">
        <f aca="false">L1246*INDEX(Parametros!$B$20:$B$22,MATCH($E1246,Parametros!$A$20:$A$22,0))</f>
        <v>77.9</v>
      </c>
      <c r="T1246" s="18" t="n">
        <f aca="false">P1246*INDEX(Parametros!$B$13:$B$16,MATCH($F1246,Parametros!$A$13:$A$16,0))</f>
        <v>90.89536</v>
      </c>
      <c r="U1246" s="21" t="n">
        <f aca="false">P1246-R1246-S1246-T1246</f>
        <v>713.60664</v>
      </c>
      <c r="V1246" s="19" t="n">
        <f aca="false">IFERROR(U1246/P1246,0)</f>
        <v>0.31403435334873</v>
      </c>
      <c r="W1246" s="48" t="n">
        <f aca="false">B1246+INDEX(Parametros!$C$13:$C$16,MATCH($F1246,Parametros!$A$13:$A$16,0))</f>
        <v>46162</v>
      </c>
      <c r="X1246" s="31" t="s">
        <v>67</v>
      </c>
      <c r="Y1246" s="53" t="n">
        <f aca="false">IF(COUNTIF($A$2:$A1246,A1246)=1,1,0)</f>
        <v>1</v>
      </c>
    </row>
    <row r="1247" customFormat="false" ht="15" hidden="false" customHeight="false" outlineLevel="0" collapsed="false">
      <c r="A1247" s="31" t="s">
        <v>914</v>
      </c>
      <c r="B1247" s="36" t="n">
        <v>46087</v>
      </c>
      <c r="C1247" s="49" t="n">
        <f aca="false">DATE(YEAR(B1247),MONTH(B1247),1)</f>
        <v>46082</v>
      </c>
      <c r="D1247" s="31" t="s">
        <v>205</v>
      </c>
      <c r="E1247" s="31" t="s">
        <v>41</v>
      </c>
      <c r="F1247" s="31" t="s">
        <v>45</v>
      </c>
      <c r="G1247" s="31" t="s">
        <v>62</v>
      </c>
      <c r="H1247" s="31" t="s">
        <v>167</v>
      </c>
      <c r="I1247" s="32" t="str">
        <f aca="false">INDEX(Productos!$B$2:$B$13,MATCH($H1247,Productos!$A$2:$A$13,0))</f>
        <v>Tornillo DIN 912 M6x25 Allen zincado</v>
      </c>
      <c r="J1247" s="32" t="str">
        <f aca="false">INDEX(Productos!$C$2:$C$13,MATCH($H1247,Productos!$A$2:$A$13,0))</f>
        <v>Métrica</v>
      </c>
      <c r="K1247" s="31" t="s">
        <v>246</v>
      </c>
      <c r="L1247" s="46" t="n">
        <v>141</v>
      </c>
      <c r="M1247" s="50" t="n">
        <f aca="false">INDEX(Productos!$F$2:$F$13,MATCH($H1247,Productos!$A$2:$A$13,0))</f>
        <v>42</v>
      </c>
      <c r="N1247" s="51" t="n">
        <v>0.146</v>
      </c>
      <c r="O1247" s="52" t="n">
        <f aca="false">M1247*(1-N1247)</f>
        <v>35.868</v>
      </c>
      <c r="P1247" s="21" t="n">
        <f aca="false">L1247*O1247</f>
        <v>5057.388</v>
      </c>
      <c r="Q1247" s="50" t="n">
        <f aca="false">INDEX(Productos!$E$2:$E$13,MATCH($H1247,Productos!$A$2:$A$13,0))*INDEX(Parametros!$B$26:$B$43,MATCH($C1247,Parametros!$A$26:$A$43,0))</f>
        <v>22.0616</v>
      </c>
      <c r="R1247" s="21" t="n">
        <f aca="false">L1247*Q1247</f>
        <v>3110.6856</v>
      </c>
      <c r="S1247" s="18" t="n">
        <f aca="false">L1247*INDEX(Parametros!$B$20:$B$22,MATCH($E1247,Parametros!$A$20:$A$22,0))</f>
        <v>119.85</v>
      </c>
      <c r="T1247" s="18" t="n">
        <f aca="false">P1247*INDEX(Parametros!$B$13:$B$16,MATCH($F1247,Parametros!$A$13:$A$16,0))</f>
        <v>151.72164</v>
      </c>
      <c r="U1247" s="21" t="n">
        <f aca="false">P1247-R1247-S1247-T1247</f>
        <v>1675.13076</v>
      </c>
      <c r="V1247" s="19" t="n">
        <f aca="false">IFERROR(U1247/P1247,0)</f>
        <v>0.331224489795918</v>
      </c>
      <c r="W1247" s="48" t="n">
        <f aca="false">B1247+INDEX(Parametros!$C$13:$C$16,MATCH($F1247,Parametros!$A$13:$A$16,0))</f>
        <v>46147</v>
      </c>
      <c r="X1247" s="31" t="s">
        <v>67</v>
      </c>
      <c r="Y1247" s="53" t="n">
        <f aca="false">IF(COUNTIF($A$2:$A1247,A1247)=1,1,0)</f>
        <v>1</v>
      </c>
    </row>
    <row r="1248" customFormat="false" ht="15" hidden="false" customHeight="false" outlineLevel="0" collapsed="false">
      <c r="A1248" s="31" t="s">
        <v>914</v>
      </c>
      <c r="B1248" s="36" t="n">
        <v>46087</v>
      </c>
      <c r="C1248" s="49" t="n">
        <f aca="false">DATE(YEAR(B1248),MONTH(B1248),1)</f>
        <v>46082</v>
      </c>
      <c r="D1248" s="31" t="s">
        <v>205</v>
      </c>
      <c r="E1248" s="31" t="s">
        <v>41</v>
      </c>
      <c r="F1248" s="31" t="s">
        <v>45</v>
      </c>
      <c r="G1248" s="31" t="s">
        <v>62</v>
      </c>
      <c r="H1248" s="31" t="s">
        <v>183</v>
      </c>
      <c r="I1248" s="32" t="str">
        <f aca="false">INDEX(Productos!$B$2:$B$13,MATCH($H1248,Productos!$A$2:$A$13,0))</f>
        <v>Tornillo estructural M16x90 clase 10.9</v>
      </c>
      <c r="J1248" s="32" t="str">
        <f aca="false">INDEX(Productos!$C$2:$C$13,MATCH($H1248,Productos!$A$2:$A$13,0))</f>
        <v>Especial</v>
      </c>
      <c r="K1248" s="31" t="s">
        <v>246</v>
      </c>
      <c r="L1248" s="46" t="n">
        <v>58</v>
      </c>
      <c r="M1248" s="50" t="n">
        <f aca="false">INDEX(Productos!$F$2:$F$13,MATCH($H1248,Productos!$A$2:$A$13,0))</f>
        <v>112</v>
      </c>
      <c r="N1248" s="51" t="n">
        <v>0.15</v>
      </c>
      <c r="O1248" s="52" t="n">
        <f aca="false">M1248*(1-N1248)</f>
        <v>95.2</v>
      </c>
      <c r="P1248" s="21" t="n">
        <f aca="false">L1248*O1248</f>
        <v>5521.6</v>
      </c>
      <c r="Q1248" s="50" t="n">
        <f aca="false">INDEX(Productos!$E$2:$E$13,MATCH($H1248,Productos!$A$2:$A$13,0))*INDEX(Parametros!$B$26:$B$43,MATCH($C1248,Parametros!$A$26:$A$43,0))</f>
        <v>60.72</v>
      </c>
      <c r="R1248" s="21" t="n">
        <f aca="false">L1248*Q1248</f>
        <v>3521.76</v>
      </c>
      <c r="S1248" s="18" t="n">
        <f aca="false">L1248*INDEX(Parametros!$B$20:$B$22,MATCH($E1248,Parametros!$A$20:$A$22,0))</f>
        <v>49.3</v>
      </c>
      <c r="T1248" s="18" t="n">
        <f aca="false">P1248*INDEX(Parametros!$B$13:$B$16,MATCH($F1248,Parametros!$A$13:$A$16,0))</f>
        <v>165.648</v>
      </c>
      <c r="U1248" s="21" t="n">
        <f aca="false">P1248-R1248-S1248-T1248</f>
        <v>1784.892</v>
      </c>
      <c r="V1248" s="19" t="n">
        <f aca="false">IFERROR(U1248/P1248,0)</f>
        <v>0.323256302521009</v>
      </c>
      <c r="W1248" s="48" t="n">
        <f aca="false">B1248+INDEX(Parametros!$C$13:$C$16,MATCH($F1248,Parametros!$A$13:$A$16,0))</f>
        <v>46147</v>
      </c>
      <c r="X1248" s="31" t="s">
        <v>67</v>
      </c>
      <c r="Y1248" s="53" t="n">
        <f aca="false">IF(COUNTIF($A$2:$A1248,A1248)=1,1,0)</f>
        <v>0</v>
      </c>
    </row>
    <row r="1249" customFormat="false" ht="15" hidden="false" customHeight="false" outlineLevel="0" collapsed="false">
      <c r="A1249" s="31" t="s">
        <v>914</v>
      </c>
      <c r="B1249" s="36" t="n">
        <v>46087</v>
      </c>
      <c r="C1249" s="49" t="n">
        <f aca="false">DATE(YEAR(B1249),MONTH(B1249),1)</f>
        <v>46082</v>
      </c>
      <c r="D1249" s="31" t="s">
        <v>205</v>
      </c>
      <c r="E1249" s="31" t="s">
        <v>41</v>
      </c>
      <c r="F1249" s="31" t="s">
        <v>45</v>
      </c>
      <c r="G1249" s="31" t="s">
        <v>62</v>
      </c>
      <c r="H1249" s="31" t="s">
        <v>169</v>
      </c>
      <c r="I1249" s="32" t="str">
        <f aca="false">INDEX(Productos!$B$2:$B$13,MATCH($H1249,Productos!$A$2:$A$13,0))</f>
        <v>Tornillo DIN 912 M10x60 Allen inox A2</v>
      </c>
      <c r="J1249" s="32" t="str">
        <f aca="false">INDEX(Productos!$C$2:$C$13,MATCH($H1249,Productos!$A$2:$A$13,0))</f>
        <v>Inoxidable</v>
      </c>
      <c r="K1249" s="31" t="s">
        <v>246</v>
      </c>
      <c r="L1249" s="46" t="n">
        <v>139</v>
      </c>
      <c r="M1249" s="50" t="n">
        <f aca="false">INDEX(Productos!$F$2:$F$13,MATCH($H1249,Productos!$A$2:$A$13,0))</f>
        <v>79</v>
      </c>
      <c r="N1249" s="51" t="n">
        <v>0.189</v>
      </c>
      <c r="O1249" s="52" t="n">
        <f aca="false">M1249*(1-N1249)</f>
        <v>64.069</v>
      </c>
      <c r="P1249" s="21" t="n">
        <f aca="false">L1249*O1249</f>
        <v>8905.591</v>
      </c>
      <c r="Q1249" s="50" t="n">
        <f aca="false">INDEX(Productos!$E$2:$E$13,MATCH($H1249,Productos!$A$2:$A$13,0))*INDEX(Parametros!$B$26:$B$43,MATCH($C1249,Parametros!$A$26:$A$43,0))</f>
        <v>42.504</v>
      </c>
      <c r="R1249" s="21" t="n">
        <f aca="false">L1249*Q1249</f>
        <v>5908.056</v>
      </c>
      <c r="S1249" s="18" t="n">
        <f aca="false">L1249*INDEX(Parametros!$B$20:$B$22,MATCH($E1249,Parametros!$A$20:$A$22,0))</f>
        <v>118.15</v>
      </c>
      <c r="T1249" s="18" t="n">
        <f aca="false">P1249*INDEX(Parametros!$B$13:$B$16,MATCH($F1249,Parametros!$A$13:$A$16,0))</f>
        <v>267.16773</v>
      </c>
      <c r="U1249" s="21" t="n">
        <f aca="false">P1249-R1249-S1249-T1249</f>
        <v>2612.21727</v>
      </c>
      <c r="V1249" s="19" t="n">
        <f aca="false">IFERROR(U1249/P1249,0)</f>
        <v>0.293323292075731</v>
      </c>
      <c r="W1249" s="48" t="n">
        <f aca="false">B1249+INDEX(Parametros!$C$13:$C$16,MATCH($F1249,Parametros!$A$13:$A$16,0))</f>
        <v>46147</v>
      </c>
      <c r="X1249" s="31" t="s">
        <v>67</v>
      </c>
      <c r="Y1249" s="53" t="n">
        <f aca="false">IF(COUNTIF($A$2:$A1249,A1249)=1,1,0)</f>
        <v>0</v>
      </c>
    </row>
    <row r="1250" customFormat="false" ht="15" hidden="false" customHeight="false" outlineLevel="0" collapsed="false">
      <c r="A1250" s="31" t="s">
        <v>915</v>
      </c>
      <c r="B1250" s="36" t="n">
        <v>46087</v>
      </c>
      <c r="C1250" s="49" t="n">
        <f aca="false">DATE(YEAR(B1250),MONTH(B1250),1)</f>
        <v>46082</v>
      </c>
      <c r="D1250" s="31" t="s">
        <v>216</v>
      </c>
      <c r="E1250" s="31" t="s">
        <v>42</v>
      </c>
      <c r="F1250" s="31" t="s">
        <v>45</v>
      </c>
      <c r="G1250" s="31" t="s">
        <v>61</v>
      </c>
      <c r="H1250" s="31" t="s">
        <v>167</v>
      </c>
      <c r="I1250" s="32" t="str">
        <f aca="false">INDEX(Productos!$B$2:$B$13,MATCH($H1250,Productos!$A$2:$A$13,0))</f>
        <v>Tornillo DIN 912 M6x25 Allen zincado</v>
      </c>
      <c r="J1250" s="32" t="str">
        <f aca="false">INDEX(Productos!$C$2:$C$13,MATCH($H1250,Productos!$A$2:$A$13,0))</f>
        <v>Métrica</v>
      </c>
      <c r="K1250" s="31" t="s">
        <v>246</v>
      </c>
      <c r="L1250" s="46" t="n">
        <v>67</v>
      </c>
      <c r="M1250" s="50" t="n">
        <f aca="false">INDEX(Productos!$F$2:$F$13,MATCH($H1250,Productos!$A$2:$A$13,0))</f>
        <v>42</v>
      </c>
      <c r="N1250" s="51" t="n">
        <v>0.152</v>
      </c>
      <c r="O1250" s="52" t="n">
        <f aca="false">M1250*(1-N1250)</f>
        <v>35.616</v>
      </c>
      <c r="P1250" s="21" t="n">
        <f aca="false">L1250*O1250</f>
        <v>2386.272</v>
      </c>
      <c r="Q1250" s="50" t="n">
        <f aca="false">INDEX(Productos!$E$2:$E$13,MATCH($H1250,Productos!$A$2:$A$13,0))*INDEX(Parametros!$B$26:$B$43,MATCH($C1250,Parametros!$A$26:$A$43,0))</f>
        <v>22.0616</v>
      </c>
      <c r="R1250" s="21" t="n">
        <f aca="false">L1250*Q1250</f>
        <v>1478.1272</v>
      </c>
      <c r="S1250" s="18" t="n">
        <f aca="false">L1250*INDEX(Parametros!$B$20:$B$22,MATCH($E1250,Parametros!$A$20:$A$22,0))</f>
        <v>160.8</v>
      </c>
      <c r="T1250" s="18" t="n">
        <f aca="false">P1250*INDEX(Parametros!$B$13:$B$16,MATCH($F1250,Parametros!$A$13:$A$16,0))</f>
        <v>71.58816</v>
      </c>
      <c r="U1250" s="21" t="n">
        <f aca="false">P1250-R1250-S1250-T1250</f>
        <v>675.75664</v>
      </c>
      <c r="V1250" s="19" t="n">
        <f aca="false">IFERROR(U1250/P1250,0)</f>
        <v>0.283185085354897</v>
      </c>
      <c r="W1250" s="48" t="n">
        <f aca="false">B1250+INDEX(Parametros!$C$13:$C$16,MATCH($F1250,Parametros!$A$13:$A$16,0))</f>
        <v>46147</v>
      </c>
      <c r="X1250" s="31" t="s">
        <v>67</v>
      </c>
      <c r="Y1250" s="53" t="n">
        <f aca="false">IF(COUNTIF($A$2:$A1250,A1250)=1,1,0)</f>
        <v>1</v>
      </c>
    </row>
    <row r="1251" customFormat="false" ht="15" hidden="false" customHeight="false" outlineLevel="0" collapsed="false">
      <c r="A1251" s="31" t="s">
        <v>915</v>
      </c>
      <c r="B1251" s="36" t="n">
        <v>46087</v>
      </c>
      <c r="C1251" s="49" t="n">
        <f aca="false">DATE(YEAR(B1251),MONTH(B1251),1)</f>
        <v>46082</v>
      </c>
      <c r="D1251" s="31" t="s">
        <v>216</v>
      </c>
      <c r="E1251" s="31" t="s">
        <v>42</v>
      </c>
      <c r="F1251" s="31" t="s">
        <v>45</v>
      </c>
      <c r="G1251" s="31" t="s">
        <v>61</v>
      </c>
      <c r="H1251" s="31" t="s">
        <v>179</v>
      </c>
      <c r="I1251" s="32" t="str">
        <f aca="false">INDEX(Productos!$B$2:$B$13,MATCH($H1251,Productos!$A$2:$A$13,0))</f>
        <v>Autotaladrante DIN 7504 4,8x38 zincado</v>
      </c>
      <c r="J1251" s="32" t="str">
        <f aca="false">INDEX(Productos!$C$2:$C$13,MATCH($H1251,Productos!$A$2:$A$13,0))</f>
        <v>Autotaladrante</v>
      </c>
      <c r="K1251" s="31" t="s">
        <v>246</v>
      </c>
      <c r="L1251" s="46" t="n">
        <v>56</v>
      </c>
      <c r="M1251" s="50" t="n">
        <f aca="false">INDEX(Productos!$F$2:$F$13,MATCH($H1251,Productos!$A$2:$A$13,0))</f>
        <v>29.5</v>
      </c>
      <c r="N1251" s="51" t="n">
        <v>0.155</v>
      </c>
      <c r="O1251" s="52" t="n">
        <f aca="false">M1251*(1-N1251)</f>
        <v>24.9275</v>
      </c>
      <c r="P1251" s="21" t="n">
        <f aca="false">L1251*O1251</f>
        <v>1395.94</v>
      </c>
      <c r="Q1251" s="50" t="n">
        <f aca="false">INDEX(Productos!$E$2:$E$13,MATCH($H1251,Productos!$A$2:$A$13,0))*INDEX(Parametros!$B$26:$B$43,MATCH($C1251,Parametros!$A$26:$A$43,0))</f>
        <v>15.3824</v>
      </c>
      <c r="R1251" s="21" t="n">
        <f aca="false">L1251*Q1251</f>
        <v>861.4144</v>
      </c>
      <c r="S1251" s="18" t="n">
        <f aca="false">L1251*INDEX(Parametros!$B$20:$B$22,MATCH($E1251,Parametros!$A$20:$A$22,0))</f>
        <v>134.4</v>
      </c>
      <c r="T1251" s="18" t="n">
        <f aca="false">P1251*INDEX(Parametros!$B$13:$B$16,MATCH($F1251,Parametros!$A$13:$A$16,0))</f>
        <v>41.8782</v>
      </c>
      <c r="U1251" s="21" t="n">
        <f aca="false">P1251-R1251-S1251-T1251</f>
        <v>358.2474</v>
      </c>
      <c r="V1251" s="19" t="n">
        <f aca="false">IFERROR(U1251/P1251,0)</f>
        <v>0.256635242202387</v>
      </c>
      <c r="W1251" s="48" t="n">
        <f aca="false">B1251+INDEX(Parametros!$C$13:$C$16,MATCH($F1251,Parametros!$A$13:$A$16,0))</f>
        <v>46147</v>
      </c>
      <c r="X1251" s="31" t="s">
        <v>67</v>
      </c>
      <c r="Y1251" s="53" t="n">
        <f aca="false">IF(COUNTIF($A$2:$A1251,A1251)=1,1,0)</f>
        <v>0</v>
      </c>
    </row>
    <row r="1252" customFormat="false" ht="15" hidden="false" customHeight="false" outlineLevel="0" collapsed="false">
      <c r="A1252" s="31" t="s">
        <v>916</v>
      </c>
      <c r="B1252" s="36" t="n">
        <v>46090</v>
      </c>
      <c r="C1252" s="49" t="n">
        <f aca="false">DATE(YEAR(B1252),MONTH(B1252),1)</f>
        <v>46082</v>
      </c>
      <c r="D1252" s="31" t="s">
        <v>210</v>
      </c>
      <c r="E1252" s="31" t="s">
        <v>41</v>
      </c>
      <c r="F1252" s="31" t="s">
        <v>48</v>
      </c>
      <c r="G1252" s="31" t="s">
        <v>60</v>
      </c>
      <c r="H1252" s="31" t="s">
        <v>183</v>
      </c>
      <c r="I1252" s="32" t="str">
        <f aca="false">INDEX(Productos!$B$2:$B$13,MATCH($H1252,Productos!$A$2:$A$13,0))</f>
        <v>Tornillo estructural M16x90 clase 10.9</v>
      </c>
      <c r="J1252" s="32" t="str">
        <f aca="false">INDEX(Productos!$C$2:$C$13,MATCH($H1252,Productos!$A$2:$A$13,0))</f>
        <v>Especial</v>
      </c>
      <c r="K1252" s="31" t="s">
        <v>246</v>
      </c>
      <c r="L1252" s="46" t="n">
        <v>21</v>
      </c>
      <c r="M1252" s="50" t="n">
        <f aca="false">INDEX(Productos!$F$2:$F$13,MATCH($H1252,Productos!$A$2:$A$13,0))</f>
        <v>112</v>
      </c>
      <c r="N1252" s="51" t="n">
        <v>0.02</v>
      </c>
      <c r="O1252" s="52" t="n">
        <f aca="false">M1252*(1-N1252)</f>
        <v>109.76</v>
      </c>
      <c r="P1252" s="21" t="n">
        <f aca="false">L1252*O1252</f>
        <v>2304.96</v>
      </c>
      <c r="Q1252" s="50" t="n">
        <f aca="false">INDEX(Productos!$E$2:$E$13,MATCH($H1252,Productos!$A$2:$A$13,0))*INDEX(Parametros!$B$26:$B$43,MATCH($C1252,Parametros!$A$26:$A$43,0))</f>
        <v>60.72</v>
      </c>
      <c r="R1252" s="21" t="n">
        <f aca="false">L1252*Q1252</f>
        <v>1275.12</v>
      </c>
      <c r="S1252" s="18" t="n">
        <f aca="false">L1252*INDEX(Parametros!$B$20:$B$22,MATCH($E1252,Parametros!$A$20:$A$22,0))</f>
        <v>17.85</v>
      </c>
      <c r="T1252" s="18" t="n">
        <f aca="false">P1252*INDEX(Parametros!$B$13:$B$16,MATCH($F1252,Parametros!$A$13:$A$16,0))</f>
        <v>23.0496</v>
      </c>
      <c r="U1252" s="21" t="n">
        <f aca="false">P1252-R1252-S1252-T1252</f>
        <v>988.9404</v>
      </c>
      <c r="V1252" s="19" t="n">
        <f aca="false">IFERROR(U1252/P1252,0)</f>
        <v>0.429048833819242</v>
      </c>
      <c r="W1252" s="48" t="n">
        <f aca="false">B1252+INDEX(Parametros!$C$13:$C$16,MATCH($F1252,Parametros!$A$13:$A$16,0))</f>
        <v>46090</v>
      </c>
      <c r="X1252" s="31" t="s">
        <v>67</v>
      </c>
      <c r="Y1252" s="53" t="n">
        <f aca="false">IF(COUNTIF($A$2:$A1252,A1252)=1,1,0)</f>
        <v>1</v>
      </c>
    </row>
    <row r="1253" customFormat="false" ht="15" hidden="false" customHeight="false" outlineLevel="0" collapsed="false">
      <c r="A1253" s="31" t="s">
        <v>917</v>
      </c>
      <c r="B1253" s="36" t="n">
        <v>46090</v>
      </c>
      <c r="C1253" s="49" t="n">
        <f aca="false">DATE(YEAR(B1253),MONTH(B1253),1)</f>
        <v>46082</v>
      </c>
      <c r="D1253" s="31" t="s">
        <v>198</v>
      </c>
      <c r="E1253" s="31" t="s">
        <v>41</v>
      </c>
      <c r="F1253" s="31" t="s">
        <v>46</v>
      </c>
      <c r="G1253" s="31" t="s">
        <v>58</v>
      </c>
      <c r="H1253" s="31" t="s">
        <v>177</v>
      </c>
      <c r="I1253" s="32" t="str">
        <f aca="false">INDEX(Productos!$B$2:$B$13,MATCH($H1253,Productos!$A$2:$A$13,0))</f>
        <v>Tirafondo madera 6x100 cabeza plana Torx</v>
      </c>
      <c r="J1253" s="32" t="str">
        <f aca="false">INDEX(Productos!$C$2:$C$13,MATCH($H1253,Productos!$A$2:$A$13,0))</f>
        <v>Madera</v>
      </c>
      <c r="K1253" s="31" t="s">
        <v>246</v>
      </c>
      <c r="L1253" s="46" t="n">
        <v>48</v>
      </c>
      <c r="M1253" s="50" t="n">
        <f aca="false">INDEX(Productos!$F$2:$F$13,MATCH($H1253,Productos!$A$2:$A$13,0))</f>
        <v>34</v>
      </c>
      <c r="N1253" s="51" t="n">
        <v>0.114</v>
      </c>
      <c r="O1253" s="52" t="n">
        <f aca="false">M1253*(1-N1253)</f>
        <v>30.124</v>
      </c>
      <c r="P1253" s="21" t="n">
        <f aca="false">L1253*O1253</f>
        <v>1445.952</v>
      </c>
      <c r="Q1253" s="50" t="n">
        <f aca="false">INDEX(Productos!$E$2:$E$13,MATCH($H1253,Productos!$A$2:$A$13,0))*INDEX(Parametros!$B$26:$B$43,MATCH($C1253,Parametros!$A$26:$A$43,0))</f>
        <v>18.0136</v>
      </c>
      <c r="R1253" s="21" t="n">
        <f aca="false">L1253*Q1253</f>
        <v>864.6528</v>
      </c>
      <c r="S1253" s="18" t="n">
        <f aca="false">L1253*INDEX(Parametros!$B$20:$B$22,MATCH($E1253,Parametros!$A$20:$A$22,0))</f>
        <v>40.8</v>
      </c>
      <c r="T1253" s="18" t="n">
        <f aca="false">P1253*INDEX(Parametros!$B$13:$B$16,MATCH($F1253,Parametros!$A$13:$A$16,0))</f>
        <v>57.83808</v>
      </c>
      <c r="U1253" s="21" t="n">
        <f aca="false">P1253-R1253-S1253-T1253</f>
        <v>482.66112</v>
      </c>
      <c r="V1253" s="19" t="n">
        <f aca="false">IFERROR(U1253/P1253,0)</f>
        <v>0.333801619970787</v>
      </c>
      <c r="W1253" s="48" t="n">
        <f aca="false">B1253+INDEX(Parametros!$C$13:$C$16,MATCH($F1253,Parametros!$A$13:$A$16,0))</f>
        <v>46165</v>
      </c>
      <c r="X1253" s="31" t="s">
        <v>67</v>
      </c>
      <c r="Y1253" s="53" t="n">
        <f aca="false">IF(COUNTIF($A$2:$A1253,A1253)=1,1,0)</f>
        <v>1</v>
      </c>
    </row>
    <row r="1254" customFormat="false" ht="15" hidden="false" customHeight="false" outlineLevel="0" collapsed="false">
      <c r="A1254" s="31" t="s">
        <v>917</v>
      </c>
      <c r="B1254" s="36" t="n">
        <v>46090</v>
      </c>
      <c r="C1254" s="49" t="n">
        <f aca="false">DATE(YEAR(B1254),MONTH(B1254),1)</f>
        <v>46082</v>
      </c>
      <c r="D1254" s="31" t="s">
        <v>198</v>
      </c>
      <c r="E1254" s="31" t="s">
        <v>41</v>
      </c>
      <c r="F1254" s="31" t="s">
        <v>46</v>
      </c>
      <c r="G1254" s="31" t="s">
        <v>58</v>
      </c>
      <c r="H1254" s="31" t="s">
        <v>175</v>
      </c>
      <c r="I1254" s="32" t="str">
        <f aca="false">INDEX(Productos!$B$2:$B$13,MATCH($H1254,Productos!$A$2:$A$13,0))</f>
        <v>Tirafondo madera 5x60 cabeza plana Torx</v>
      </c>
      <c r="J1254" s="32" t="str">
        <f aca="false">INDEX(Productos!$C$2:$C$13,MATCH($H1254,Productos!$A$2:$A$13,0))</f>
        <v>Madera</v>
      </c>
      <c r="K1254" s="31" t="s">
        <v>246</v>
      </c>
      <c r="L1254" s="46" t="n">
        <v>79</v>
      </c>
      <c r="M1254" s="50" t="n">
        <f aca="false">INDEX(Productos!$F$2:$F$13,MATCH($H1254,Productos!$A$2:$A$13,0))</f>
        <v>26</v>
      </c>
      <c r="N1254" s="51" t="n">
        <v>0.117</v>
      </c>
      <c r="O1254" s="52" t="n">
        <f aca="false">M1254*(1-N1254)</f>
        <v>22.958</v>
      </c>
      <c r="P1254" s="21" t="n">
        <f aca="false">L1254*O1254</f>
        <v>1813.682</v>
      </c>
      <c r="Q1254" s="50" t="n">
        <f aca="false">INDEX(Productos!$E$2:$E$13,MATCH($H1254,Productos!$A$2:$A$13,0))*INDEX(Parametros!$B$26:$B$43,MATCH($C1254,Parametros!$A$26:$A$43,0))</f>
        <v>13.5608</v>
      </c>
      <c r="R1254" s="21" t="n">
        <f aca="false">L1254*Q1254</f>
        <v>1071.3032</v>
      </c>
      <c r="S1254" s="18" t="n">
        <f aca="false">L1254*INDEX(Parametros!$B$20:$B$22,MATCH($E1254,Parametros!$A$20:$A$22,0))</f>
        <v>67.15</v>
      </c>
      <c r="T1254" s="18" t="n">
        <f aca="false">P1254*INDEX(Parametros!$B$13:$B$16,MATCH($F1254,Parametros!$A$13:$A$16,0))</f>
        <v>72.54728</v>
      </c>
      <c r="U1254" s="21" t="n">
        <f aca="false">P1254-R1254-S1254-T1254</f>
        <v>602.68152</v>
      </c>
      <c r="V1254" s="19" t="n">
        <f aca="false">IFERROR(U1254/P1254,0)</f>
        <v>0.332297238435404</v>
      </c>
      <c r="W1254" s="48" t="n">
        <f aca="false">B1254+INDEX(Parametros!$C$13:$C$16,MATCH($F1254,Parametros!$A$13:$A$16,0))</f>
        <v>46165</v>
      </c>
      <c r="X1254" s="31" t="s">
        <v>67</v>
      </c>
      <c r="Y1254" s="53" t="n">
        <f aca="false">IF(COUNTIF($A$2:$A1254,A1254)=1,1,0)</f>
        <v>0</v>
      </c>
    </row>
    <row r="1255" customFormat="false" ht="15" hidden="false" customHeight="false" outlineLevel="0" collapsed="false">
      <c r="A1255" s="31" t="s">
        <v>918</v>
      </c>
      <c r="B1255" s="36" t="n">
        <v>46090</v>
      </c>
      <c r="C1255" s="49" t="n">
        <f aca="false">DATE(YEAR(B1255),MONTH(B1255),1)</f>
        <v>46082</v>
      </c>
      <c r="D1255" s="31" t="s">
        <v>203</v>
      </c>
      <c r="E1255" s="31" t="s">
        <v>41</v>
      </c>
      <c r="F1255" s="31" t="s">
        <v>46</v>
      </c>
      <c r="G1255" s="31" t="s">
        <v>58</v>
      </c>
      <c r="H1255" s="31" t="s">
        <v>185</v>
      </c>
      <c r="I1255" s="32" t="str">
        <f aca="false">INDEX(Productos!$B$2:$B$13,MATCH($H1255,Productos!$A$2:$A$13,0))</f>
        <v>Varilla roscada M10 x 1 m zincada</v>
      </c>
      <c r="J1255" s="32" t="str">
        <f aca="false">INDEX(Productos!$C$2:$C$13,MATCH($H1255,Productos!$A$2:$A$13,0))</f>
        <v>Especial</v>
      </c>
      <c r="K1255" s="31" t="s">
        <v>246</v>
      </c>
      <c r="L1255" s="46" t="n">
        <v>305</v>
      </c>
      <c r="M1255" s="50" t="n">
        <f aca="false">INDEX(Productos!$F$2:$F$13,MATCH($H1255,Productos!$A$2:$A$13,0))</f>
        <v>54</v>
      </c>
      <c r="N1255" s="51" t="n">
        <v>0.149</v>
      </c>
      <c r="O1255" s="52" t="n">
        <f aca="false">M1255*(1-N1255)</f>
        <v>45.954</v>
      </c>
      <c r="P1255" s="21" t="n">
        <f aca="false">L1255*O1255</f>
        <v>14015.97</v>
      </c>
      <c r="Q1255" s="50" t="n">
        <f aca="false">INDEX(Productos!$E$2:$E$13,MATCH($H1255,Productos!$A$2:$A$13,0))*INDEX(Parametros!$B$26:$B$43,MATCH($C1255,Parametros!$A$26:$A$43,0))</f>
        <v>28.842</v>
      </c>
      <c r="R1255" s="21" t="n">
        <f aca="false">L1255*Q1255</f>
        <v>8796.81</v>
      </c>
      <c r="S1255" s="18" t="n">
        <f aca="false">L1255*INDEX(Parametros!$B$20:$B$22,MATCH($E1255,Parametros!$A$20:$A$22,0))</f>
        <v>259.25</v>
      </c>
      <c r="T1255" s="18" t="n">
        <f aca="false">P1255*INDEX(Parametros!$B$13:$B$16,MATCH($F1255,Parametros!$A$13:$A$16,0))</f>
        <v>560.6388</v>
      </c>
      <c r="U1255" s="21" t="n">
        <f aca="false">P1255-R1255-S1255-T1255</f>
        <v>4399.2712</v>
      </c>
      <c r="V1255" s="19" t="n">
        <f aca="false">IFERROR(U1255/P1255,0)</f>
        <v>0.31387561474518</v>
      </c>
      <c r="W1255" s="48" t="n">
        <f aca="false">B1255+INDEX(Parametros!$C$13:$C$16,MATCH($F1255,Parametros!$A$13:$A$16,0))</f>
        <v>46165</v>
      </c>
      <c r="X1255" s="31" t="s">
        <v>67</v>
      </c>
      <c r="Y1255" s="53" t="n">
        <f aca="false">IF(COUNTIF($A$2:$A1255,A1255)=1,1,0)</f>
        <v>1</v>
      </c>
    </row>
    <row r="1256" customFormat="false" ht="15" hidden="false" customHeight="false" outlineLevel="0" collapsed="false">
      <c r="A1256" s="31" t="s">
        <v>919</v>
      </c>
      <c r="B1256" s="36" t="n">
        <v>46090</v>
      </c>
      <c r="C1256" s="49" t="n">
        <f aca="false">DATE(YEAR(B1256),MONTH(B1256),1)</f>
        <v>46082</v>
      </c>
      <c r="D1256" s="31" t="s">
        <v>199</v>
      </c>
      <c r="E1256" s="31" t="s">
        <v>41</v>
      </c>
      <c r="F1256" s="31" t="s">
        <v>45</v>
      </c>
      <c r="G1256" s="31" t="s">
        <v>58</v>
      </c>
      <c r="H1256" s="31" t="s">
        <v>177</v>
      </c>
      <c r="I1256" s="32" t="str">
        <f aca="false">INDEX(Productos!$B$2:$B$13,MATCH($H1256,Productos!$A$2:$A$13,0))</f>
        <v>Tirafondo madera 6x100 cabeza plana Torx</v>
      </c>
      <c r="J1256" s="32" t="str">
        <f aca="false">INDEX(Productos!$C$2:$C$13,MATCH($H1256,Productos!$A$2:$A$13,0))</f>
        <v>Madera</v>
      </c>
      <c r="K1256" s="31" t="s">
        <v>246</v>
      </c>
      <c r="L1256" s="46" t="n">
        <v>77</v>
      </c>
      <c r="M1256" s="50" t="n">
        <f aca="false">INDEX(Productos!$F$2:$F$13,MATCH($H1256,Productos!$A$2:$A$13,0))</f>
        <v>34</v>
      </c>
      <c r="N1256" s="51" t="n">
        <v>0.196</v>
      </c>
      <c r="O1256" s="52" t="n">
        <f aca="false">M1256*(1-N1256)</f>
        <v>27.336</v>
      </c>
      <c r="P1256" s="21" t="n">
        <f aca="false">L1256*O1256</f>
        <v>2104.872</v>
      </c>
      <c r="Q1256" s="50" t="n">
        <f aca="false">INDEX(Productos!$E$2:$E$13,MATCH($H1256,Productos!$A$2:$A$13,0))*INDEX(Parametros!$B$26:$B$43,MATCH($C1256,Parametros!$A$26:$A$43,0))</f>
        <v>18.0136</v>
      </c>
      <c r="R1256" s="21" t="n">
        <f aca="false">L1256*Q1256</f>
        <v>1387.0472</v>
      </c>
      <c r="S1256" s="18" t="n">
        <f aca="false">L1256*INDEX(Parametros!$B$20:$B$22,MATCH($E1256,Parametros!$A$20:$A$22,0))</f>
        <v>65.45</v>
      </c>
      <c r="T1256" s="18" t="n">
        <f aca="false">P1256*INDEX(Parametros!$B$13:$B$16,MATCH($F1256,Parametros!$A$13:$A$16,0))</f>
        <v>63.14616</v>
      </c>
      <c r="U1256" s="21" t="n">
        <f aca="false">P1256-R1256-S1256-T1256</f>
        <v>589.22864</v>
      </c>
      <c r="V1256" s="19" t="n">
        <f aca="false">IFERROR(U1256/P1256,0)</f>
        <v>0.27993561603746</v>
      </c>
      <c r="W1256" s="48" t="n">
        <f aca="false">B1256+INDEX(Parametros!$C$13:$C$16,MATCH($F1256,Parametros!$A$13:$A$16,0))</f>
        <v>46150</v>
      </c>
      <c r="X1256" s="31" t="s">
        <v>67</v>
      </c>
      <c r="Y1256" s="53" t="n">
        <f aca="false">IF(COUNTIF($A$2:$A1256,A1256)=1,1,0)</f>
        <v>1</v>
      </c>
    </row>
    <row r="1257" customFormat="false" ht="15" hidden="false" customHeight="false" outlineLevel="0" collapsed="false">
      <c r="A1257" s="31" t="s">
        <v>919</v>
      </c>
      <c r="B1257" s="36" t="n">
        <v>46090</v>
      </c>
      <c r="C1257" s="49" t="n">
        <f aca="false">DATE(YEAR(B1257),MONTH(B1257),1)</f>
        <v>46082</v>
      </c>
      <c r="D1257" s="31" t="s">
        <v>199</v>
      </c>
      <c r="E1257" s="31" t="s">
        <v>41</v>
      </c>
      <c r="F1257" s="31" t="s">
        <v>45</v>
      </c>
      <c r="G1257" s="31" t="s">
        <v>58</v>
      </c>
      <c r="H1257" s="31" t="s">
        <v>183</v>
      </c>
      <c r="I1257" s="32" t="str">
        <f aca="false">INDEX(Productos!$B$2:$B$13,MATCH($H1257,Productos!$A$2:$A$13,0))</f>
        <v>Tornillo estructural M16x90 clase 10.9</v>
      </c>
      <c r="J1257" s="32" t="str">
        <f aca="false">INDEX(Productos!$C$2:$C$13,MATCH($H1257,Productos!$A$2:$A$13,0))</f>
        <v>Especial</v>
      </c>
      <c r="K1257" s="31" t="s">
        <v>246</v>
      </c>
      <c r="L1257" s="46" t="n">
        <v>36</v>
      </c>
      <c r="M1257" s="50" t="n">
        <f aca="false">INDEX(Productos!$F$2:$F$13,MATCH($H1257,Productos!$A$2:$A$13,0))</f>
        <v>112</v>
      </c>
      <c r="N1257" s="51" t="n">
        <v>0.121</v>
      </c>
      <c r="O1257" s="52" t="n">
        <f aca="false">M1257*(1-N1257)</f>
        <v>98.448</v>
      </c>
      <c r="P1257" s="21" t="n">
        <f aca="false">L1257*O1257</f>
        <v>3544.128</v>
      </c>
      <c r="Q1257" s="50" t="n">
        <f aca="false">INDEX(Productos!$E$2:$E$13,MATCH($H1257,Productos!$A$2:$A$13,0))*INDEX(Parametros!$B$26:$B$43,MATCH($C1257,Parametros!$A$26:$A$43,0))</f>
        <v>60.72</v>
      </c>
      <c r="R1257" s="21" t="n">
        <f aca="false">L1257*Q1257</f>
        <v>2185.92</v>
      </c>
      <c r="S1257" s="18" t="n">
        <f aca="false">L1257*INDEX(Parametros!$B$20:$B$22,MATCH($E1257,Parametros!$A$20:$A$22,0))</f>
        <v>30.6</v>
      </c>
      <c r="T1257" s="18" t="n">
        <f aca="false">P1257*INDEX(Parametros!$B$13:$B$16,MATCH($F1257,Parametros!$A$13:$A$16,0))</f>
        <v>106.32384</v>
      </c>
      <c r="U1257" s="21" t="n">
        <f aca="false">P1257-R1257-S1257-T1257</f>
        <v>1221.28416</v>
      </c>
      <c r="V1257" s="19" t="n">
        <f aca="false">IFERROR(U1257/P1257,0)</f>
        <v>0.344593694132943</v>
      </c>
      <c r="W1257" s="48" t="n">
        <f aca="false">B1257+INDEX(Parametros!$C$13:$C$16,MATCH($F1257,Parametros!$A$13:$A$16,0))</f>
        <v>46150</v>
      </c>
      <c r="X1257" s="31" t="s">
        <v>67</v>
      </c>
      <c r="Y1257" s="53" t="n">
        <f aca="false">IF(COUNTIF($A$2:$A1257,A1257)=1,1,0)</f>
        <v>0</v>
      </c>
    </row>
    <row r="1258" customFormat="false" ht="15" hidden="false" customHeight="false" outlineLevel="0" collapsed="false">
      <c r="A1258" s="31" t="s">
        <v>919</v>
      </c>
      <c r="B1258" s="36" t="n">
        <v>46090</v>
      </c>
      <c r="C1258" s="49" t="n">
        <f aca="false">DATE(YEAR(B1258),MONTH(B1258),1)</f>
        <v>46082</v>
      </c>
      <c r="D1258" s="31" t="s">
        <v>199</v>
      </c>
      <c r="E1258" s="31" t="s">
        <v>41</v>
      </c>
      <c r="F1258" s="31" t="s">
        <v>45</v>
      </c>
      <c r="G1258" s="31" t="s">
        <v>58</v>
      </c>
      <c r="H1258" s="31" t="s">
        <v>179</v>
      </c>
      <c r="I1258" s="32" t="str">
        <f aca="false">INDEX(Productos!$B$2:$B$13,MATCH($H1258,Productos!$A$2:$A$13,0))</f>
        <v>Autotaladrante DIN 7504 4,8x38 zincado</v>
      </c>
      <c r="J1258" s="32" t="str">
        <f aca="false">INDEX(Productos!$C$2:$C$13,MATCH($H1258,Productos!$A$2:$A$13,0))</f>
        <v>Autotaladrante</v>
      </c>
      <c r="K1258" s="31" t="s">
        <v>246</v>
      </c>
      <c r="L1258" s="46" t="n">
        <v>143</v>
      </c>
      <c r="M1258" s="50" t="n">
        <f aca="false">INDEX(Productos!$F$2:$F$13,MATCH($H1258,Productos!$A$2:$A$13,0))</f>
        <v>29.5</v>
      </c>
      <c r="N1258" s="51" t="n">
        <v>0.204</v>
      </c>
      <c r="O1258" s="52" t="n">
        <f aca="false">M1258*(1-N1258)</f>
        <v>23.482</v>
      </c>
      <c r="P1258" s="21" t="n">
        <f aca="false">L1258*O1258</f>
        <v>3357.926</v>
      </c>
      <c r="Q1258" s="50" t="n">
        <f aca="false">INDEX(Productos!$E$2:$E$13,MATCH($H1258,Productos!$A$2:$A$13,0))*INDEX(Parametros!$B$26:$B$43,MATCH($C1258,Parametros!$A$26:$A$43,0))</f>
        <v>15.3824</v>
      </c>
      <c r="R1258" s="21" t="n">
        <f aca="false">L1258*Q1258</f>
        <v>2199.6832</v>
      </c>
      <c r="S1258" s="18" t="n">
        <f aca="false">L1258*INDEX(Parametros!$B$20:$B$22,MATCH($E1258,Parametros!$A$20:$A$22,0))</f>
        <v>121.55</v>
      </c>
      <c r="T1258" s="18" t="n">
        <f aca="false">P1258*INDEX(Parametros!$B$13:$B$16,MATCH($F1258,Parametros!$A$13:$A$16,0))</f>
        <v>100.73778</v>
      </c>
      <c r="U1258" s="21" t="n">
        <f aca="false">P1258-R1258-S1258-T1258</f>
        <v>935.95502</v>
      </c>
      <c r="V1258" s="19" t="n">
        <f aca="false">IFERROR(U1258/P1258,0)</f>
        <v>0.278730091133634</v>
      </c>
      <c r="W1258" s="48" t="n">
        <f aca="false">B1258+INDEX(Parametros!$C$13:$C$16,MATCH($F1258,Parametros!$A$13:$A$16,0))</f>
        <v>46150</v>
      </c>
      <c r="X1258" s="31" t="s">
        <v>67</v>
      </c>
      <c r="Y1258" s="53" t="n">
        <f aca="false">IF(COUNTIF($A$2:$A1258,A1258)=1,1,0)</f>
        <v>0</v>
      </c>
    </row>
    <row r="1259" customFormat="false" ht="15" hidden="false" customHeight="false" outlineLevel="0" collapsed="false">
      <c r="A1259" s="31" t="s">
        <v>919</v>
      </c>
      <c r="B1259" s="36" t="n">
        <v>46090</v>
      </c>
      <c r="C1259" s="49" t="n">
        <f aca="false">DATE(YEAR(B1259),MONTH(B1259),1)</f>
        <v>46082</v>
      </c>
      <c r="D1259" s="31" t="s">
        <v>199</v>
      </c>
      <c r="E1259" s="31" t="s">
        <v>41</v>
      </c>
      <c r="F1259" s="31" t="s">
        <v>45</v>
      </c>
      <c r="G1259" s="31" t="s">
        <v>58</v>
      </c>
      <c r="H1259" s="31" t="s">
        <v>185</v>
      </c>
      <c r="I1259" s="32" t="str">
        <f aca="false">INDEX(Productos!$B$2:$B$13,MATCH($H1259,Productos!$A$2:$A$13,0))</f>
        <v>Varilla roscada M10 x 1 m zincada</v>
      </c>
      <c r="J1259" s="32" t="str">
        <f aca="false">INDEX(Productos!$C$2:$C$13,MATCH($H1259,Productos!$A$2:$A$13,0))</f>
        <v>Especial</v>
      </c>
      <c r="K1259" s="31" t="s">
        <v>246</v>
      </c>
      <c r="L1259" s="46" t="n">
        <v>30</v>
      </c>
      <c r="M1259" s="50" t="n">
        <f aca="false">INDEX(Productos!$F$2:$F$13,MATCH($H1259,Productos!$A$2:$A$13,0))</f>
        <v>54</v>
      </c>
      <c r="N1259" s="51" t="n">
        <v>0.195</v>
      </c>
      <c r="O1259" s="52" t="n">
        <f aca="false">M1259*(1-N1259)</f>
        <v>43.47</v>
      </c>
      <c r="P1259" s="21" t="n">
        <f aca="false">L1259*O1259</f>
        <v>1304.1</v>
      </c>
      <c r="Q1259" s="50" t="n">
        <f aca="false">INDEX(Productos!$E$2:$E$13,MATCH($H1259,Productos!$A$2:$A$13,0))*INDEX(Parametros!$B$26:$B$43,MATCH($C1259,Parametros!$A$26:$A$43,0))</f>
        <v>28.842</v>
      </c>
      <c r="R1259" s="21" t="n">
        <f aca="false">L1259*Q1259</f>
        <v>865.26</v>
      </c>
      <c r="S1259" s="18" t="n">
        <f aca="false">L1259*INDEX(Parametros!$B$20:$B$22,MATCH($E1259,Parametros!$A$20:$A$22,0))</f>
        <v>25.5</v>
      </c>
      <c r="T1259" s="18" t="n">
        <f aca="false">P1259*INDEX(Parametros!$B$13:$B$16,MATCH($F1259,Parametros!$A$13:$A$16,0))</f>
        <v>39.123</v>
      </c>
      <c r="U1259" s="21" t="n">
        <f aca="false">P1259-R1259-S1259-T1259</f>
        <v>374.217</v>
      </c>
      <c r="V1259" s="19" t="n">
        <f aca="false">IFERROR(U1259/P1259,0)</f>
        <v>0.286954221302047</v>
      </c>
      <c r="W1259" s="48" t="n">
        <f aca="false">B1259+INDEX(Parametros!$C$13:$C$16,MATCH($F1259,Parametros!$A$13:$A$16,0))</f>
        <v>46150</v>
      </c>
      <c r="X1259" s="31" t="s">
        <v>67</v>
      </c>
      <c r="Y1259" s="53" t="n">
        <f aca="false">IF(COUNTIF($A$2:$A1259,A1259)=1,1,0)</f>
        <v>0</v>
      </c>
    </row>
    <row r="1260" customFormat="false" ht="15" hidden="false" customHeight="false" outlineLevel="0" collapsed="false">
      <c r="A1260" s="31" t="s">
        <v>920</v>
      </c>
      <c r="B1260" s="36" t="n">
        <v>46091</v>
      </c>
      <c r="C1260" s="49" t="n">
        <f aca="false">DATE(YEAR(B1260),MONTH(B1260),1)</f>
        <v>46082</v>
      </c>
      <c r="D1260" s="31" t="s">
        <v>214</v>
      </c>
      <c r="E1260" s="31" t="s">
        <v>42</v>
      </c>
      <c r="F1260" s="31" t="s">
        <v>46</v>
      </c>
      <c r="G1260" s="31" t="s">
        <v>61</v>
      </c>
      <c r="H1260" s="31" t="s">
        <v>167</v>
      </c>
      <c r="I1260" s="32" t="str">
        <f aca="false">INDEX(Productos!$B$2:$B$13,MATCH($H1260,Productos!$A$2:$A$13,0))</f>
        <v>Tornillo DIN 912 M6x25 Allen zincado</v>
      </c>
      <c r="J1260" s="32" t="str">
        <f aca="false">INDEX(Productos!$C$2:$C$13,MATCH($H1260,Productos!$A$2:$A$13,0))</f>
        <v>Métrica</v>
      </c>
      <c r="K1260" s="31" t="s">
        <v>246</v>
      </c>
      <c r="L1260" s="46" t="n">
        <v>36</v>
      </c>
      <c r="M1260" s="50" t="n">
        <f aca="false">INDEX(Productos!$F$2:$F$13,MATCH($H1260,Productos!$A$2:$A$13,0))</f>
        <v>42</v>
      </c>
      <c r="N1260" s="51" t="n">
        <v>0.102</v>
      </c>
      <c r="O1260" s="52" t="n">
        <f aca="false">M1260*(1-N1260)</f>
        <v>37.716</v>
      </c>
      <c r="P1260" s="21" t="n">
        <f aca="false">L1260*O1260</f>
        <v>1357.776</v>
      </c>
      <c r="Q1260" s="50" t="n">
        <f aca="false">INDEX(Productos!$E$2:$E$13,MATCH($H1260,Productos!$A$2:$A$13,0))*INDEX(Parametros!$B$26:$B$43,MATCH($C1260,Parametros!$A$26:$A$43,0))</f>
        <v>22.0616</v>
      </c>
      <c r="R1260" s="21" t="n">
        <f aca="false">L1260*Q1260</f>
        <v>794.2176</v>
      </c>
      <c r="S1260" s="18" t="n">
        <f aca="false">L1260*INDEX(Parametros!$B$20:$B$22,MATCH($E1260,Parametros!$A$20:$A$22,0))</f>
        <v>86.4</v>
      </c>
      <c r="T1260" s="18" t="n">
        <f aca="false">P1260*INDEX(Parametros!$B$13:$B$16,MATCH($F1260,Parametros!$A$13:$A$16,0))</f>
        <v>54.31104</v>
      </c>
      <c r="U1260" s="21" t="n">
        <f aca="false">P1260-R1260-S1260-T1260</f>
        <v>422.84736</v>
      </c>
      <c r="V1260" s="19" t="n">
        <f aca="false">IFERROR(U1260/P1260,0)</f>
        <v>0.311426450312865</v>
      </c>
      <c r="W1260" s="48" t="n">
        <f aca="false">B1260+INDEX(Parametros!$C$13:$C$16,MATCH($F1260,Parametros!$A$13:$A$16,0))</f>
        <v>46166</v>
      </c>
      <c r="X1260" s="31" t="s">
        <v>67</v>
      </c>
      <c r="Y1260" s="53" t="n">
        <f aca="false">IF(COUNTIF($A$2:$A1260,A1260)=1,1,0)</f>
        <v>1</v>
      </c>
    </row>
    <row r="1261" customFormat="false" ht="15" hidden="false" customHeight="false" outlineLevel="0" collapsed="false">
      <c r="A1261" s="31" t="s">
        <v>920</v>
      </c>
      <c r="B1261" s="36" t="n">
        <v>46091</v>
      </c>
      <c r="C1261" s="49" t="n">
        <f aca="false">DATE(YEAR(B1261),MONTH(B1261),1)</f>
        <v>46082</v>
      </c>
      <c r="D1261" s="31" t="s">
        <v>214</v>
      </c>
      <c r="E1261" s="31" t="s">
        <v>42</v>
      </c>
      <c r="F1261" s="31" t="s">
        <v>46</v>
      </c>
      <c r="G1261" s="31" t="s">
        <v>61</v>
      </c>
      <c r="H1261" s="31" t="s">
        <v>175</v>
      </c>
      <c r="I1261" s="32" t="str">
        <f aca="false">INDEX(Productos!$B$2:$B$13,MATCH($H1261,Productos!$A$2:$A$13,0))</f>
        <v>Tirafondo madera 5x60 cabeza plana Torx</v>
      </c>
      <c r="J1261" s="32" t="str">
        <f aca="false">INDEX(Productos!$C$2:$C$13,MATCH($H1261,Productos!$A$2:$A$13,0))</f>
        <v>Madera</v>
      </c>
      <c r="K1261" s="31" t="s">
        <v>246</v>
      </c>
      <c r="L1261" s="46" t="n">
        <v>259</v>
      </c>
      <c r="M1261" s="50" t="n">
        <f aca="false">INDEX(Productos!$F$2:$F$13,MATCH($H1261,Productos!$A$2:$A$13,0))</f>
        <v>26</v>
      </c>
      <c r="N1261" s="51" t="n">
        <v>0.1</v>
      </c>
      <c r="O1261" s="52" t="n">
        <f aca="false">M1261*(1-N1261)</f>
        <v>23.4</v>
      </c>
      <c r="P1261" s="21" t="n">
        <f aca="false">L1261*O1261</f>
        <v>6060.6</v>
      </c>
      <c r="Q1261" s="50" t="n">
        <f aca="false">INDEX(Productos!$E$2:$E$13,MATCH($H1261,Productos!$A$2:$A$13,0))*INDEX(Parametros!$B$26:$B$43,MATCH($C1261,Parametros!$A$26:$A$43,0))</f>
        <v>13.5608</v>
      </c>
      <c r="R1261" s="21" t="n">
        <f aca="false">L1261*Q1261</f>
        <v>3512.2472</v>
      </c>
      <c r="S1261" s="18" t="n">
        <f aca="false">L1261*INDEX(Parametros!$B$20:$B$22,MATCH($E1261,Parametros!$A$20:$A$22,0))</f>
        <v>621.6</v>
      </c>
      <c r="T1261" s="18" t="n">
        <f aca="false">P1261*INDEX(Parametros!$B$13:$B$16,MATCH($F1261,Parametros!$A$13:$A$16,0))</f>
        <v>242.424</v>
      </c>
      <c r="U1261" s="21" t="n">
        <f aca="false">P1261-R1261-S1261-T1261</f>
        <v>1684.3288</v>
      </c>
      <c r="V1261" s="19" t="n">
        <f aca="false">IFERROR(U1261/P1261,0)</f>
        <v>0.27791452991453</v>
      </c>
      <c r="W1261" s="48" t="n">
        <f aca="false">B1261+INDEX(Parametros!$C$13:$C$16,MATCH($F1261,Parametros!$A$13:$A$16,0))</f>
        <v>46166</v>
      </c>
      <c r="X1261" s="31" t="s">
        <v>67</v>
      </c>
      <c r="Y1261" s="53" t="n">
        <f aca="false">IF(COUNTIF($A$2:$A1261,A1261)=1,1,0)</f>
        <v>0</v>
      </c>
    </row>
    <row r="1262" customFormat="false" ht="15" hidden="false" customHeight="false" outlineLevel="0" collapsed="false">
      <c r="A1262" s="31" t="s">
        <v>920</v>
      </c>
      <c r="B1262" s="36" t="n">
        <v>46091</v>
      </c>
      <c r="C1262" s="49" t="n">
        <f aca="false">DATE(YEAR(B1262),MONTH(B1262),1)</f>
        <v>46082</v>
      </c>
      <c r="D1262" s="31" t="s">
        <v>214</v>
      </c>
      <c r="E1262" s="31" t="s">
        <v>42</v>
      </c>
      <c r="F1262" s="31" t="s">
        <v>46</v>
      </c>
      <c r="G1262" s="31" t="s">
        <v>61</v>
      </c>
      <c r="H1262" s="31" t="s">
        <v>181</v>
      </c>
      <c r="I1262" s="32" t="str">
        <f aca="false">INDEX(Productos!$B$2:$B$13,MATCH($H1262,Productos!$A$2:$A$13,0))</f>
        <v>Autotaladrante 5,5x55 punta broca</v>
      </c>
      <c r="J1262" s="32" t="str">
        <f aca="false">INDEX(Productos!$C$2:$C$13,MATCH($H1262,Productos!$A$2:$A$13,0))</f>
        <v>Autotaladrante</v>
      </c>
      <c r="K1262" s="31" t="s">
        <v>246</v>
      </c>
      <c r="L1262" s="46" t="n">
        <v>37</v>
      </c>
      <c r="M1262" s="50" t="n">
        <f aca="false">INDEX(Productos!$F$2:$F$13,MATCH($H1262,Productos!$A$2:$A$13,0))</f>
        <v>39</v>
      </c>
      <c r="N1262" s="51" t="n">
        <v>0.11</v>
      </c>
      <c r="O1262" s="52" t="n">
        <f aca="false">M1262*(1-N1262)</f>
        <v>34.71</v>
      </c>
      <c r="P1262" s="21" t="n">
        <f aca="false">L1262*O1262</f>
        <v>1284.27</v>
      </c>
      <c r="Q1262" s="50" t="n">
        <f aca="false">INDEX(Productos!$E$2:$E$13,MATCH($H1262,Productos!$A$2:$A$13,0))*INDEX(Parametros!$B$26:$B$43,MATCH($C1262,Parametros!$A$26:$A$43,0))</f>
        <v>20.5436</v>
      </c>
      <c r="R1262" s="21" t="n">
        <f aca="false">L1262*Q1262</f>
        <v>760.1132</v>
      </c>
      <c r="S1262" s="18" t="n">
        <f aca="false">L1262*INDEX(Parametros!$B$20:$B$22,MATCH($E1262,Parametros!$A$20:$A$22,0))</f>
        <v>88.8</v>
      </c>
      <c r="T1262" s="18" t="n">
        <f aca="false">P1262*INDEX(Parametros!$B$13:$B$16,MATCH($F1262,Parametros!$A$13:$A$16,0))</f>
        <v>51.3708</v>
      </c>
      <c r="U1262" s="21" t="n">
        <f aca="false">P1262-R1262-S1262-T1262</f>
        <v>383.986</v>
      </c>
      <c r="V1262" s="19" t="n">
        <f aca="false">IFERROR(U1262/P1262,0)</f>
        <v>0.298991645059061</v>
      </c>
      <c r="W1262" s="48" t="n">
        <f aca="false">B1262+INDEX(Parametros!$C$13:$C$16,MATCH($F1262,Parametros!$A$13:$A$16,0))</f>
        <v>46166</v>
      </c>
      <c r="X1262" s="31" t="s">
        <v>67</v>
      </c>
      <c r="Y1262" s="53" t="n">
        <f aca="false">IF(COUNTIF($A$2:$A1262,A1262)=1,1,0)</f>
        <v>0</v>
      </c>
    </row>
    <row r="1263" customFormat="false" ht="15" hidden="false" customHeight="false" outlineLevel="0" collapsed="false">
      <c r="A1263" s="31" t="s">
        <v>921</v>
      </c>
      <c r="B1263" s="36" t="n">
        <v>46092</v>
      </c>
      <c r="C1263" s="49" t="n">
        <f aca="false">DATE(YEAR(B1263),MONTH(B1263),1)</f>
        <v>46082</v>
      </c>
      <c r="D1263" s="31" t="s">
        <v>222</v>
      </c>
      <c r="E1263" s="31" t="s">
        <v>43</v>
      </c>
      <c r="F1263" s="31" t="s">
        <v>45</v>
      </c>
      <c r="G1263" s="31" t="s">
        <v>59</v>
      </c>
      <c r="H1263" s="31" t="s">
        <v>181</v>
      </c>
      <c r="I1263" s="32" t="str">
        <f aca="false">INDEX(Productos!$B$2:$B$13,MATCH($H1263,Productos!$A$2:$A$13,0))</f>
        <v>Autotaladrante 5,5x55 punta broca</v>
      </c>
      <c r="J1263" s="32" t="str">
        <f aca="false">INDEX(Productos!$C$2:$C$13,MATCH($H1263,Productos!$A$2:$A$13,0))</f>
        <v>Autotaladrante</v>
      </c>
      <c r="K1263" s="31" t="s">
        <v>246</v>
      </c>
      <c r="L1263" s="46" t="n">
        <v>51</v>
      </c>
      <c r="M1263" s="50" t="n">
        <f aca="false">INDEX(Productos!$F$2:$F$13,MATCH($H1263,Productos!$A$2:$A$13,0))</f>
        <v>39</v>
      </c>
      <c r="N1263" s="51" t="n">
        <v>0.128</v>
      </c>
      <c r="O1263" s="52" t="n">
        <f aca="false">M1263*(1-N1263)</f>
        <v>34.008</v>
      </c>
      <c r="P1263" s="21" t="n">
        <f aca="false">L1263*O1263</f>
        <v>1734.408</v>
      </c>
      <c r="Q1263" s="50" t="n">
        <f aca="false">INDEX(Productos!$E$2:$E$13,MATCH($H1263,Productos!$A$2:$A$13,0))*INDEX(Parametros!$B$26:$B$43,MATCH($C1263,Parametros!$A$26:$A$43,0))</f>
        <v>20.5436</v>
      </c>
      <c r="R1263" s="21" t="n">
        <f aca="false">L1263*Q1263</f>
        <v>1047.7236</v>
      </c>
      <c r="S1263" s="18" t="n">
        <f aca="false">L1263*INDEX(Parametros!$B$20:$B$22,MATCH($E1263,Parametros!$A$20:$A$22,0))</f>
        <v>96.9</v>
      </c>
      <c r="T1263" s="18" t="n">
        <f aca="false">P1263*INDEX(Parametros!$B$13:$B$16,MATCH($F1263,Parametros!$A$13:$A$16,0))</f>
        <v>52.03224</v>
      </c>
      <c r="U1263" s="21" t="n">
        <f aca="false">P1263-R1263-S1263-T1263</f>
        <v>537.75216</v>
      </c>
      <c r="V1263" s="19" t="n">
        <f aca="false">IFERROR(U1263/P1263,0)</f>
        <v>0.310049400141143</v>
      </c>
      <c r="W1263" s="48" t="n">
        <f aca="false">B1263+INDEX(Parametros!$C$13:$C$16,MATCH($F1263,Parametros!$A$13:$A$16,0))</f>
        <v>46152</v>
      </c>
      <c r="X1263" s="31" t="s">
        <v>67</v>
      </c>
      <c r="Y1263" s="53" t="n">
        <f aca="false">IF(COUNTIF($A$2:$A1263,A1263)=1,1,0)</f>
        <v>1</v>
      </c>
    </row>
    <row r="1264" customFormat="false" ht="15" hidden="false" customHeight="false" outlineLevel="0" collapsed="false">
      <c r="A1264" s="31" t="s">
        <v>922</v>
      </c>
      <c r="B1264" s="36" t="n">
        <v>46092</v>
      </c>
      <c r="C1264" s="49" t="n">
        <f aca="false">DATE(YEAR(B1264),MONTH(B1264),1)</f>
        <v>46082</v>
      </c>
      <c r="D1264" s="31" t="s">
        <v>219</v>
      </c>
      <c r="E1264" s="31" t="s">
        <v>42</v>
      </c>
      <c r="F1264" s="31" t="s">
        <v>45</v>
      </c>
      <c r="G1264" s="31" t="s">
        <v>61</v>
      </c>
      <c r="H1264" s="31" t="s">
        <v>185</v>
      </c>
      <c r="I1264" s="32" t="str">
        <f aca="false">INDEX(Productos!$B$2:$B$13,MATCH($H1264,Productos!$A$2:$A$13,0))</f>
        <v>Varilla roscada M10 x 1 m zincada</v>
      </c>
      <c r="J1264" s="32" t="str">
        <f aca="false">INDEX(Productos!$C$2:$C$13,MATCH($H1264,Productos!$A$2:$A$13,0))</f>
        <v>Especial</v>
      </c>
      <c r="K1264" s="31" t="s">
        <v>246</v>
      </c>
      <c r="L1264" s="46" t="n">
        <v>39</v>
      </c>
      <c r="M1264" s="50" t="n">
        <f aca="false">INDEX(Productos!$F$2:$F$13,MATCH($H1264,Productos!$A$2:$A$13,0))</f>
        <v>54</v>
      </c>
      <c r="N1264" s="51" t="n">
        <v>0.176</v>
      </c>
      <c r="O1264" s="52" t="n">
        <f aca="false">M1264*(1-N1264)</f>
        <v>44.496</v>
      </c>
      <c r="P1264" s="21" t="n">
        <f aca="false">L1264*O1264</f>
        <v>1735.344</v>
      </c>
      <c r="Q1264" s="50" t="n">
        <f aca="false">INDEX(Productos!$E$2:$E$13,MATCH($H1264,Productos!$A$2:$A$13,0))*INDEX(Parametros!$B$26:$B$43,MATCH($C1264,Parametros!$A$26:$A$43,0))</f>
        <v>28.842</v>
      </c>
      <c r="R1264" s="21" t="n">
        <f aca="false">L1264*Q1264</f>
        <v>1124.838</v>
      </c>
      <c r="S1264" s="18" t="n">
        <f aca="false">L1264*INDEX(Parametros!$B$20:$B$22,MATCH($E1264,Parametros!$A$20:$A$22,0))</f>
        <v>93.6</v>
      </c>
      <c r="T1264" s="18" t="n">
        <f aca="false">P1264*INDEX(Parametros!$B$13:$B$16,MATCH($F1264,Parametros!$A$13:$A$16,0))</f>
        <v>52.06032</v>
      </c>
      <c r="U1264" s="21" t="n">
        <f aca="false">P1264-R1264-S1264-T1264</f>
        <v>464.84568</v>
      </c>
      <c r="V1264" s="19" t="n">
        <f aca="false">IFERROR(U1264/P1264,0)</f>
        <v>0.267869471413161</v>
      </c>
      <c r="W1264" s="48" t="n">
        <f aca="false">B1264+INDEX(Parametros!$C$13:$C$16,MATCH($F1264,Parametros!$A$13:$A$16,0))</f>
        <v>46152</v>
      </c>
      <c r="X1264" s="31" t="s">
        <v>67</v>
      </c>
      <c r="Y1264" s="53" t="n">
        <f aca="false">IF(COUNTIF($A$2:$A1264,A1264)=1,1,0)</f>
        <v>1</v>
      </c>
    </row>
    <row r="1265" customFormat="false" ht="15" hidden="false" customHeight="false" outlineLevel="0" collapsed="false">
      <c r="A1265" s="31" t="s">
        <v>922</v>
      </c>
      <c r="B1265" s="36" t="n">
        <v>46092</v>
      </c>
      <c r="C1265" s="49" t="n">
        <f aca="false">DATE(YEAR(B1265),MONTH(B1265),1)</f>
        <v>46082</v>
      </c>
      <c r="D1265" s="31" t="s">
        <v>219</v>
      </c>
      <c r="E1265" s="31" t="s">
        <v>42</v>
      </c>
      <c r="F1265" s="31" t="s">
        <v>45</v>
      </c>
      <c r="G1265" s="31" t="s">
        <v>61</v>
      </c>
      <c r="H1265" s="31" t="s">
        <v>177</v>
      </c>
      <c r="I1265" s="32" t="str">
        <f aca="false">INDEX(Productos!$B$2:$B$13,MATCH($H1265,Productos!$A$2:$A$13,0))</f>
        <v>Tirafondo madera 6x100 cabeza plana Torx</v>
      </c>
      <c r="J1265" s="32" t="str">
        <f aca="false">INDEX(Productos!$C$2:$C$13,MATCH($H1265,Productos!$A$2:$A$13,0))</f>
        <v>Madera</v>
      </c>
      <c r="K1265" s="31" t="s">
        <v>246</v>
      </c>
      <c r="L1265" s="46" t="n">
        <v>146</v>
      </c>
      <c r="M1265" s="50" t="n">
        <f aca="false">INDEX(Productos!$F$2:$F$13,MATCH($H1265,Productos!$A$2:$A$13,0))</f>
        <v>34</v>
      </c>
      <c r="N1265" s="51" t="n">
        <v>0.197</v>
      </c>
      <c r="O1265" s="52" t="n">
        <f aca="false">M1265*(1-N1265)</f>
        <v>27.302</v>
      </c>
      <c r="P1265" s="21" t="n">
        <f aca="false">L1265*O1265</f>
        <v>3986.092</v>
      </c>
      <c r="Q1265" s="50" t="n">
        <f aca="false">INDEX(Productos!$E$2:$E$13,MATCH($H1265,Productos!$A$2:$A$13,0))*INDEX(Parametros!$B$26:$B$43,MATCH($C1265,Parametros!$A$26:$A$43,0))</f>
        <v>18.0136</v>
      </c>
      <c r="R1265" s="21" t="n">
        <f aca="false">L1265*Q1265</f>
        <v>2629.9856</v>
      </c>
      <c r="S1265" s="18" t="n">
        <f aca="false">L1265*INDEX(Parametros!$B$20:$B$22,MATCH($E1265,Parametros!$A$20:$A$22,0))</f>
        <v>350.4</v>
      </c>
      <c r="T1265" s="18" t="n">
        <f aca="false">P1265*INDEX(Parametros!$B$13:$B$16,MATCH($F1265,Parametros!$A$13:$A$16,0))</f>
        <v>119.58276</v>
      </c>
      <c r="U1265" s="21" t="n">
        <f aca="false">P1265-R1265-S1265-T1265</f>
        <v>886.12364</v>
      </c>
      <c r="V1265" s="19" t="n">
        <f aca="false">IFERROR(U1265/P1265,0)</f>
        <v>0.222303860523039</v>
      </c>
      <c r="W1265" s="48" t="n">
        <f aca="false">B1265+INDEX(Parametros!$C$13:$C$16,MATCH($F1265,Parametros!$A$13:$A$16,0))</f>
        <v>46152</v>
      </c>
      <c r="X1265" s="31" t="s">
        <v>67</v>
      </c>
      <c r="Y1265" s="53" t="n">
        <f aca="false">IF(COUNTIF($A$2:$A1265,A1265)=1,1,0)</f>
        <v>0</v>
      </c>
    </row>
    <row r="1266" customFormat="false" ht="15" hidden="false" customHeight="false" outlineLevel="0" collapsed="false">
      <c r="A1266" s="31" t="s">
        <v>922</v>
      </c>
      <c r="B1266" s="36" t="n">
        <v>46092</v>
      </c>
      <c r="C1266" s="49" t="n">
        <f aca="false">DATE(YEAR(B1266),MONTH(B1266),1)</f>
        <v>46082</v>
      </c>
      <c r="D1266" s="31" t="s">
        <v>219</v>
      </c>
      <c r="E1266" s="31" t="s">
        <v>42</v>
      </c>
      <c r="F1266" s="31" t="s">
        <v>45</v>
      </c>
      <c r="G1266" s="31" t="s">
        <v>61</v>
      </c>
      <c r="H1266" s="31" t="s">
        <v>173</v>
      </c>
      <c r="I1266" s="32" t="str">
        <f aca="false">INDEX(Productos!$B$2:$B$13,MATCH($H1266,Productos!$A$2:$A$13,0))</f>
        <v>Tornillo DIN 933 M12x70 clase 8.8</v>
      </c>
      <c r="J1266" s="32" t="str">
        <f aca="false">INDEX(Productos!$C$2:$C$13,MATCH($H1266,Productos!$A$2:$A$13,0))</f>
        <v>Métrica</v>
      </c>
      <c r="K1266" s="31" t="s">
        <v>246</v>
      </c>
      <c r="L1266" s="46" t="n">
        <v>142</v>
      </c>
      <c r="M1266" s="50" t="n">
        <f aca="false">INDEX(Productos!$F$2:$F$13,MATCH($H1266,Productos!$A$2:$A$13,0))</f>
        <v>64</v>
      </c>
      <c r="N1266" s="51" t="n">
        <v>0.138</v>
      </c>
      <c r="O1266" s="52" t="n">
        <f aca="false">M1266*(1-N1266)</f>
        <v>55.168</v>
      </c>
      <c r="P1266" s="21" t="n">
        <f aca="false">L1266*O1266</f>
        <v>7833.856</v>
      </c>
      <c r="Q1266" s="50" t="n">
        <f aca="false">INDEX(Productos!$E$2:$E$13,MATCH($H1266,Productos!$A$2:$A$13,0))*INDEX(Parametros!$B$26:$B$43,MATCH($C1266,Parametros!$A$26:$A$43,0))</f>
        <v>33.902</v>
      </c>
      <c r="R1266" s="21" t="n">
        <f aca="false">L1266*Q1266</f>
        <v>4814.084</v>
      </c>
      <c r="S1266" s="18" t="n">
        <f aca="false">L1266*INDEX(Parametros!$B$20:$B$22,MATCH($E1266,Parametros!$A$20:$A$22,0))</f>
        <v>340.8</v>
      </c>
      <c r="T1266" s="18" t="n">
        <f aca="false">P1266*INDEX(Parametros!$B$13:$B$16,MATCH($F1266,Parametros!$A$13:$A$16,0))</f>
        <v>235.01568</v>
      </c>
      <c r="U1266" s="21" t="n">
        <f aca="false">P1266-R1266-S1266-T1266</f>
        <v>2443.95632</v>
      </c>
      <c r="V1266" s="19" t="n">
        <f aca="false">IFERROR(U1266/P1266,0)</f>
        <v>0.311973607888631</v>
      </c>
      <c r="W1266" s="48" t="n">
        <f aca="false">B1266+INDEX(Parametros!$C$13:$C$16,MATCH($F1266,Parametros!$A$13:$A$16,0))</f>
        <v>46152</v>
      </c>
      <c r="X1266" s="31" t="s">
        <v>67</v>
      </c>
      <c r="Y1266" s="53" t="n">
        <f aca="false">IF(COUNTIF($A$2:$A1266,A1266)=1,1,0)</f>
        <v>0</v>
      </c>
    </row>
    <row r="1267" customFormat="false" ht="15" hidden="false" customHeight="false" outlineLevel="0" collapsed="false">
      <c r="A1267" s="31" t="s">
        <v>923</v>
      </c>
      <c r="B1267" s="36" t="n">
        <v>46094</v>
      </c>
      <c r="C1267" s="49" t="n">
        <f aca="false">DATE(YEAR(B1267),MONTH(B1267),1)</f>
        <v>46082</v>
      </c>
      <c r="D1267" s="31" t="s">
        <v>196</v>
      </c>
      <c r="E1267" s="31" t="s">
        <v>41</v>
      </c>
      <c r="F1267" s="31" t="s">
        <v>47</v>
      </c>
      <c r="G1267" s="31" t="s">
        <v>58</v>
      </c>
      <c r="H1267" s="31" t="s">
        <v>183</v>
      </c>
      <c r="I1267" s="32" t="str">
        <f aca="false">INDEX(Productos!$B$2:$B$13,MATCH($H1267,Productos!$A$2:$A$13,0))</f>
        <v>Tornillo estructural M16x90 clase 10.9</v>
      </c>
      <c r="J1267" s="32" t="str">
        <f aca="false">INDEX(Productos!$C$2:$C$13,MATCH($H1267,Productos!$A$2:$A$13,0))</f>
        <v>Especial</v>
      </c>
      <c r="K1267" s="31" t="s">
        <v>246</v>
      </c>
      <c r="L1267" s="46" t="n">
        <v>48</v>
      </c>
      <c r="M1267" s="50" t="n">
        <f aca="false">INDEX(Productos!$F$2:$F$13,MATCH($H1267,Productos!$A$2:$A$13,0))</f>
        <v>112</v>
      </c>
      <c r="N1267" s="51" t="n">
        <v>0.081</v>
      </c>
      <c r="O1267" s="52" t="n">
        <f aca="false">M1267*(1-N1267)</f>
        <v>102.928</v>
      </c>
      <c r="P1267" s="21" t="n">
        <f aca="false">L1267*O1267</f>
        <v>4940.544</v>
      </c>
      <c r="Q1267" s="50" t="n">
        <f aca="false">INDEX(Productos!$E$2:$E$13,MATCH($H1267,Productos!$A$2:$A$13,0))*INDEX(Parametros!$B$26:$B$43,MATCH($C1267,Parametros!$A$26:$A$43,0))</f>
        <v>60.72</v>
      </c>
      <c r="R1267" s="21" t="n">
        <f aca="false">L1267*Q1267</f>
        <v>2914.56</v>
      </c>
      <c r="S1267" s="18" t="n">
        <f aca="false">L1267*INDEX(Parametros!$B$20:$B$22,MATCH($E1267,Parametros!$A$20:$A$22,0))</f>
        <v>40.8</v>
      </c>
      <c r="T1267" s="18" t="n">
        <f aca="false">P1267*INDEX(Parametros!$B$13:$B$16,MATCH($F1267,Parametros!$A$13:$A$16,0))</f>
        <v>172.91904</v>
      </c>
      <c r="U1267" s="21" t="n">
        <f aca="false">P1267-R1267-S1267-T1267</f>
        <v>1812.26496</v>
      </c>
      <c r="V1267" s="19" t="n">
        <f aca="false">IFERROR(U1267/P1267,0)</f>
        <v>0.36681486087362</v>
      </c>
      <c r="W1267" s="48" t="n">
        <f aca="false">B1267+INDEX(Parametros!$C$13:$C$16,MATCH($F1267,Parametros!$A$13:$A$16,0))</f>
        <v>46139</v>
      </c>
      <c r="X1267" s="31" t="s">
        <v>67</v>
      </c>
      <c r="Y1267" s="53" t="n">
        <f aca="false">IF(COUNTIF($A$2:$A1267,A1267)=1,1,0)</f>
        <v>1</v>
      </c>
    </row>
    <row r="1268" customFormat="false" ht="15" hidden="false" customHeight="false" outlineLevel="0" collapsed="false">
      <c r="A1268" s="31" t="s">
        <v>924</v>
      </c>
      <c r="B1268" s="36" t="n">
        <v>46094</v>
      </c>
      <c r="C1268" s="49" t="n">
        <f aca="false">DATE(YEAR(B1268),MONTH(B1268),1)</f>
        <v>46082</v>
      </c>
      <c r="D1268" s="31" t="s">
        <v>199</v>
      </c>
      <c r="E1268" s="31" t="s">
        <v>41</v>
      </c>
      <c r="F1268" s="31" t="s">
        <v>45</v>
      </c>
      <c r="G1268" s="31" t="s">
        <v>58</v>
      </c>
      <c r="H1268" s="31" t="s">
        <v>185</v>
      </c>
      <c r="I1268" s="32" t="str">
        <f aca="false">INDEX(Productos!$B$2:$B$13,MATCH($H1268,Productos!$A$2:$A$13,0))</f>
        <v>Varilla roscada M10 x 1 m zincada</v>
      </c>
      <c r="J1268" s="32" t="str">
        <f aca="false">INDEX(Productos!$C$2:$C$13,MATCH($H1268,Productos!$A$2:$A$13,0))</f>
        <v>Especial</v>
      </c>
      <c r="K1268" s="31" t="s">
        <v>275</v>
      </c>
      <c r="L1268" s="46" t="n">
        <v>-57</v>
      </c>
      <c r="M1268" s="50" t="n">
        <f aca="false">INDEX(Productos!$F$2:$F$13,MATCH($H1268,Productos!$A$2:$A$13,0))</f>
        <v>54</v>
      </c>
      <c r="N1268" s="51" t="n">
        <v>0.161</v>
      </c>
      <c r="O1268" s="52" t="n">
        <f aca="false">M1268*(1-N1268)</f>
        <v>45.306</v>
      </c>
      <c r="P1268" s="21" t="n">
        <f aca="false">L1268*O1268</f>
        <v>-2582.442</v>
      </c>
      <c r="Q1268" s="50" t="n">
        <f aca="false">INDEX(Productos!$E$2:$E$13,MATCH($H1268,Productos!$A$2:$A$13,0))*INDEX(Parametros!$B$26:$B$43,MATCH($C1268,Parametros!$A$26:$A$43,0))</f>
        <v>28.842</v>
      </c>
      <c r="R1268" s="21" t="n">
        <f aca="false">L1268*Q1268</f>
        <v>-1643.994</v>
      </c>
      <c r="S1268" s="18" t="n">
        <f aca="false">L1268*INDEX(Parametros!$B$20:$B$22,MATCH($E1268,Parametros!$A$20:$A$22,0))</f>
        <v>-48.45</v>
      </c>
      <c r="T1268" s="18" t="n">
        <f aca="false">P1268*INDEX(Parametros!$B$13:$B$16,MATCH($F1268,Parametros!$A$13:$A$16,0))</f>
        <v>-77.47326</v>
      </c>
      <c r="U1268" s="21" t="n">
        <f aca="false">P1268-R1268-S1268-T1268</f>
        <v>-812.52474</v>
      </c>
      <c r="V1268" s="19" t="n">
        <f aca="false">IFERROR(U1268/P1268,0)</f>
        <v>0.314634264777292</v>
      </c>
      <c r="W1268" s="48" t="n">
        <f aca="false">B1268+INDEX(Parametros!$C$13:$C$16,MATCH($F1268,Parametros!$A$13:$A$16,0))</f>
        <v>46154</v>
      </c>
      <c r="X1268" s="31" t="s">
        <v>67</v>
      </c>
      <c r="Y1268" s="53" t="n">
        <f aca="false">IF(COUNTIF($A$2:$A1268,A1268)=1,1,0)</f>
        <v>1</v>
      </c>
    </row>
    <row r="1269" customFormat="false" ht="15" hidden="false" customHeight="false" outlineLevel="0" collapsed="false">
      <c r="A1269" s="31" t="s">
        <v>924</v>
      </c>
      <c r="B1269" s="36" t="n">
        <v>46094</v>
      </c>
      <c r="C1269" s="49" t="n">
        <f aca="false">DATE(YEAR(B1269),MONTH(B1269),1)</f>
        <v>46082</v>
      </c>
      <c r="D1269" s="31" t="s">
        <v>199</v>
      </c>
      <c r="E1269" s="31" t="s">
        <v>41</v>
      </c>
      <c r="F1269" s="31" t="s">
        <v>45</v>
      </c>
      <c r="G1269" s="31" t="s">
        <v>58</v>
      </c>
      <c r="H1269" s="31" t="s">
        <v>175</v>
      </c>
      <c r="I1269" s="32" t="str">
        <f aca="false">INDEX(Productos!$B$2:$B$13,MATCH($H1269,Productos!$A$2:$A$13,0))</f>
        <v>Tirafondo madera 5x60 cabeza plana Torx</v>
      </c>
      <c r="J1269" s="32" t="str">
        <f aca="false">INDEX(Productos!$C$2:$C$13,MATCH($H1269,Productos!$A$2:$A$13,0))</f>
        <v>Madera</v>
      </c>
      <c r="K1269" s="31" t="s">
        <v>275</v>
      </c>
      <c r="L1269" s="46" t="n">
        <v>-35</v>
      </c>
      <c r="M1269" s="50" t="n">
        <f aca="false">INDEX(Productos!$F$2:$F$13,MATCH($H1269,Productos!$A$2:$A$13,0))</f>
        <v>26</v>
      </c>
      <c r="N1269" s="51" t="n">
        <v>0.148</v>
      </c>
      <c r="O1269" s="52" t="n">
        <f aca="false">M1269*(1-N1269)</f>
        <v>22.152</v>
      </c>
      <c r="P1269" s="21" t="n">
        <f aca="false">L1269*O1269</f>
        <v>-775.32</v>
      </c>
      <c r="Q1269" s="50" t="n">
        <f aca="false">INDEX(Productos!$E$2:$E$13,MATCH($H1269,Productos!$A$2:$A$13,0))*INDEX(Parametros!$B$26:$B$43,MATCH($C1269,Parametros!$A$26:$A$43,0))</f>
        <v>13.5608</v>
      </c>
      <c r="R1269" s="21" t="n">
        <f aca="false">L1269*Q1269</f>
        <v>-474.628</v>
      </c>
      <c r="S1269" s="18" t="n">
        <f aca="false">L1269*INDEX(Parametros!$B$20:$B$22,MATCH($E1269,Parametros!$A$20:$A$22,0))</f>
        <v>-29.75</v>
      </c>
      <c r="T1269" s="18" t="n">
        <f aca="false">P1269*INDEX(Parametros!$B$13:$B$16,MATCH($F1269,Parametros!$A$13:$A$16,0))</f>
        <v>-23.2596</v>
      </c>
      <c r="U1269" s="21" t="n">
        <f aca="false">P1269-R1269-S1269-T1269</f>
        <v>-247.6824</v>
      </c>
      <c r="V1269" s="19" t="n">
        <f aca="false">IFERROR(U1269/P1269,0)</f>
        <v>0.319458288190683</v>
      </c>
      <c r="W1269" s="48" t="n">
        <f aca="false">B1269+INDEX(Parametros!$C$13:$C$16,MATCH($F1269,Parametros!$A$13:$A$16,0))</f>
        <v>46154</v>
      </c>
      <c r="X1269" s="31" t="s">
        <v>67</v>
      </c>
      <c r="Y1269" s="53" t="n">
        <f aca="false">IF(COUNTIF($A$2:$A1269,A1269)=1,1,0)</f>
        <v>0</v>
      </c>
    </row>
    <row r="1270" customFormat="false" ht="15" hidden="false" customHeight="false" outlineLevel="0" collapsed="false">
      <c r="A1270" s="31" t="s">
        <v>925</v>
      </c>
      <c r="B1270" s="36" t="n">
        <v>46097</v>
      </c>
      <c r="C1270" s="49" t="n">
        <f aca="false">DATE(YEAR(B1270),MONTH(B1270),1)</f>
        <v>46082</v>
      </c>
      <c r="D1270" s="31" t="s">
        <v>215</v>
      </c>
      <c r="E1270" s="31" t="s">
        <v>42</v>
      </c>
      <c r="F1270" s="31" t="s">
        <v>46</v>
      </c>
      <c r="G1270" s="31" t="s">
        <v>61</v>
      </c>
      <c r="H1270" s="31" t="s">
        <v>165</v>
      </c>
      <c r="I1270" s="32" t="str">
        <f aca="false">INDEX(Productos!$B$2:$B$13,MATCH($H1270,Productos!$A$2:$A$13,0))</f>
        <v>Tornillo DIN 933 M8x40 rosca completa zincado</v>
      </c>
      <c r="J1270" s="32" t="str">
        <f aca="false">INDEX(Productos!$C$2:$C$13,MATCH($H1270,Productos!$A$2:$A$13,0))</f>
        <v>Métrica</v>
      </c>
      <c r="K1270" s="31" t="s">
        <v>246</v>
      </c>
      <c r="L1270" s="46" t="n">
        <v>58</v>
      </c>
      <c r="M1270" s="50" t="n">
        <f aca="false">INDEX(Productos!$F$2:$F$13,MATCH($H1270,Productos!$A$2:$A$13,0))</f>
        <v>37.5</v>
      </c>
      <c r="N1270" s="51" t="n">
        <v>0.154</v>
      </c>
      <c r="O1270" s="52" t="n">
        <f aca="false">M1270*(1-N1270)</f>
        <v>31.725</v>
      </c>
      <c r="P1270" s="21" t="n">
        <f aca="false">L1270*O1270</f>
        <v>1840.05</v>
      </c>
      <c r="Q1270" s="50" t="n">
        <f aca="false">INDEX(Productos!$E$2:$E$13,MATCH($H1270,Productos!$A$2:$A$13,0))*INDEX(Parametros!$B$26:$B$43,MATCH($C1270,Parametros!$A$26:$A$43,0))</f>
        <v>19.6328</v>
      </c>
      <c r="R1270" s="21" t="n">
        <f aca="false">L1270*Q1270</f>
        <v>1138.7024</v>
      </c>
      <c r="S1270" s="18" t="n">
        <f aca="false">L1270*INDEX(Parametros!$B$20:$B$22,MATCH($E1270,Parametros!$A$20:$A$22,0))</f>
        <v>139.2</v>
      </c>
      <c r="T1270" s="18" t="n">
        <f aca="false">P1270*INDEX(Parametros!$B$13:$B$16,MATCH($F1270,Parametros!$A$13:$A$16,0))</f>
        <v>73.602</v>
      </c>
      <c r="U1270" s="21" t="n">
        <f aca="false">P1270-R1270-S1270-T1270</f>
        <v>488.5456</v>
      </c>
      <c r="V1270" s="19" t="n">
        <f aca="false">IFERROR(U1270/P1270,0)</f>
        <v>0.265506698187549</v>
      </c>
      <c r="W1270" s="48" t="n">
        <f aca="false">B1270+INDEX(Parametros!$C$13:$C$16,MATCH($F1270,Parametros!$A$13:$A$16,0))</f>
        <v>46172</v>
      </c>
      <c r="X1270" s="31" t="s">
        <v>67</v>
      </c>
      <c r="Y1270" s="53" t="n">
        <f aca="false">IF(COUNTIF($A$2:$A1270,A1270)=1,1,0)</f>
        <v>1</v>
      </c>
    </row>
    <row r="1271" customFormat="false" ht="15" hidden="false" customHeight="false" outlineLevel="0" collapsed="false">
      <c r="A1271" s="31" t="s">
        <v>925</v>
      </c>
      <c r="B1271" s="36" t="n">
        <v>46097</v>
      </c>
      <c r="C1271" s="49" t="n">
        <f aca="false">DATE(YEAR(B1271),MONTH(B1271),1)</f>
        <v>46082</v>
      </c>
      <c r="D1271" s="31" t="s">
        <v>215</v>
      </c>
      <c r="E1271" s="31" t="s">
        <v>42</v>
      </c>
      <c r="F1271" s="31" t="s">
        <v>46</v>
      </c>
      <c r="G1271" s="31" t="s">
        <v>61</v>
      </c>
      <c r="H1271" s="31" t="s">
        <v>183</v>
      </c>
      <c r="I1271" s="32" t="str">
        <f aca="false">INDEX(Productos!$B$2:$B$13,MATCH($H1271,Productos!$A$2:$A$13,0))</f>
        <v>Tornillo estructural M16x90 clase 10.9</v>
      </c>
      <c r="J1271" s="32" t="str">
        <f aca="false">INDEX(Productos!$C$2:$C$13,MATCH($H1271,Productos!$A$2:$A$13,0))</f>
        <v>Especial</v>
      </c>
      <c r="K1271" s="31" t="s">
        <v>246</v>
      </c>
      <c r="L1271" s="46" t="n">
        <v>59</v>
      </c>
      <c r="M1271" s="50" t="n">
        <f aca="false">INDEX(Productos!$F$2:$F$13,MATCH($H1271,Productos!$A$2:$A$13,0))</f>
        <v>112</v>
      </c>
      <c r="N1271" s="51" t="n">
        <v>0.159</v>
      </c>
      <c r="O1271" s="52" t="n">
        <f aca="false">M1271*(1-N1271)</f>
        <v>94.192</v>
      </c>
      <c r="P1271" s="21" t="n">
        <f aca="false">L1271*O1271</f>
        <v>5557.328</v>
      </c>
      <c r="Q1271" s="50" t="n">
        <f aca="false">INDEX(Productos!$E$2:$E$13,MATCH($H1271,Productos!$A$2:$A$13,0))*INDEX(Parametros!$B$26:$B$43,MATCH($C1271,Parametros!$A$26:$A$43,0))</f>
        <v>60.72</v>
      </c>
      <c r="R1271" s="21" t="n">
        <f aca="false">L1271*Q1271</f>
        <v>3582.48</v>
      </c>
      <c r="S1271" s="18" t="n">
        <f aca="false">L1271*INDEX(Parametros!$B$20:$B$22,MATCH($E1271,Parametros!$A$20:$A$22,0))</f>
        <v>141.6</v>
      </c>
      <c r="T1271" s="18" t="n">
        <f aca="false">P1271*INDEX(Parametros!$B$13:$B$16,MATCH($F1271,Parametros!$A$13:$A$16,0))</f>
        <v>222.29312</v>
      </c>
      <c r="U1271" s="21" t="n">
        <f aca="false">P1271-R1271-S1271-T1271</f>
        <v>1610.95488</v>
      </c>
      <c r="V1271" s="19" t="n">
        <f aca="false">IFERROR(U1271/P1271,0)</f>
        <v>0.289879395277731</v>
      </c>
      <c r="W1271" s="48" t="n">
        <f aca="false">B1271+INDEX(Parametros!$C$13:$C$16,MATCH($F1271,Parametros!$A$13:$A$16,0))</f>
        <v>46172</v>
      </c>
      <c r="X1271" s="31" t="s">
        <v>67</v>
      </c>
      <c r="Y1271" s="53" t="n">
        <f aca="false">IF(COUNTIF($A$2:$A1271,A1271)=1,1,0)</f>
        <v>0</v>
      </c>
    </row>
    <row r="1272" customFormat="false" ht="15" hidden="false" customHeight="false" outlineLevel="0" collapsed="false">
      <c r="A1272" s="31" t="s">
        <v>925</v>
      </c>
      <c r="B1272" s="36" t="n">
        <v>46097</v>
      </c>
      <c r="C1272" s="49" t="n">
        <f aca="false">DATE(YEAR(B1272),MONTH(B1272),1)</f>
        <v>46082</v>
      </c>
      <c r="D1272" s="31" t="s">
        <v>215</v>
      </c>
      <c r="E1272" s="31" t="s">
        <v>42</v>
      </c>
      <c r="F1272" s="31" t="s">
        <v>46</v>
      </c>
      <c r="G1272" s="31" t="s">
        <v>61</v>
      </c>
      <c r="H1272" s="31" t="s">
        <v>171</v>
      </c>
      <c r="I1272" s="32" t="str">
        <f aca="false">INDEX(Productos!$B$2:$B$13,MATCH($H1272,Productos!$A$2:$A$13,0))</f>
        <v>Tornillo DIN 7991 M8x30 avellanado inox A2</v>
      </c>
      <c r="J1272" s="32" t="str">
        <f aca="false">INDEX(Productos!$C$2:$C$13,MATCH($H1272,Productos!$A$2:$A$13,0))</f>
        <v>Inoxidable</v>
      </c>
      <c r="K1272" s="31" t="s">
        <v>246</v>
      </c>
      <c r="L1272" s="46" t="n">
        <v>59</v>
      </c>
      <c r="M1272" s="50" t="n">
        <f aca="false">INDEX(Productos!$F$2:$F$13,MATCH($H1272,Productos!$A$2:$A$13,0))</f>
        <v>88</v>
      </c>
      <c r="N1272" s="51" t="n">
        <v>0.162</v>
      </c>
      <c r="O1272" s="52" t="n">
        <f aca="false">M1272*(1-N1272)</f>
        <v>73.744</v>
      </c>
      <c r="P1272" s="21" t="n">
        <f aca="false">L1272*O1272</f>
        <v>4350.896</v>
      </c>
      <c r="Q1272" s="50" t="n">
        <f aca="false">INDEX(Productos!$E$2:$E$13,MATCH($H1272,Productos!$A$2:$A$13,0))*INDEX(Parametros!$B$26:$B$43,MATCH($C1272,Parametros!$A$26:$A$43,0))</f>
        <v>47.058</v>
      </c>
      <c r="R1272" s="21" t="n">
        <f aca="false">L1272*Q1272</f>
        <v>2776.422</v>
      </c>
      <c r="S1272" s="18" t="n">
        <f aca="false">L1272*INDEX(Parametros!$B$20:$B$22,MATCH($E1272,Parametros!$A$20:$A$22,0))</f>
        <v>141.6</v>
      </c>
      <c r="T1272" s="18" t="n">
        <f aca="false">P1272*INDEX(Parametros!$B$13:$B$16,MATCH($F1272,Parametros!$A$13:$A$16,0))</f>
        <v>174.03584</v>
      </c>
      <c r="U1272" s="21" t="n">
        <f aca="false">P1272-R1272-S1272-T1272</f>
        <v>1258.83816</v>
      </c>
      <c r="V1272" s="19" t="n">
        <f aca="false">IFERROR(U1272/P1272,0)</f>
        <v>0.289328487741376</v>
      </c>
      <c r="W1272" s="48" t="n">
        <f aca="false">B1272+INDEX(Parametros!$C$13:$C$16,MATCH($F1272,Parametros!$A$13:$A$16,0))</f>
        <v>46172</v>
      </c>
      <c r="X1272" s="31" t="s">
        <v>67</v>
      </c>
      <c r="Y1272" s="53" t="n">
        <f aca="false">IF(COUNTIF($A$2:$A1272,A1272)=1,1,0)</f>
        <v>0</v>
      </c>
    </row>
    <row r="1273" customFormat="false" ht="15" hidden="false" customHeight="false" outlineLevel="0" collapsed="false">
      <c r="A1273" s="31" t="s">
        <v>925</v>
      </c>
      <c r="B1273" s="36" t="n">
        <v>46097</v>
      </c>
      <c r="C1273" s="49" t="n">
        <f aca="false">DATE(YEAR(B1273),MONTH(B1273),1)</f>
        <v>46082</v>
      </c>
      <c r="D1273" s="31" t="s">
        <v>215</v>
      </c>
      <c r="E1273" s="31" t="s">
        <v>42</v>
      </c>
      <c r="F1273" s="31" t="s">
        <v>46</v>
      </c>
      <c r="G1273" s="31" t="s">
        <v>61</v>
      </c>
      <c r="H1273" s="31" t="s">
        <v>173</v>
      </c>
      <c r="I1273" s="32" t="str">
        <f aca="false">INDEX(Productos!$B$2:$B$13,MATCH($H1273,Productos!$A$2:$A$13,0))</f>
        <v>Tornillo DIN 933 M12x70 clase 8.8</v>
      </c>
      <c r="J1273" s="32" t="str">
        <f aca="false">INDEX(Productos!$C$2:$C$13,MATCH($H1273,Productos!$A$2:$A$13,0))</f>
        <v>Métrica</v>
      </c>
      <c r="K1273" s="31" t="s">
        <v>246</v>
      </c>
      <c r="L1273" s="46" t="n">
        <v>52</v>
      </c>
      <c r="M1273" s="50" t="n">
        <f aca="false">INDEX(Productos!$F$2:$F$13,MATCH($H1273,Productos!$A$2:$A$13,0))</f>
        <v>64</v>
      </c>
      <c r="N1273" s="51" t="n">
        <v>0.101</v>
      </c>
      <c r="O1273" s="52" t="n">
        <f aca="false">M1273*(1-N1273)</f>
        <v>57.536</v>
      </c>
      <c r="P1273" s="21" t="n">
        <f aca="false">L1273*O1273</f>
        <v>2991.872</v>
      </c>
      <c r="Q1273" s="50" t="n">
        <f aca="false">INDEX(Productos!$E$2:$E$13,MATCH($H1273,Productos!$A$2:$A$13,0))*INDEX(Parametros!$B$26:$B$43,MATCH($C1273,Parametros!$A$26:$A$43,0))</f>
        <v>33.902</v>
      </c>
      <c r="R1273" s="21" t="n">
        <f aca="false">L1273*Q1273</f>
        <v>1762.904</v>
      </c>
      <c r="S1273" s="18" t="n">
        <f aca="false">L1273*INDEX(Parametros!$B$20:$B$22,MATCH($E1273,Parametros!$A$20:$A$22,0))</f>
        <v>124.8</v>
      </c>
      <c r="T1273" s="18" t="n">
        <f aca="false">P1273*INDEX(Parametros!$B$13:$B$16,MATCH($F1273,Parametros!$A$13:$A$16,0))</f>
        <v>119.67488</v>
      </c>
      <c r="U1273" s="21" t="n">
        <f aca="false">P1273-R1273-S1273-T1273</f>
        <v>984.49312</v>
      </c>
      <c r="V1273" s="19" t="n">
        <f aca="false">IFERROR(U1273/P1273,0)</f>
        <v>0.329055895439377</v>
      </c>
      <c r="W1273" s="48" t="n">
        <f aca="false">B1273+INDEX(Parametros!$C$13:$C$16,MATCH($F1273,Parametros!$A$13:$A$16,0))</f>
        <v>46172</v>
      </c>
      <c r="X1273" s="31" t="s">
        <v>67</v>
      </c>
      <c r="Y1273" s="53" t="n">
        <f aca="false">IF(COUNTIF($A$2:$A1273,A1273)=1,1,0)</f>
        <v>0</v>
      </c>
    </row>
    <row r="1274" customFormat="false" ht="15" hidden="false" customHeight="false" outlineLevel="0" collapsed="false">
      <c r="A1274" s="31" t="s">
        <v>926</v>
      </c>
      <c r="B1274" s="36" t="n">
        <v>46097</v>
      </c>
      <c r="C1274" s="49" t="n">
        <f aca="false">DATE(YEAR(B1274),MONTH(B1274),1)</f>
        <v>46082</v>
      </c>
      <c r="D1274" s="31" t="s">
        <v>218</v>
      </c>
      <c r="E1274" s="31" t="s">
        <v>42</v>
      </c>
      <c r="F1274" s="31" t="s">
        <v>45</v>
      </c>
      <c r="G1274" s="31" t="s">
        <v>61</v>
      </c>
      <c r="H1274" s="31" t="s">
        <v>181</v>
      </c>
      <c r="I1274" s="32" t="str">
        <f aca="false">INDEX(Productos!$B$2:$B$13,MATCH($H1274,Productos!$A$2:$A$13,0))</f>
        <v>Autotaladrante 5,5x55 punta broca</v>
      </c>
      <c r="J1274" s="32" t="str">
        <f aca="false">INDEX(Productos!$C$2:$C$13,MATCH($H1274,Productos!$A$2:$A$13,0))</f>
        <v>Autotaladrante</v>
      </c>
      <c r="K1274" s="31" t="s">
        <v>246</v>
      </c>
      <c r="L1274" s="46" t="n">
        <v>71</v>
      </c>
      <c r="M1274" s="50" t="n">
        <f aca="false">INDEX(Productos!$F$2:$F$13,MATCH($H1274,Productos!$A$2:$A$13,0))</f>
        <v>39</v>
      </c>
      <c r="N1274" s="51" t="n">
        <v>0.189</v>
      </c>
      <c r="O1274" s="52" t="n">
        <f aca="false">M1274*(1-N1274)</f>
        <v>31.629</v>
      </c>
      <c r="P1274" s="21" t="n">
        <f aca="false">L1274*O1274</f>
        <v>2245.659</v>
      </c>
      <c r="Q1274" s="50" t="n">
        <f aca="false">INDEX(Productos!$E$2:$E$13,MATCH($H1274,Productos!$A$2:$A$13,0))*INDEX(Parametros!$B$26:$B$43,MATCH($C1274,Parametros!$A$26:$A$43,0))</f>
        <v>20.5436</v>
      </c>
      <c r="R1274" s="21" t="n">
        <f aca="false">L1274*Q1274</f>
        <v>1458.5956</v>
      </c>
      <c r="S1274" s="18" t="n">
        <f aca="false">L1274*INDEX(Parametros!$B$20:$B$22,MATCH($E1274,Parametros!$A$20:$A$22,0))</f>
        <v>170.4</v>
      </c>
      <c r="T1274" s="18" t="n">
        <f aca="false">P1274*INDEX(Parametros!$B$13:$B$16,MATCH($F1274,Parametros!$A$13:$A$16,0))</f>
        <v>67.36977</v>
      </c>
      <c r="U1274" s="21" t="n">
        <f aca="false">P1274-R1274-S1274-T1274</f>
        <v>549.29363</v>
      </c>
      <c r="V1274" s="19" t="n">
        <f aca="false">IFERROR(U1274/P1274,0)</f>
        <v>0.244602421828069</v>
      </c>
      <c r="W1274" s="48" t="n">
        <f aca="false">B1274+INDEX(Parametros!$C$13:$C$16,MATCH($F1274,Parametros!$A$13:$A$16,0))</f>
        <v>46157</v>
      </c>
      <c r="X1274" s="31" t="s">
        <v>67</v>
      </c>
      <c r="Y1274" s="53" t="n">
        <f aca="false">IF(COUNTIF($A$2:$A1274,A1274)=1,1,0)</f>
        <v>1</v>
      </c>
    </row>
    <row r="1275" customFormat="false" ht="15" hidden="false" customHeight="false" outlineLevel="0" collapsed="false">
      <c r="A1275" s="31" t="s">
        <v>927</v>
      </c>
      <c r="B1275" s="36" t="n">
        <v>46097</v>
      </c>
      <c r="C1275" s="49" t="n">
        <f aca="false">DATE(YEAR(B1275),MONTH(B1275),1)</f>
        <v>46082</v>
      </c>
      <c r="D1275" s="31" t="s">
        <v>214</v>
      </c>
      <c r="E1275" s="31" t="s">
        <v>42</v>
      </c>
      <c r="F1275" s="31" t="s">
        <v>46</v>
      </c>
      <c r="G1275" s="31" t="s">
        <v>61</v>
      </c>
      <c r="H1275" s="31" t="s">
        <v>175</v>
      </c>
      <c r="I1275" s="32" t="str">
        <f aca="false">INDEX(Productos!$B$2:$B$13,MATCH($H1275,Productos!$A$2:$A$13,0))</f>
        <v>Tirafondo madera 5x60 cabeza plana Torx</v>
      </c>
      <c r="J1275" s="32" t="str">
        <f aca="false">INDEX(Productos!$C$2:$C$13,MATCH($H1275,Productos!$A$2:$A$13,0))</f>
        <v>Madera</v>
      </c>
      <c r="K1275" s="31" t="s">
        <v>246</v>
      </c>
      <c r="L1275" s="46" t="n">
        <v>43</v>
      </c>
      <c r="M1275" s="50" t="n">
        <f aca="false">INDEX(Productos!$F$2:$F$13,MATCH($H1275,Productos!$A$2:$A$13,0))</f>
        <v>26</v>
      </c>
      <c r="N1275" s="51" t="n">
        <v>0.105</v>
      </c>
      <c r="O1275" s="52" t="n">
        <f aca="false">M1275*(1-N1275)</f>
        <v>23.27</v>
      </c>
      <c r="P1275" s="21" t="n">
        <f aca="false">L1275*O1275</f>
        <v>1000.61</v>
      </c>
      <c r="Q1275" s="50" t="n">
        <f aca="false">INDEX(Productos!$E$2:$E$13,MATCH($H1275,Productos!$A$2:$A$13,0))*INDEX(Parametros!$B$26:$B$43,MATCH($C1275,Parametros!$A$26:$A$43,0))</f>
        <v>13.5608</v>
      </c>
      <c r="R1275" s="21" t="n">
        <f aca="false">L1275*Q1275</f>
        <v>583.1144</v>
      </c>
      <c r="S1275" s="18" t="n">
        <f aca="false">L1275*INDEX(Parametros!$B$20:$B$22,MATCH($E1275,Parametros!$A$20:$A$22,0))</f>
        <v>103.2</v>
      </c>
      <c r="T1275" s="18" t="n">
        <f aca="false">P1275*INDEX(Parametros!$B$13:$B$16,MATCH($F1275,Parametros!$A$13:$A$16,0))</f>
        <v>40.0244</v>
      </c>
      <c r="U1275" s="21" t="n">
        <f aca="false">P1275-R1275-S1275-T1275</f>
        <v>274.2712</v>
      </c>
      <c r="V1275" s="19" t="n">
        <f aca="false">IFERROR(U1275/P1275,0)</f>
        <v>0.274103996562097</v>
      </c>
      <c r="W1275" s="48" t="n">
        <f aca="false">B1275+INDEX(Parametros!$C$13:$C$16,MATCH($F1275,Parametros!$A$13:$A$16,0))</f>
        <v>46172</v>
      </c>
      <c r="X1275" s="31" t="s">
        <v>67</v>
      </c>
      <c r="Y1275" s="53" t="n">
        <f aca="false">IF(COUNTIF($A$2:$A1275,A1275)=1,1,0)</f>
        <v>1</v>
      </c>
    </row>
    <row r="1276" customFormat="false" ht="15" hidden="false" customHeight="false" outlineLevel="0" collapsed="false">
      <c r="A1276" s="31" t="s">
        <v>927</v>
      </c>
      <c r="B1276" s="36" t="n">
        <v>46097</v>
      </c>
      <c r="C1276" s="49" t="n">
        <f aca="false">DATE(YEAR(B1276),MONTH(B1276),1)</f>
        <v>46082</v>
      </c>
      <c r="D1276" s="31" t="s">
        <v>214</v>
      </c>
      <c r="E1276" s="31" t="s">
        <v>42</v>
      </c>
      <c r="F1276" s="31" t="s">
        <v>46</v>
      </c>
      <c r="G1276" s="31" t="s">
        <v>61</v>
      </c>
      <c r="H1276" s="31" t="s">
        <v>177</v>
      </c>
      <c r="I1276" s="32" t="str">
        <f aca="false">INDEX(Productos!$B$2:$B$13,MATCH($H1276,Productos!$A$2:$A$13,0))</f>
        <v>Tirafondo madera 6x100 cabeza plana Torx</v>
      </c>
      <c r="J1276" s="32" t="str">
        <f aca="false">INDEX(Productos!$C$2:$C$13,MATCH($H1276,Productos!$A$2:$A$13,0))</f>
        <v>Madera</v>
      </c>
      <c r="K1276" s="31" t="s">
        <v>246</v>
      </c>
      <c r="L1276" s="46" t="n">
        <v>33</v>
      </c>
      <c r="M1276" s="50" t="n">
        <f aca="false">INDEX(Productos!$F$2:$F$13,MATCH($H1276,Productos!$A$2:$A$13,0))</f>
        <v>34</v>
      </c>
      <c r="N1276" s="51" t="n">
        <v>0.171</v>
      </c>
      <c r="O1276" s="52" t="n">
        <f aca="false">M1276*(1-N1276)</f>
        <v>28.186</v>
      </c>
      <c r="P1276" s="21" t="n">
        <f aca="false">L1276*O1276</f>
        <v>930.138</v>
      </c>
      <c r="Q1276" s="50" t="n">
        <f aca="false">INDEX(Productos!$E$2:$E$13,MATCH($H1276,Productos!$A$2:$A$13,0))*INDEX(Parametros!$B$26:$B$43,MATCH($C1276,Parametros!$A$26:$A$43,0))</f>
        <v>18.0136</v>
      </c>
      <c r="R1276" s="21" t="n">
        <f aca="false">L1276*Q1276</f>
        <v>594.4488</v>
      </c>
      <c r="S1276" s="18" t="n">
        <f aca="false">L1276*INDEX(Parametros!$B$20:$B$22,MATCH($E1276,Parametros!$A$20:$A$22,0))</f>
        <v>79.2</v>
      </c>
      <c r="T1276" s="18" t="n">
        <f aca="false">P1276*INDEX(Parametros!$B$13:$B$16,MATCH($F1276,Parametros!$A$13:$A$16,0))</f>
        <v>37.20552</v>
      </c>
      <c r="U1276" s="21" t="n">
        <f aca="false">P1276-R1276-S1276-T1276</f>
        <v>219.28368</v>
      </c>
      <c r="V1276" s="19" t="n">
        <f aca="false">IFERROR(U1276/P1276,0)</f>
        <v>0.235753920386007</v>
      </c>
      <c r="W1276" s="48" t="n">
        <f aca="false">B1276+INDEX(Parametros!$C$13:$C$16,MATCH($F1276,Parametros!$A$13:$A$16,0))</f>
        <v>46172</v>
      </c>
      <c r="X1276" s="31" t="s">
        <v>67</v>
      </c>
      <c r="Y1276" s="53" t="n">
        <f aca="false">IF(COUNTIF($A$2:$A1276,A1276)=1,1,0)</f>
        <v>0</v>
      </c>
    </row>
    <row r="1277" customFormat="false" ht="15" hidden="false" customHeight="false" outlineLevel="0" collapsed="false">
      <c r="A1277" s="31" t="s">
        <v>928</v>
      </c>
      <c r="B1277" s="36" t="n">
        <v>46097</v>
      </c>
      <c r="C1277" s="49" t="n">
        <f aca="false">DATE(YEAR(B1277),MONTH(B1277),1)</f>
        <v>46082</v>
      </c>
      <c r="D1277" s="31" t="s">
        <v>220</v>
      </c>
      <c r="E1277" s="31" t="s">
        <v>42</v>
      </c>
      <c r="F1277" s="31" t="s">
        <v>46</v>
      </c>
      <c r="G1277" s="31" t="s">
        <v>61</v>
      </c>
      <c r="H1277" s="31" t="s">
        <v>185</v>
      </c>
      <c r="I1277" s="32" t="str">
        <f aca="false">INDEX(Productos!$B$2:$B$13,MATCH($H1277,Productos!$A$2:$A$13,0))</f>
        <v>Varilla roscada M10 x 1 m zincada</v>
      </c>
      <c r="J1277" s="32" t="str">
        <f aca="false">INDEX(Productos!$C$2:$C$13,MATCH($H1277,Productos!$A$2:$A$13,0))</f>
        <v>Especial</v>
      </c>
      <c r="K1277" s="31" t="s">
        <v>246</v>
      </c>
      <c r="L1277" s="46" t="n">
        <v>44</v>
      </c>
      <c r="M1277" s="50" t="n">
        <f aca="false">INDEX(Productos!$F$2:$F$13,MATCH($H1277,Productos!$A$2:$A$13,0))</f>
        <v>54</v>
      </c>
      <c r="N1277" s="51" t="n">
        <v>0.097</v>
      </c>
      <c r="O1277" s="52" t="n">
        <f aca="false">M1277*(1-N1277)</f>
        <v>48.762</v>
      </c>
      <c r="P1277" s="21" t="n">
        <f aca="false">L1277*O1277</f>
        <v>2145.528</v>
      </c>
      <c r="Q1277" s="50" t="n">
        <f aca="false">INDEX(Productos!$E$2:$E$13,MATCH($H1277,Productos!$A$2:$A$13,0))*INDEX(Parametros!$B$26:$B$43,MATCH($C1277,Parametros!$A$26:$A$43,0))</f>
        <v>28.842</v>
      </c>
      <c r="R1277" s="21" t="n">
        <f aca="false">L1277*Q1277</f>
        <v>1269.048</v>
      </c>
      <c r="S1277" s="18" t="n">
        <f aca="false">L1277*INDEX(Parametros!$B$20:$B$22,MATCH($E1277,Parametros!$A$20:$A$22,0))</f>
        <v>105.6</v>
      </c>
      <c r="T1277" s="18" t="n">
        <f aca="false">P1277*INDEX(Parametros!$B$13:$B$16,MATCH($F1277,Parametros!$A$13:$A$16,0))</f>
        <v>85.82112</v>
      </c>
      <c r="U1277" s="21" t="n">
        <f aca="false">P1277-R1277-S1277-T1277</f>
        <v>685.05888</v>
      </c>
      <c r="V1277" s="19" t="n">
        <f aca="false">IFERROR(U1277/P1277,0)</f>
        <v>0.319296173249662</v>
      </c>
      <c r="W1277" s="48" t="n">
        <f aca="false">B1277+INDEX(Parametros!$C$13:$C$16,MATCH($F1277,Parametros!$A$13:$A$16,0))</f>
        <v>46172</v>
      </c>
      <c r="X1277" s="31" t="s">
        <v>67</v>
      </c>
      <c r="Y1277" s="53" t="n">
        <f aca="false">IF(COUNTIF($A$2:$A1277,A1277)=1,1,0)</f>
        <v>1</v>
      </c>
    </row>
    <row r="1278" customFormat="false" ht="15" hidden="false" customHeight="false" outlineLevel="0" collapsed="false">
      <c r="A1278" s="31" t="s">
        <v>929</v>
      </c>
      <c r="B1278" s="36" t="n">
        <v>46097</v>
      </c>
      <c r="C1278" s="49" t="n">
        <f aca="false">DATE(YEAR(B1278),MONTH(B1278),1)</f>
        <v>46082</v>
      </c>
      <c r="D1278" s="31" t="s">
        <v>211</v>
      </c>
      <c r="E1278" s="31" t="s">
        <v>41</v>
      </c>
      <c r="F1278" s="31" t="s">
        <v>48</v>
      </c>
      <c r="G1278" s="31" t="s">
        <v>60</v>
      </c>
      <c r="H1278" s="31" t="s">
        <v>167</v>
      </c>
      <c r="I1278" s="32" t="str">
        <f aca="false">INDEX(Productos!$B$2:$B$13,MATCH($H1278,Productos!$A$2:$A$13,0))</f>
        <v>Tornillo DIN 912 M6x25 Allen zincado</v>
      </c>
      <c r="J1278" s="32" t="str">
        <f aca="false">INDEX(Productos!$C$2:$C$13,MATCH($H1278,Productos!$A$2:$A$13,0))</f>
        <v>Métrica</v>
      </c>
      <c r="K1278" s="31" t="s">
        <v>246</v>
      </c>
      <c r="L1278" s="46" t="n">
        <v>10</v>
      </c>
      <c r="M1278" s="50" t="n">
        <f aca="false">INDEX(Productos!$F$2:$F$13,MATCH($H1278,Productos!$A$2:$A$13,0))</f>
        <v>42</v>
      </c>
      <c r="N1278" s="51" t="n">
        <v>0.042</v>
      </c>
      <c r="O1278" s="52" t="n">
        <f aca="false">M1278*(1-N1278)</f>
        <v>40.236</v>
      </c>
      <c r="P1278" s="21" t="n">
        <f aca="false">L1278*O1278</f>
        <v>402.36</v>
      </c>
      <c r="Q1278" s="50" t="n">
        <f aca="false">INDEX(Productos!$E$2:$E$13,MATCH($H1278,Productos!$A$2:$A$13,0))*INDEX(Parametros!$B$26:$B$43,MATCH($C1278,Parametros!$A$26:$A$43,0))</f>
        <v>22.0616</v>
      </c>
      <c r="R1278" s="21" t="n">
        <f aca="false">L1278*Q1278</f>
        <v>220.616</v>
      </c>
      <c r="S1278" s="18" t="n">
        <f aca="false">L1278*INDEX(Parametros!$B$20:$B$22,MATCH($E1278,Parametros!$A$20:$A$22,0))</f>
        <v>8.5</v>
      </c>
      <c r="T1278" s="18" t="n">
        <f aca="false">P1278*INDEX(Parametros!$B$13:$B$16,MATCH($F1278,Parametros!$A$13:$A$16,0))</f>
        <v>4.0236</v>
      </c>
      <c r="U1278" s="21" t="n">
        <f aca="false">P1278-R1278-S1278-T1278</f>
        <v>169.2204</v>
      </c>
      <c r="V1278" s="19" t="n">
        <f aca="false">IFERROR(U1278/P1278,0)</f>
        <v>0.420569639129138</v>
      </c>
      <c r="W1278" s="48" t="n">
        <f aca="false">B1278+INDEX(Parametros!$C$13:$C$16,MATCH($F1278,Parametros!$A$13:$A$16,0))</f>
        <v>46097</v>
      </c>
      <c r="X1278" s="31" t="s">
        <v>67</v>
      </c>
      <c r="Y1278" s="53" t="n">
        <f aca="false">IF(COUNTIF($A$2:$A1278,A1278)=1,1,0)</f>
        <v>1</v>
      </c>
    </row>
    <row r="1279" customFormat="false" ht="15" hidden="false" customHeight="false" outlineLevel="0" collapsed="false">
      <c r="A1279" s="31" t="s">
        <v>930</v>
      </c>
      <c r="B1279" s="36" t="n">
        <v>46097</v>
      </c>
      <c r="C1279" s="49" t="n">
        <f aca="false">DATE(YEAR(B1279),MONTH(B1279),1)</f>
        <v>46082</v>
      </c>
      <c r="D1279" s="31" t="s">
        <v>196</v>
      </c>
      <c r="E1279" s="31" t="s">
        <v>41</v>
      </c>
      <c r="F1279" s="31" t="s">
        <v>47</v>
      </c>
      <c r="G1279" s="31" t="s">
        <v>58</v>
      </c>
      <c r="H1279" s="31" t="s">
        <v>165</v>
      </c>
      <c r="I1279" s="32" t="str">
        <f aca="false">INDEX(Productos!$B$2:$B$13,MATCH($H1279,Productos!$A$2:$A$13,0))</f>
        <v>Tornillo DIN 933 M8x40 rosca completa zincado</v>
      </c>
      <c r="J1279" s="32" t="str">
        <f aca="false">INDEX(Productos!$C$2:$C$13,MATCH($H1279,Productos!$A$2:$A$13,0))</f>
        <v>Métrica</v>
      </c>
      <c r="K1279" s="31" t="s">
        <v>246</v>
      </c>
      <c r="L1279" s="46" t="n">
        <v>25</v>
      </c>
      <c r="M1279" s="50" t="n">
        <f aca="false">INDEX(Productos!$F$2:$F$13,MATCH($H1279,Productos!$A$2:$A$13,0))</f>
        <v>37.5</v>
      </c>
      <c r="N1279" s="51" t="n">
        <v>0.075</v>
      </c>
      <c r="O1279" s="52" t="n">
        <f aca="false">M1279*(1-N1279)</f>
        <v>34.6875</v>
      </c>
      <c r="P1279" s="21" t="n">
        <f aca="false">L1279*O1279</f>
        <v>867.1875</v>
      </c>
      <c r="Q1279" s="50" t="n">
        <f aca="false">INDEX(Productos!$E$2:$E$13,MATCH($H1279,Productos!$A$2:$A$13,0))*INDEX(Parametros!$B$26:$B$43,MATCH($C1279,Parametros!$A$26:$A$43,0))</f>
        <v>19.6328</v>
      </c>
      <c r="R1279" s="21" t="n">
        <f aca="false">L1279*Q1279</f>
        <v>490.82</v>
      </c>
      <c r="S1279" s="18" t="n">
        <f aca="false">L1279*INDEX(Parametros!$B$20:$B$22,MATCH($E1279,Parametros!$A$20:$A$22,0))</f>
        <v>21.25</v>
      </c>
      <c r="T1279" s="18" t="n">
        <f aca="false">P1279*INDEX(Parametros!$B$13:$B$16,MATCH($F1279,Parametros!$A$13:$A$16,0))</f>
        <v>30.3515625</v>
      </c>
      <c r="U1279" s="21" t="n">
        <f aca="false">P1279-R1279-S1279-T1279</f>
        <v>324.7659375</v>
      </c>
      <c r="V1279" s="19" t="n">
        <f aca="false">IFERROR(U1279/P1279,0)</f>
        <v>0.374504864864865</v>
      </c>
      <c r="W1279" s="48" t="n">
        <f aca="false">B1279+INDEX(Parametros!$C$13:$C$16,MATCH($F1279,Parametros!$A$13:$A$16,0))</f>
        <v>46142</v>
      </c>
      <c r="X1279" s="31" t="s">
        <v>67</v>
      </c>
      <c r="Y1279" s="53" t="n">
        <f aca="false">IF(COUNTIF($A$2:$A1279,A1279)=1,1,0)</f>
        <v>1</v>
      </c>
    </row>
    <row r="1280" customFormat="false" ht="15" hidden="false" customHeight="false" outlineLevel="0" collapsed="false">
      <c r="A1280" s="31" t="s">
        <v>930</v>
      </c>
      <c r="B1280" s="36" t="n">
        <v>46097</v>
      </c>
      <c r="C1280" s="49" t="n">
        <f aca="false">DATE(YEAR(B1280),MONTH(B1280),1)</f>
        <v>46082</v>
      </c>
      <c r="D1280" s="31" t="s">
        <v>196</v>
      </c>
      <c r="E1280" s="31" t="s">
        <v>41</v>
      </c>
      <c r="F1280" s="31" t="s">
        <v>47</v>
      </c>
      <c r="G1280" s="31" t="s">
        <v>58</v>
      </c>
      <c r="H1280" s="31" t="s">
        <v>173</v>
      </c>
      <c r="I1280" s="32" t="str">
        <f aca="false">INDEX(Productos!$B$2:$B$13,MATCH($H1280,Productos!$A$2:$A$13,0))</f>
        <v>Tornillo DIN 933 M12x70 clase 8.8</v>
      </c>
      <c r="J1280" s="32" t="str">
        <f aca="false">INDEX(Productos!$C$2:$C$13,MATCH($H1280,Productos!$A$2:$A$13,0))</f>
        <v>Métrica</v>
      </c>
      <c r="K1280" s="31" t="s">
        <v>246</v>
      </c>
      <c r="L1280" s="46" t="n">
        <v>64</v>
      </c>
      <c r="M1280" s="50" t="n">
        <f aca="false">INDEX(Productos!$F$2:$F$13,MATCH($H1280,Productos!$A$2:$A$13,0))</f>
        <v>64</v>
      </c>
      <c r="N1280" s="51" t="n">
        <v>0.054</v>
      </c>
      <c r="O1280" s="52" t="n">
        <f aca="false">M1280*(1-N1280)</f>
        <v>60.544</v>
      </c>
      <c r="P1280" s="21" t="n">
        <f aca="false">L1280*O1280</f>
        <v>3874.816</v>
      </c>
      <c r="Q1280" s="50" t="n">
        <f aca="false">INDEX(Productos!$E$2:$E$13,MATCH($H1280,Productos!$A$2:$A$13,0))*INDEX(Parametros!$B$26:$B$43,MATCH($C1280,Parametros!$A$26:$A$43,0))</f>
        <v>33.902</v>
      </c>
      <c r="R1280" s="21" t="n">
        <f aca="false">L1280*Q1280</f>
        <v>2169.728</v>
      </c>
      <c r="S1280" s="18" t="n">
        <f aca="false">L1280*INDEX(Parametros!$B$20:$B$22,MATCH($E1280,Parametros!$A$20:$A$22,0))</f>
        <v>54.4</v>
      </c>
      <c r="T1280" s="18" t="n">
        <f aca="false">P1280*INDEX(Parametros!$B$13:$B$16,MATCH($F1280,Parametros!$A$13:$A$16,0))</f>
        <v>135.61856</v>
      </c>
      <c r="U1280" s="21" t="n">
        <f aca="false">P1280-R1280-S1280-T1280</f>
        <v>1515.06944</v>
      </c>
      <c r="V1280" s="19" t="n">
        <f aca="false">IFERROR(U1280/P1280,0)</f>
        <v>0.39100422832981</v>
      </c>
      <c r="W1280" s="48" t="n">
        <f aca="false">B1280+INDEX(Parametros!$C$13:$C$16,MATCH($F1280,Parametros!$A$13:$A$16,0))</f>
        <v>46142</v>
      </c>
      <c r="X1280" s="31" t="s">
        <v>67</v>
      </c>
      <c r="Y1280" s="53" t="n">
        <f aca="false">IF(COUNTIF($A$2:$A1280,A1280)=1,1,0)</f>
        <v>0</v>
      </c>
    </row>
    <row r="1281" customFormat="false" ht="15" hidden="false" customHeight="false" outlineLevel="0" collapsed="false">
      <c r="A1281" s="31" t="s">
        <v>931</v>
      </c>
      <c r="B1281" s="36" t="n">
        <v>46098</v>
      </c>
      <c r="C1281" s="49" t="n">
        <f aca="false">DATE(YEAR(B1281),MONTH(B1281),1)</f>
        <v>46082</v>
      </c>
      <c r="D1281" s="31" t="s">
        <v>208</v>
      </c>
      <c r="E1281" s="31" t="s">
        <v>41</v>
      </c>
      <c r="F1281" s="31" t="s">
        <v>46</v>
      </c>
      <c r="G1281" s="31" t="s">
        <v>58</v>
      </c>
      <c r="H1281" s="31" t="s">
        <v>169</v>
      </c>
      <c r="I1281" s="32" t="str">
        <f aca="false">INDEX(Productos!$B$2:$B$13,MATCH($H1281,Productos!$A$2:$A$13,0))</f>
        <v>Tornillo DIN 912 M10x60 Allen inox A2</v>
      </c>
      <c r="J1281" s="32" t="str">
        <f aca="false">INDEX(Productos!$C$2:$C$13,MATCH($H1281,Productos!$A$2:$A$13,0))</f>
        <v>Inoxidable</v>
      </c>
      <c r="K1281" s="31" t="s">
        <v>246</v>
      </c>
      <c r="L1281" s="46" t="n">
        <v>22</v>
      </c>
      <c r="M1281" s="50" t="n">
        <f aca="false">INDEX(Productos!$F$2:$F$13,MATCH($H1281,Productos!$A$2:$A$13,0))</f>
        <v>79</v>
      </c>
      <c r="N1281" s="51" t="n">
        <v>0.132</v>
      </c>
      <c r="O1281" s="52" t="n">
        <f aca="false">M1281*(1-N1281)</f>
        <v>68.572</v>
      </c>
      <c r="P1281" s="21" t="n">
        <f aca="false">L1281*O1281</f>
        <v>1508.584</v>
      </c>
      <c r="Q1281" s="50" t="n">
        <f aca="false">INDEX(Productos!$E$2:$E$13,MATCH($H1281,Productos!$A$2:$A$13,0))*INDEX(Parametros!$B$26:$B$43,MATCH($C1281,Parametros!$A$26:$A$43,0))</f>
        <v>42.504</v>
      </c>
      <c r="R1281" s="21" t="n">
        <f aca="false">L1281*Q1281</f>
        <v>935.088</v>
      </c>
      <c r="S1281" s="18" t="n">
        <f aca="false">L1281*INDEX(Parametros!$B$20:$B$22,MATCH($E1281,Parametros!$A$20:$A$22,0))</f>
        <v>18.7</v>
      </c>
      <c r="T1281" s="18" t="n">
        <f aca="false">P1281*INDEX(Parametros!$B$13:$B$16,MATCH($F1281,Parametros!$A$13:$A$16,0))</f>
        <v>60.34336</v>
      </c>
      <c r="U1281" s="21" t="n">
        <f aca="false">P1281-R1281-S1281-T1281</f>
        <v>494.45264</v>
      </c>
      <c r="V1281" s="19" t="n">
        <f aca="false">IFERROR(U1281/P1281,0)</f>
        <v>0.327759435338039</v>
      </c>
      <c r="W1281" s="48" t="n">
        <f aca="false">B1281+INDEX(Parametros!$C$13:$C$16,MATCH($F1281,Parametros!$A$13:$A$16,0))</f>
        <v>46173</v>
      </c>
      <c r="X1281" s="31" t="s">
        <v>67</v>
      </c>
      <c r="Y1281" s="53" t="n">
        <f aca="false">IF(COUNTIF($A$2:$A1281,A1281)=1,1,0)</f>
        <v>1</v>
      </c>
    </row>
    <row r="1282" customFormat="false" ht="15" hidden="false" customHeight="false" outlineLevel="0" collapsed="false">
      <c r="A1282" s="31" t="s">
        <v>932</v>
      </c>
      <c r="B1282" s="36" t="n">
        <v>46099</v>
      </c>
      <c r="C1282" s="49" t="n">
        <f aca="false">DATE(YEAR(B1282),MONTH(B1282),1)</f>
        <v>46082</v>
      </c>
      <c r="D1282" s="31" t="s">
        <v>203</v>
      </c>
      <c r="E1282" s="31" t="s">
        <v>41</v>
      </c>
      <c r="F1282" s="31" t="s">
        <v>46</v>
      </c>
      <c r="G1282" s="31" t="s">
        <v>58</v>
      </c>
      <c r="H1282" s="31" t="s">
        <v>173</v>
      </c>
      <c r="I1282" s="32" t="str">
        <f aca="false">INDEX(Productos!$B$2:$B$13,MATCH($H1282,Productos!$A$2:$A$13,0))</f>
        <v>Tornillo DIN 933 M12x70 clase 8.8</v>
      </c>
      <c r="J1282" s="32" t="str">
        <f aca="false">INDEX(Productos!$C$2:$C$13,MATCH($H1282,Productos!$A$2:$A$13,0))</f>
        <v>Métrica</v>
      </c>
      <c r="K1282" s="31" t="s">
        <v>246</v>
      </c>
      <c r="L1282" s="46" t="n">
        <v>120</v>
      </c>
      <c r="M1282" s="50" t="n">
        <f aca="false">INDEX(Productos!$F$2:$F$13,MATCH($H1282,Productos!$A$2:$A$13,0))</f>
        <v>64</v>
      </c>
      <c r="N1282" s="51" t="n">
        <v>0.135</v>
      </c>
      <c r="O1282" s="52" t="n">
        <f aca="false">M1282*(1-N1282)</f>
        <v>55.36</v>
      </c>
      <c r="P1282" s="21" t="n">
        <f aca="false">L1282*O1282</f>
        <v>6643.2</v>
      </c>
      <c r="Q1282" s="50" t="n">
        <f aca="false">INDEX(Productos!$E$2:$E$13,MATCH($H1282,Productos!$A$2:$A$13,0))*INDEX(Parametros!$B$26:$B$43,MATCH($C1282,Parametros!$A$26:$A$43,0))</f>
        <v>33.902</v>
      </c>
      <c r="R1282" s="21" t="n">
        <f aca="false">L1282*Q1282</f>
        <v>4068.24</v>
      </c>
      <c r="S1282" s="18" t="n">
        <f aca="false">L1282*INDEX(Parametros!$B$20:$B$22,MATCH($E1282,Parametros!$A$20:$A$22,0))</f>
        <v>102</v>
      </c>
      <c r="T1282" s="18" t="n">
        <f aca="false">P1282*INDEX(Parametros!$B$13:$B$16,MATCH($F1282,Parametros!$A$13:$A$16,0))</f>
        <v>265.728</v>
      </c>
      <c r="U1282" s="21" t="n">
        <f aca="false">P1282-R1282-S1282-T1282</f>
        <v>2207.232</v>
      </c>
      <c r="V1282" s="19" t="n">
        <f aca="false">IFERROR(U1282/P1282,0)</f>
        <v>0.332254335260116</v>
      </c>
      <c r="W1282" s="48" t="n">
        <f aca="false">B1282+INDEX(Parametros!$C$13:$C$16,MATCH($F1282,Parametros!$A$13:$A$16,0))</f>
        <v>46174</v>
      </c>
      <c r="X1282" s="31" t="s">
        <v>69</v>
      </c>
      <c r="Y1282" s="53" t="n">
        <f aca="false">IF(COUNTIF($A$2:$A1282,A1282)=1,1,0)</f>
        <v>1</v>
      </c>
    </row>
    <row r="1283" customFormat="false" ht="15" hidden="false" customHeight="false" outlineLevel="0" collapsed="false">
      <c r="A1283" s="31" t="s">
        <v>932</v>
      </c>
      <c r="B1283" s="36" t="n">
        <v>46099</v>
      </c>
      <c r="C1283" s="49" t="n">
        <f aca="false">DATE(YEAR(B1283),MONTH(B1283),1)</f>
        <v>46082</v>
      </c>
      <c r="D1283" s="31" t="s">
        <v>203</v>
      </c>
      <c r="E1283" s="31" t="s">
        <v>41</v>
      </c>
      <c r="F1283" s="31" t="s">
        <v>46</v>
      </c>
      <c r="G1283" s="31" t="s">
        <v>58</v>
      </c>
      <c r="H1283" s="31" t="s">
        <v>171</v>
      </c>
      <c r="I1283" s="32" t="str">
        <f aca="false">INDEX(Productos!$B$2:$B$13,MATCH($H1283,Productos!$A$2:$A$13,0))</f>
        <v>Tornillo DIN 7991 M8x30 avellanado inox A2</v>
      </c>
      <c r="J1283" s="32" t="str">
        <f aca="false">INDEX(Productos!$C$2:$C$13,MATCH($H1283,Productos!$A$2:$A$13,0))</f>
        <v>Inoxidable</v>
      </c>
      <c r="K1283" s="31" t="s">
        <v>246</v>
      </c>
      <c r="L1283" s="46" t="n">
        <v>147</v>
      </c>
      <c r="M1283" s="50" t="n">
        <f aca="false">INDEX(Productos!$F$2:$F$13,MATCH($H1283,Productos!$A$2:$A$13,0))</f>
        <v>88</v>
      </c>
      <c r="N1283" s="51" t="n">
        <v>0.178</v>
      </c>
      <c r="O1283" s="52" t="n">
        <f aca="false">M1283*(1-N1283)</f>
        <v>72.336</v>
      </c>
      <c r="P1283" s="21" t="n">
        <f aca="false">L1283*O1283</f>
        <v>10633.392</v>
      </c>
      <c r="Q1283" s="50" t="n">
        <f aca="false">INDEX(Productos!$E$2:$E$13,MATCH($H1283,Productos!$A$2:$A$13,0))*INDEX(Parametros!$B$26:$B$43,MATCH($C1283,Parametros!$A$26:$A$43,0))</f>
        <v>47.058</v>
      </c>
      <c r="R1283" s="21" t="n">
        <f aca="false">L1283*Q1283</f>
        <v>6917.526</v>
      </c>
      <c r="S1283" s="18" t="n">
        <f aca="false">L1283*INDEX(Parametros!$B$20:$B$22,MATCH($E1283,Parametros!$A$20:$A$22,0))</f>
        <v>124.95</v>
      </c>
      <c r="T1283" s="18" t="n">
        <f aca="false">P1283*INDEX(Parametros!$B$13:$B$16,MATCH($F1283,Parametros!$A$13:$A$16,0))</f>
        <v>425.33568</v>
      </c>
      <c r="U1283" s="21" t="n">
        <f aca="false">P1283-R1283-S1283-T1283</f>
        <v>3165.58032</v>
      </c>
      <c r="V1283" s="19" t="n">
        <f aca="false">IFERROR(U1283/P1283,0)</f>
        <v>0.297701835877019</v>
      </c>
      <c r="W1283" s="48" t="n">
        <f aca="false">B1283+INDEX(Parametros!$C$13:$C$16,MATCH($F1283,Parametros!$A$13:$A$16,0))</f>
        <v>46174</v>
      </c>
      <c r="X1283" s="31" t="s">
        <v>67</v>
      </c>
      <c r="Y1283" s="53" t="n">
        <f aca="false">IF(COUNTIF($A$2:$A1283,A1283)=1,1,0)</f>
        <v>0</v>
      </c>
    </row>
    <row r="1284" customFormat="false" ht="15" hidden="false" customHeight="false" outlineLevel="0" collapsed="false">
      <c r="A1284" s="31" t="s">
        <v>933</v>
      </c>
      <c r="B1284" s="36" t="n">
        <v>46101</v>
      </c>
      <c r="C1284" s="49" t="n">
        <f aca="false">DATE(YEAR(B1284),MONTH(B1284),1)</f>
        <v>46082</v>
      </c>
      <c r="D1284" s="31" t="s">
        <v>215</v>
      </c>
      <c r="E1284" s="31" t="s">
        <v>42</v>
      </c>
      <c r="F1284" s="31" t="s">
        <v>46</v>
      </c>
      <c r="G1284" s="31" t="s">
        <v>61</v>
      </c>
      <c r="H1284" s="31" t="s">
        <v>167</v>
      </c>
      <c r="I1284" s="32" t="str">
        <f aca="false">INDEX(Productos!$B$2:$B$13,MATCH($H1284,Productos!$A$2:$A$13,0))</f>
        <v>Tornillo DIN 912 M6x25 Allen zincado</v>
      </c>
      <c r="J1284" s="32" t="str">
        <f aca="false">INDEX(Productos!$C$2:$C$13,MATCH($H1284,Productos!$A$2:$A$13,0))</f>
        <v>Métrica</v>
      </c>
      <c r="K1284" s="31" t="s">
        <v>246</v>
      </c>
      <c r="L1284" s="46" t="n">
        <v>262</v>
      </c>
      <c r="M1284" s="50" t="n">
        <f aca="false">INDEX(Productos!$F$2:$F$13,MATCH($H1284,Productos!$A$2:$A$13,0))</f>
        <v>42</v>
      </c>
      <c r="N1284" s="51" t="n">
        <v>0.176</v>
      </c>
      <c r="O1284" s="52" t="n">
        <f aca="false">M1284*(1-N1284)</f>
        <v>34.608</v>
      </c>
      <c r="P1284" s="21" t="n">
        <f aca="false">L1284*O1284</f>
        <v>9067.296</v>
      </c>
      <c r="Q1284" s="50" t="n">
        <f aca="false">INDEX(Productos!$E$2:$E$13,MATCH($H1284,Productos!$A$2:$A$13,0))*INDEX(Parametros!$B$26:$B$43,MATCH($C1284,Parametros!$A$26:$A$43,0))</f>
        <v>22.0616</v>
      </c>
      <c r="R1284" s="21" t="n">
        <f aca="false">L1284*Q1284</f>
        <v>5780.1392</v>
      </c>
      <c r="S1284" s="18" t="n">
        <f aca="false">L1284*INDEX(Parametros!$B$20:$B$22,MATCH($E1284,Parametros!$A$20:$A$22,0))</f>
        <v>628.8</v>
      </c>
      <c r="T1284" s="18" t="n">
        <f aca="false">P1284*INDEX(Parametros!$B$13:$B$16,MATCH($F1284,Parametros!$A$13:$A$16,0))</f>
        <v>362.69184</v>
      </c>
      <c r="U1284" s="21" t="n">
        <f aca="false">P1284-R1284-S1284-T1284</f>
        <v>2295.66496</v>
      </c>
      <c r="V1284" s="19" t="n">
        <f aca="false">IFERROR(U1284/P1284,0)</f>
        <v>0.253180767452612</v>
      </c>
      <c r="W1284" s="48" t="n">
        <f aca="false">B1284+INDEX(Parametros!$C$13:$C$16,MATCH($F1284,Parametros!$A$13:$A$16,0))</f>
        <v>46176</v>
      </c>
      <c r="X1284" s="31" t="s">
        <v>67</v>
      </c>
      <c r="Y1284" s="53" t="n">
        <f aca="false">IF(COUNTIF($A$2:$A1284,A1284)=1,1,0)</f>
        <v>1</v>
      </c>
    </row>
    <row r="1285" customFormat="false" ht="15" hidden="false" customHeight="false" outlineLevel="0" collapsed="false">
      <c r="A1285" s="31" t="s">
        <v>934</v>
      </c>
      <c r="B1285" s="36" t="n">
        <v>46101</v>
      </c>
      <c r="C1285" s="49" t="n">
        <f aca="false">DATE(YEAR(B1285),MONTH(B1285),1)</f>
        <v>46082</v>
      </c>
      <c r="D1285" s="31" t="s">
        <v>196</v>
      </c>
      <c r="E1285" s="31" t="s">
        <v>41</v>
      </c>
      <c r="F1285" s="31" t="s">
        <v>47</v>
      </c>
      <c r="G1285" s="31" t="s">
        <v>58</v>
      </c>
      <c r="H1285" s="31" t="s">
        <v>183</v>
      </c>
      <c r="I1285" s="32" t="str">
        <f aca="false">INDEX(Productos!$B$2:$B$13,MATCH($H1285,Productos!$A$2:$A$13,0))</f>
        <v>Tornillo estructural M16x90 clase 10.9</v>
      </c>
      <c r="J1285" s="32" t="str">
        <f aca="false">INDEX(Productos!$C$2:$C$13,MATCH($H1285,Productos!$A$2:$A$13,0))</f>
        <v>Especial</v>
      </c>
      <c r="K1285" s="31" t="s">
        <v>246</v>
      </c>
      <c r="L1285" s="46" t="n">
        <v>41</v>
      </c>
      <c r="M1285" s="50" t="n">
        <f aca="false">INDEX(Productos!$F$2:$F$13,MATCH($H1285,Productos!$A$2:$A$13,0))</f>
        <v>112</v>
      </c>
      <c r="N1285" s="51" t="n">
        <v>0.058</v>
      </c>
      <c r="O1285" s="52" t="n">
        <f aca="false">M1285*(1-N1285)</f>
        <v>105.504</v>
      </c>
      <c r="P1285" s="21" t="n">
        <f aca="false">L1285*O1285</f>
        <v>4325.664</v>
      </c>
      <c r="Q1285" s="50" t="n">
        <f aca="false">INDEX(Productos!$E$2:$E$13,MATCH($H1285,Productos!$A$2:$A$13,0))*INDEX(Parametros!$B$26:$B$43,MATCH($C1285,Parametros!$A$26:$A$43,0))</f>
        <v>60.72</v>
      </c>
      <c r="R1285" s="21" t="n">
        <f aca="false">L1285*Q1285</f>
        <v>2489.52</v>
      </c>
      <c r="S1285" s="18" t="n">
        <f aca="false">L1285*INDEX(Parametros!$B$20:$B$22,MATCH($E1285,Parametros!$A$20:$A$22,0))</f>
        <v>34.85</v>
      </c>
      <c r="T1285" s="18" t="n">
        <f aca="false">P1285*INDEX(Parametros!$B$13:$B$16,MATCH($F1285,Parametros!$A$13:$A$16,0))</f>
        <v>151.39824</v>
      </c>
      <c r="U1285" s="21" t="n">
        <f aca="false">P1285-R1285-S1285-T1285</f>
        <v>1649.89576</v>
      </c>
      <c r="V1285" s="19" t="n">
        <f aca="false">IFERROR(U1285/P1285,0)</f>
        <v>0.381420230512587</v>
      </c>
      <c r="W1285" s="48" t="n">
        <f aca="false">B1285+INDEX(Parametros!$C$13:$C$16,MATCH($F1285,Parametros!$A$13:$A$16,0))</f>
        <v>46146</v>
      </c>
      <c r="X1285" s="31" t="s">
        <v>67</v>
      </c>
      <c r="Y1285" s="53" t="n">
        <f aca="false">IF(COUNTIF($A$2:$A1285,A1285)=1,1,0)</f>
        <v>1</v>
      </c>
    </row>
    <row r="1286" customFormat="false" ht="15" hidden="false" customHeight="false" outlineLevel="0" collapsed="false">
      <c r="A1286" s="31" t="s">
        <v>934</v>
      </c>
      <c r="B1286" s="36" t="n">
        <v>46101</v>
      </c>
      <c r="C1286" s="49" t="n">
        <f aca="false">DATE(YEAR(B1286),MONTH(B1286),1)</f>
        <v>46082</v>
      </c>
      <c r="D1286" s="31" t="s">
        <v>196</v>
      </c>
      <c r="E1286" s="31" t="s">
        <v>41</v>
      </c>
      <c r="F1286" s="31" t="s">
        <v>47</v>
      </c>
      <c r="G1286" s="31" t="s">
        <v>58</v>
      </c>
      <c r="H1286" s="31" t="s">
        <v>185</v>
      </c>
      <c r="I1286" s="32" t="str">
        <f aca="false">INDEX(Productos!$B$2:$B$13,MATCH($H1286,Productos!$A$2:$A$13,0))</f>
        <v>Varilla roscada M10 x 1 m zincada</v>
      </c>
      <c r="J1286" s="32" t="str">
        <f aca="false">INDEX(Productos!$C$2:$C$13,MATCH($H1286,Productos!$A$2:$A$13,0))</f>
        <v>Especial</v>
      </c>
      <c r="K1286" s="31" t="s">
        <v>246</v>
      </c>
      <c r="L1286" s="46" t="n">
        <v>41</v>
      </c>
      <c r="M1286" s="50" t="n">
        <f aca="false">INDEX(Productos!$F$2:$F$13,MATCH($H1286,Productos!$A$2:$A$13,0))</f>
        <v>54</v>
      </c>
      <c r="N1286" s="51" t="n">
        <v>0.043</v>
      </c>
      <c r="O1286" s="52" t="n">
        <f aca="false">M1286*(1-N1286)</f>
        <v>51.678</v>
      </c>
      <c r="P1286" s="21" t="n">
        <f aca="false">L1286*O1286</f>
        <v>2118.798</v>
      </c>
      <c r="Q1286" s="50" t="n">
        <f aca="false">INDEX(Productos!$E$2:$E$13,MATCH($H1286,Productos!$A$2:$A$13,0))*INDEX(Parametros!$B$26:$B$43,MATCH($C1286,Parametros!$A$26:$A$43,0))</f>
        <v>28.842</v>
      </c>
      <c r="R1286" s="21" t="n">
        <f aca="false">L1286*Q1286</f>
        <v>1182.522</v>
      </c>
      <c r="S1286" s="18" t="n">
        <f aca="false">L1286*INDEX(Parametros!$B$20:$B$22,MATCH($E1286,Parametros!$A$20:$A$22,0))</f>
        <v>34.85</v>
      </c>
      <c r="T1286" s="18" t="n">
        <f aca="false">P1286*INDEX(Parametros!$B$13:$B$16,MATCH($F1286,Parametros!$A$13:$A$16,0))</f>
        <v>74.15793</v>
      </c>
      <c r="U1286" s="21" t="n">
        <f aca="false">P1286-R1286-S1286-T1286</f>
        <v>827.26807</v>
      </c>
      <c r="V1286" s="19" t="n">
        <f aca="false">IFERROR(U1286/P1286,0)</f>
        <v>0.390442161074345</v>
      </c>
      <c r="W1286" s="48" t="n">
        <f aca="false">B1286+INDEX(Parametros!$C$13:$C$16,MATCH($F1286,Parametros!$A$13:$A$16,0))</f>
        <v>46146</v>
      </c>
      <c r="X1286" s="31" t="s">
        <v>67</v>
      </c>
      <c r="Y1286" s="53" t="n">
        <f aca="false">IF(COUNTIF($A$2:$A1286,A1286)=1,1,0)</f>
        <v>0</v>
      </c>
    </row>
    <row r="1287" customFormat="false" ht="15" hidden="false" customHeight="false" outlineLevel="0" collapsed="false">
      <c r="A1287" s="31" t="s">
        <v>934</v>
      </c>
      <c r="B1287" s="36" t="n">
        <v>46101</v>
      </c>
      <c r="C1287" s="49" t="n">
        <f aca="false">DATE(YEAR(B1287),MONTH(B1287),1)</f>
        <v>46082</v>
      </c>
      <c r="D1287" s="31" t="s">
        <v>196</v>
      </c>
      <c r="E1287" s="31" t="s">
        <v>41</v>
      </c>
      <c r="F1287" s="31" t="s">
        <v>47</v>
      </c>
      <c r="G1287" s="31" t="s">
        <v>58</v>
      </c>
      <c r="H1287" s="31" t="s">
        <v>165</v>
      </c>
      <c r="I1287" s="32" t="str">
        <f aca="false">INDEX(Productos!$B$2:$B$13,MATCH($H1287,Productos!$A$2:$A$13,0))</f>
        <v>Tornillo DIN 933 M8x40 rosca completa zincado</v>
      </c>
      <c r="J1287" s="32" t="str">
        <f aca="false">INDEX(Productos!$C$2:$C$13,MATCH($H1287,Productos!$A$2:$A$13,0))</f>
        <v>Métrica</v>
      </c>
      <c r="K1287" s="31" t="s">
        <v>246</v>
      </c>
      <c r="L1287" s="46" t="n">
        <v>31</v>
      </c>
      <c r="M1287" s="50" t="n">
        <f aca="false">INDEX(Productos!$F$2:$F$13,MATCH($H1287,Productos!$A$2:$A$13,0))</f>
        <v>37.5</v>
      </c>
      <c r="N1287" s="51" t="n">
        <v>0.061</v>
      </c>
      <c r="O1287" s="52" t="n">
        <f aca="false">M1287*(1-N1287)</f>
        <v>35.2125</v>
      </c>
      <c r="P1287" s="21" t="n">
        <f aca="false">L1287*O1287</f>
        <v>1091.5875</v>
      </c>
      <c r="Q1287" s="50" t="n">
        <f aca="false">INDEX(Productos!$E$2:$E$13,MATCH($H1287,Productos!$A$2:$A$13,0))*INDEX(Parametros!$B$26:$B$43,MATCH($C1287,Parametros!$A$26:$A$43,0))</f>
        <v>19.6328</v>
      </c>
      <c r="R1287" s="21" t="n">
        <f aca="false">L1287*Q1287</f>
        <v>608.6168</v>
      </c>
      <c r="S1287" s="18" t="n">
        <f aca="false">L1287*INDEX(Parametros!$B$20:$B$22,MATCH($E1287,Parametros!$A$20:$A$22,0))</f>
        <v>26.35</v>
      </c>
      <c r="T1287" s="18" t="n">
        <f aca="false">P1287*INDEX(Parametros!$B$13:$B$16,MATCH($F1287,Parametros!$A$13:$A$16,0))</f>
        <v>38.2055625</v>
      </c>
      <c r="U1287" s="21" t="n">
        <f aca="false">P1287-R1287-S1287-T1287</f>
        <v>418.4151375</v>
      </c>
      <c r="V1287" s="19" t="n">
        <f aca="false">IFERROR(U1287/P1287,0)</f>
        <v>0.383308839190628</v>
      </c>
      <c r="W1287" s="48" t="n">
        <f aca="false">B1287+INDEX(Parametros!$C$13:$C$16,MATCH($F1287,Parametros!$A$13:$A$16,0))</f>
        <v>46146</v>
      </c>
      <c r="X1287" s="31" t="s">
        <v>67</v>
      </c>
      <c r="Y1287" s="53" t="n">
        <f aca="false">IF(COUNTIF($A$2:$A1287,A1287)=1,1,0)</f>
        <v>0</v>
      </c>
    </row>
    <row r="1288" customFormat="false" ht="15" hidden="false" customHeight="false" outlineLevel="0" collapsed="false">
      <c r="A1288" s="31" t="s">
        <v>935</v>
      </c>
      <c r="B1288" s="36" t="n">
        <v>46104</v>
      </c>
      <c r="C1288" s="49" t="n">
        <f aca="false">DATE(YEAR(B1288),MONTH(B1288),1)</f>
        <v>46082</v>
      </c>
      <c r="D1288" s="31" t="s">
        <v>228</v>
      </c>
      <c r="E1288" s="31" t="s">
        <v>43</v>
      </c>
      <c r="F1288" s="31" t="s">
        <v>47</v>
      </c>
      <c r="G1288" s="31" t="s">
        <v>59</v>
      </c>
      <c r="H1288" s="31" t="s">
        <v>179</v>
      </c>
      <c r="I1288" s="32" t="str">
        <f aca="false">INDEX(Productos!$B$2:$B$13,MATCH($H1288,Productos!$A$2:$A$13,0))</f>
        <v>Autotaladrante DIN 7504 4,8x38 zincado</v>
      </c>
      <c r="J1288" s="32" t="str">
        <f aca="false">INDEX(Productos!$C$2:$C$13,MATCH($H1288,Productos!$A$2:$A$13,0))</f>
        <v>Autotaladrante</v>
      </c>
      <c r="K1288" s="31" t="s">
        <v>246</v>
      </c>
      <c r="L1288" s="46" t="n">
        <v>62</v>
      </c>
      <c r="M1288" s="50" t="n">
        <f aca="false">INDEX(Productos!$F$2:$F$13,MATCH($H1288,Productos!$A$2:$A$13,0))</f>
        <v>29.5</v>
      </c>
      <c r="N1288" s="51" t="n">
        <v>0.057</v>
      </c>
      <c r="O1288" s="52" t="n">
        <f aca="false">M1288*(1-N1288)</f>
        <v>27.8185</v>
      </c>
      <c r="P1288" s="21" t="n">
        <f aca="false">L1288*O1288</f>
        <v>1724.747</v>
      </c>
      <c r="Q1288" s="50" t="n">
        <f aca="false">INDEX(Productos!$E$2:$E$13,MATCH($H1288,Productos!$A$2:$A$13,0))*INDEX(Parametros!$B$26:$B$43,MATCH($C1288,Parametros!$A$26:$A$43,0))</f>
        <v>15.3824</v>
      </c>
      <c r="R1288" s="21" t="n">
        <f aca="false">L1288*Q1288</f>
        <v>953.7088</v>
      </c>
      <c r="S1288" s="18" t="n">
        <f aca="false">L1288*INDEX(Parametros!$B$20:$B$22,MATCH($E1288,Parametros!$A$20:$A$22,0))</f>
        <v>117.8</v>
      </c>
      <c r="T1288" s="18" t="n">
        <f aca="false">P1288*INDEX(Parametros!$B$13:$B$16,MATCH($F1288,Parametros!$A$13:$A$16,0))</f>
        <v>60.366145</v>
      </c>
      <c r="U1288" s="21" t="n">
        <f aca="false">P1288-R1288-S1288-T1288</f>
        <v>592.872055</v>
      </c>
      <c r="V1288" s="19" t="n">
        <f aca="false">IFERROR(U1288/P1288,0)</f>
        <v>0.343744360767116</v>
      </c>
      <c r="W1288" s="48" t="n">
        <f aca="false">B1288+INDEX(Parametros!$C$13:$C$16,MATCH($F1288,Parametros!$A$13:$A$16,0))</f>
        <v>46149</v>
      </c>
      <c r="X1288" s="31" t="s">
        <v>67</v>
      </c>
      <c r="Y1288" s="53" t="n">
        <f aca="false">IF(COUNTIF($A$2:$A1288,A1288)=1,1,0)</f>
        <v>1</v>
      </c>
    </row>
    <row r="1289" customFormat="false" ht="15" hidden="false" customHeight="false" outlineLevel="0" collapsed="false">
      <c r="A1289" s="31" t="s">
        <v>936</v>
      </c>
      <c r="B1289" s="36" t="n">
        <v>46104</v>
      </c>
      <c r="C1289" s="49" t="n">
        <f aca="false">DATE(YEAR(B1289),MONTH(B1289),1)</f>
        <v>46082</v>
      </c>
      <c r="D1289" s="31" t="s">
        <v>197</v>
      </c>
      <c r="E1289" s="31" t="s">
        <v>41</v>
      </c>
      <c r="F1289" s="31" t="s">
        <v>46</v>
      </c>
      <c r="G1289" s="31" t="s">
        <v>58</v>
      </c>
      <c r="H1289" s="31" t="s">
        <v>181</v>
      </c>
      <c r="I1289" s="32" t="str">
        <f aca="false">INDEX(Productos!$B$2:$B$13,MATCH($H1289,Productos!$A$2:$A$13,0))</f>
        <v>Autotaladrante 5,5x55 punta broca</v>
      </c>
      <c r="J1289" s="32" t="str">
        <f aca="false">INDEX(Productos!$C$2:$C$13,MATCH($H1289,Productos!$A$2:$A$13,0))</f>
        <v>Autotaladrante</v>
      </c>
      <c r="K1289" s="31" t="s">
        <v>246</v>
      </c>
      <c r="L1289" s="46" t="n">
        <v>30</v>
      </c>
      <c r="M1289" s="50" t="n">
        <f aca="false">INDEX(Productos!$F$2:$F$13,MATCH($H1289,Productos!$A$2:$A$13,0))</f>
        <v>39</v>
      </c>
      <c r="N1289" s="51" t="n">
        <v>0.133</v>
      </c>
      <c r="O1289" s="52" t="n">
        <f aca="false">M1289*(1-N1289)</f>
        <v>33.813</v>
      </c>
      <c r="P1289" s="21" t="n">
        <f aca="false">L1289*O1289</f>
        <v>1014.39</v>
      </c>
      <c r="Q1289" s="50" t="n">
        <f aca="false">INDEX(Productos!$E$2:$E$13,MATCH($H1289,Productos!$A$2:$A$13,0))*INDEX(Parametros!$B$26:$B$43,MATCH($C1289,Parametros!$A$26:$A$43,0))</f>
        <v>20.5436</v>
      </c>
      <c r="R1289" s="21" t="n">
        <f aca="false">L1289*Q1289</f>
        <v>616.308</v>
      </c>
      <c r="S1289" s="18" t="n">
        <f aca="false">L1289*INDEX(Parametros!$B$20:$B$22,MATCH($E1289,Parametros!$A$20:$A$22,0))</f>
        <v>25.5</v>
      </c>
      <c r="T1289" s="18" t="n">
        <f aca="false">P1289*INDEX(Parametros!$B$13:$B$16,MATCH($F1289,Parametros!$A$13:$A$16,0))</f>
        <v>40.5756</v>
      </c>
      <c r="U1289" s="21" t="n">
        <f aca="false">P1289-R1289-S1289-T1289</f>
        <v>332.0064</v>
      </c>
      <c r="V1289" s="19" t="n">
        <f aca="false">IFERROR(U1289/P1289,0)</f>
        <v>0.327296601898678</v>
      </c>
      <c r="W1289" s="48" t="n">
        <f aca="false">B1289+INDEX(Parametros!$C$13:$C$16,MATCH($F1289,Parametros!$A$13:$A$16,0))</f>
        <v>46179</v>
      </c>
      <c r="X1289" s="31" t="s">
        <v>67</v>
      </c>
      <c r="Y1289" s="53" t="n">
        <f aca="false">IF(COUNTIF($A$2:$A1289,A1289)=1,1,0)</f>
        <v>1</v>
      </c>
    </row>
    <row r="1290" customFormat="false" ht="15" hidden="false" customHeight="false" outlineLevel="0" collapsed="false">
      <c r="A1290" s="31" t="s">
        <v>937</v>
      </c>
      <c r="B1290" s="36" t="n">
        <v>46104</v>
      </c>
      <c r="C1290" s="49" t="n">
        <f aca="false">DATE(YEAR(B1290),MONTH(B1290),1)</f>
        <v>46082</v>
      </c>
      <c r="D1290" s="31" t="s">
        <v>193</v>
      </c>
      <c r="E1290" s="31" t="s">
        <v>41</v>
      </c>
      <c r="F1290" s="31" t="s">
        <v>45</v>
      </c>
      <c r="G1290" s="31" t="s">
        <v>62</v>
      </c>
      <c r="H1290" s="31" t="s">
        <v>163</v>
      </c>
      <c r="I1290" s="32" t="str">
        <f aca="false">INDEX(Productos!$B$2:$B$13,MATCH($H1290,Productos!$A$2:$A$13,0))</f>
        <v>Tornillo DIN 933 M6x30 rosca completa zincado</v>
      </c>
      <c r="J1290" s="32" t="str">
        <f aca="false">INDEX(Productos!$C$2:$C$13,MATCH($H1290,Productos!$A$2:$A$13,0))</f>
        <v>Métrica</v>
      </c>
      <c r="K1290" s="31" t="s">
        <v>246</v>
      </c>
      <c r="L1290" s="46" t="n">
        <v>235</v>
      </c>
      <c r="M1290" s="50" t="n">
        <f aca="false">INDEX(Productos!$F$2:$F$13,MATCH($H1290,Productos!$A$2:$A$13,0))</f>
        <v>32</v>
      </c>
      <c r="N1290" s="51" t="n">
        <v>0.205</v>
      </c>
      <c r="O1290" s="52" t="n">
        <f aca="false">M1290*(1-N1290)</f>
        <v>25.44</v>
      </c>
      <c r="P1290" s="21" t="n">
        <f aca="false">L1290*O1290</f>
        <v>5978.4</v>
      </c>
      <c r="Q1290" s="50" t="n">
        <f aca="false">INDEX(Productos!$E$2:$E$13,MATCH($H1290,Productos!$A$2:$A$13,0))*INDEX(Parametros!$B$26:$B$43,MATCH($C1290,Parametros!$A$26:$A$43,0))</f>
        <v>16.7992</v>
      </c>
      <c r="R1290" s="21" t="n">
        <f aca="false">L1290*Q1290</f>
        <v>3947.812</v>
      </c>
      <c r="S1290" s="18" t="n">
        <f aca="false">L1290*INDEX(Parametros!$B$20:$B$22,MATCH($E1290,Parametros!$A$20:$A$22,0))</f>
        <v>199.75</v>
      </c>
      <c r="T1290" s="18" t="n">
        <f aca="false">P1290*INDEX(Parametros!$B$13:$B$16,MATCH($F1290,Parametros!$A$13:$A$16,0))</f>
        <v>179.352</v>
      </c>
      <c r="U1290" s="21" t="n">
        <f aca="false">P1290-R1290-S1290-T1290</f>
        <v>1651.486</v>
      </c>
      <c r="V1290" s="19" t="n">
        <f aca="false">IFERROR(U1290/P1290,0)</f>
        <v>0.27624213836478</v>
      </c>
      <c r="W1290" s="48" t="n">
        <f aca="false">B1290+INDEX(Parametros!$C$13:$C$16,MATCH($F1290,Parametros!$A$13:$A$16,0))</f>
        <v>46164</v>
      </c>
      <c r="X1290" s="31" t="s">
        <v>67</v>
      </c>
      <c r="Y1290" s="53" t="n">
        <f aca="false">IF(COUNTIF($A$2:$A1290,A1290)=1,1,0)</f>
        <v>1</v>
      </c>
    </row>
    <row r="1291" customFormat="false" ht="15" hidden="false" customHeight="false" outlineLevel="0" collapsed="false">
      <c r="A1291" s="31" t="s">
        <v>938</v>
      </c>
      <c r="B1291" s="36" t="n">
        <v>46104</v>
      </c>
      <c r="C1291" s="49" t="n">
        <f aca="false">DATE(YEAR(B1291),MONTH(B1291),1)</f>
        <v>46082</v>
      </c>
      <c r="D1291" s="31" t="s">
        <v>195</v>
      </c>
      <c r="E1291" s="31" t="s">
        <v>41</v>
      </c>
      <c r="F1291" s="31" t="s">
        <v>45</v>
      </c>
      <c r="G1291" s="31" t="s">
        <v>58</v>
      </c>
      <c r="H1291" s="31" t="s">
        <v>175</v>
      </c>
      <c r="I1291" s="32" t="str">
        <f aca="false">INDEX(Productos!$B$2:$B$13,MATCH($H1291,Productos!$A$2:$A$13,0))</f>
        <v>Tirafondo madera 5x60 cabeza plana Torx</v>
      </c>
      <c r="J1291" s="32" t="str">
        <f aca="false">INDEX(Productos!$C$2:$C$13,MATCH($H1291,Productos!$A$2:$A$13,0))</f>
        <v>Madera</v>
      </c>
      <c r="K1291" s="31" t="s">
        <v>246</v>
      </c>
      <c r="L1291" s="46" t="n">
        <v>95</v>
      </c>
      <c r="M1291" s="50" t="n">
        <f aca="false">INDEX(Productos!$F$2:$F$13,MATCH($H1291,Productos!$A$2:$A$13,0))</f>
        <v>26</v>
      </c>
      <c r="N1291" s="51" t="n">
        <v>0.184</v>
      </c>
      <c r="O1291" s="52" t="n">
        <f aca="false">M1291*(1-N1291)</f>
        <v>21.216</v>
      </c>
      <c r="P1291" s="21" t="n">
        <f aca="false">L1291*O1291</f>
        <v>2015.52</v>
      </c>
      <c r="Q1291" s="50" t="n">
        <f aca="false">INDEX(Productos!$E$2:$E$13,MATCH($H1291,Productos!$A$2:$A$13,0))*INDEX(Parametros!$B$26:$B$43,MATCH($C1291,Parametros!$A$26:$A$43,0))</f>
        <v>13.5608</v>
      </c>
      <c r="R1291" s="21" t="n">
        <f aca="false">L1291*Q1291</f>
        <v>1288.276</v>
      </c>
      <c r="S1291" s="18" t="n">
        <f aca="false">L1291*INDEX(Parametros!$B$20:$B$22,MATCH($E1291,Parametros!$A$20:$A$22,0))</f>
        <v>80.75</v>
      </c>
      <c r="T1291" s="18" t="n">
        <f aca="false">P1291*INDEX(Parametros!$B$13:$B$16,MATCH($F1291,Parametros!$A$13:$A$16,0))</f>
        <v>60.4656</v>
      </c>
      <c r="U1291" s="21" t="n">
        <f aca="false">P1291-R1291-S1291-T1291</f>
        <v>586.0284</v>
      </c>
      <c r="V1291" s="19" t="n">
        <f aca="false">IFERROR(U1291/P1291,0)</f>
        <v>0.290757918552036</v>
      </c>
      <c r="W1291" s="48" t="n">
        <f aca="false">B1291+INDEX(Parametros!$C$13:$C$16,MATCH($F1291,Parametros!$A$13:$A$16,0))</f>
        <v>46164</v>
      </c>
      <c r="X1291" s="31" t="s">
        <v>67</v>
      </c>
      <c r="Y1291" s="53" t="n">
        <f aca="false">IF(COUNTIF($A$2:$A1291,A1291)=1,1,0)</f>
        <v>1</v>
      </c>
    </row>
    <row r="1292" customFormat="false" ht="15" hidden="false" customHeight="false" outlineLevel="0" collapsed="false">
      <c r="A1292" s="31" t="s">
        <v>939</v>
      </c>
      <c r="B1292" s="36" t="n">
        <v>46104</v>
      </c>
      <c r="C1292" s="49" t="n">
        <f aca="false">DATE(YEAR(B1292),MONTH(B1292),1)</f>
        <v>46082</v>
      </c>
      <c r="D1292" s="31" t="s">
        <v>205</v>
      </c>
      <c r="E1292" s="31" t="s">
        <v>41</v>
      </c>
      <c r="F1292" s="31" t="s">
        <v>45</v>
      </c>
      <c r="G1292" s="31" t="s">
        <v>62</v>
      </c>
      <c r="H1292" s="31" t="s">
        <v>173</v>
      </c>
      <c r="I1292" s="32" t="str">
        <f aca="false">INDEX(Productos!$B$2:$B$13,MATCH($H1292,Productos!$A$2:$A$13,0))</f>
        <v>Tornillo DIN 933 M12x70 clase 8.8</v>
      </c>
      <c r="J1292" s="32" t="str">
        <f aca="false">INDEX(Productos!$C$2:$C$13,MATCH($H1292,Productos!$A$2:$A$13,0))</f>
        <v>Métrica</v>
      </c>
      <c r="K1292" s="31" t="s">
        <v>246</v>
      </c>
      <c r="L1292" s="46" t="n">
        <v>78</v>
      </c>
      <c r="M1292" s="50" t="n">
        <f aca="false">INDEX(Productos!$F$2:$F$13,MATCH($H1292,Productos!$A$2:$A$13,0))</f>
        <v>64</v>
      </c>
      <c r="N1292" s="51" t="n">
        <v>0.215</v>
      </c>
      <c r="O1292" s="52" t="n">
        <f aca="false">M1292*(1-N1292)</f>
        <v>50.24</v>
      </c>
      <c r="P1292" s="21" t="n">
        <f aca="false">L1292*O1292</f>
        <v>3918.72</v>
      </c>
      <c r="Q1292" s="50" t="n">
        <f aca="false">INDEX(Productos!$E$2:$E$13,MATCH($H1292,Productos!$A$2:$A$13,0))*INDEX(Parametros!$B$26:$B$43,MATCH($C1292,Parametros!$A$26:$A$43,0))</f>
        <v>33.902</v>
      </c>
      <c r="R1292" s="21" t="n">
        <f aca="false">L1292*Q1292</f>
        <v>2644.356</v>
      </c>
      <c r="S1292" s="18" t="n">
        <f aca="false">L1292*INDEX(Parametros!$B$20:$B$22,MATCH($E1292,Parametros!$A$20:$A$22,0))</f>
        <v>66.3</v>
      </c>
      <c r="T1292" s="18" t="n">
        <f aca="false">P1292*INDEX(Parametros!$B$13:$B$16,MATCH($F1292,Parametros!$A$13:$A$16,0))</f>
        <v>117.5616</v>
      </c>
      <c r="U1292" s="21" t="n">
        <f aca="false">P1292-R1292-S1292-T1292</f>
        <v>1090.5024</v>
      </c>
      <c r="V1292" s="19" t="n">
        <f aca="false">IFERROR(U1292/P1292,0)</f>
        <v>0.27828025477707</v>
      </c>
      <c r="W1292" s="48" t="n">
        <f aca="false">B1292+INDEX(Parametros!$C$13:$C$16,MATCH($F1292,Parametros!$A$13:$A$16,0))</f>
        <v>46164</v>
      </c>
      <c r="X1292" s="31" t="s">
        <v>67</v>
      </c>
      <c r="Y1292" s="53" t="n">
        <f aca="false">IF(COUNTIF($A$2:$A1292,A1292)=1,1,0)</f>
        <v>1</v>
      </c>
    </row>
    <row r="1293" customFormat="false" ht="15" hidden="false" customHeight="false" outlineLevel="0" collapsed="false">
      <c r="A1293" s="31" t="s">
        <v>939</v>
      </c>
      <c r="B1293" s="36" t="n">
        <v>46104</v>
      </c>
      <c r="C1293" s="49" t="n">
        <f aca="false">DATE(YEAR(B1293),MONTH(B1293),1)</f>
        <v>46082</v>
      </c>
      <c r="D1293" s="31" t="s">
        <v>205</v>
      </c>
      <c r="E1293" s="31" t="s">
        <v>41</v>
      </c>
      <c r="F1293" s="31" t="s">
        <v>45</v>
      </c>
      <c r="G1293" s="31" t="s">
        <v>62</v>
      </c>
      <c r="H1293" s="31" t="s">
        <v>167</v>
      </c>
      <c r="I1293" s="32" t="str">
        <f aca="false">INDEX(Productos!$B$2:$B$13,MATCH($H1293,Productos!$A$2:$A$13,0))</f>
        <v>Tornillo DIN 912 M6x25 Allen zincado</v>
      </c>
      <c r="J1293" s="32" t="str">
        <f aca="false">INDEX(Productos!$C$2:$C$13,MATCH($H1293,Productos!$A$2:$A$13,0))</f>
        <v>Métrica</v>
      </c>
      <c r="K1293" s="31" t="s">
        <v>246</v>
      </c>
      <c r="L1293" s="46" t="n">
        <v>71</v>
      </c>
      <c r="M1293" s="50" t="n">
        <f aca="false">INDEX(Productos!$F$2:$F$13,MATCH($H1293,Productos!$A$2:$A$13,0))</f>
        <v>42</v>
      </c>
      <c r="N1293" s="51" t="n">
        <v>0.212</v>
      </c>
      <c r="O1293" s="52" t="n">
        <f aca="false">M1293*(1-N1293)</f>
        <v>33.096</v>
      </c>
      <c r="P1293" s="21" t="n">
        <f aca="false">L1293*O1293</f>
        <v>2349.816</v>
      </c>
      <c r="Q1293" s="50" t="n">
        <f aca="false">INDEX(Productos!$E$2:$E$13,MATCH($H1293,Productos!$A$2:$A$13,0))*INDEX(Parametros!$B$26:$B$43,MATCH($C1293,Parametros!$A$26:$A$43,0))</f>
        <v>22.0616</v>
      </c>
      <c r="R1293" s="21" t="n">
        <f aca="false">L1293*Q1293</f>
        <v>1566.3736</v>
      </c>
      <c r="S1293" s="18" t="n">
        <f aca="false">L1293*INDEX(Parametros!$B$20:$B$22,MATCH($E1293,Parametros!$A$20:$A$22,0))</f>
        <v>60.35</v>
      </c>
      <c r="T1293" s="18" t="n">
        <f aca="false">P1293*INDEX(Parametros!$B$13:$B$16,MATCH($F1293,Parametros!$A$13:$A$16,0))</f>
        <v>70.49448</v>
      </c>
      <c r="U1293" s="21" t="n">
        <f aca="false">P1293-R1293-S1293-T1293</f>
        <v>652.59792</v>
      </c>
      <c r="V1293" s="19" t="n">
        <f aca="false">IFERROR(U1293/P1293,0)</f>
        <v>0.277722987672226</v>
      </c>
      <c r="W1293" s="48" t="n">
        <f aca="false">B1293+INDEX(Parametros!$C$13:$C$16,MATCH($F1293,Parametros!$A$13:$A$16,0))</f>
        <v>46164</v>
      </c>
      <c r="X1293" s="31" t="s">
        <v>67</v>
      </c>
      <c r="Y1293" s="53" t="n">
        <f aca="false">IF(COUNTIF($A$2:$A1293,A1293)=1,1,0)</f>
        <v>0</v>
      </c>
    </row>
    <row r="1294" customFormat="false" ht="15" hidden="false" customHeight="false" outlineLevel="0" collapsed="false">
      <c r="A1294" s="31" t="s">
        <v>940</v>
      </c>
      <c r="B1294" s="36" t="n">
        <v>46104</v>
      </c>
      <c r="C1294" s="49" t="n">
        <f aca="false">DATE(YEAR(B1294),MONTH(B1294),1)</f>
        <v>46082</v>
      </c>
      <c r="D1294" s="31" t="s">
        <v>204</v>
      </c>
      <c r="E1294" s="31" t="s">
        <v>41</v>
      </c>
      <c r="F1294" s="31" t="s">
        <v>47</v>
      </c>
      <c r="G1294" s="31" t="s">
        <v>62</v>
      </c>
      <c r="H1294" s="31" t="s">
        <v>179</v>
      </c>
      <c r="I1294" s="32" t="str">
        <f aca="false">INDEX(Productos!$B$2:$B$13,MATCH($H1294,Productos!$A$2:$A$13,0))</f>
        <v>Autotaladrante DIN 7504 4,8x38 zincado</v>
      </c>
      <c r="J1294" s="32" t="str">
        <f aca="false">INDEX(Productos!$C$2:$C$13,MATCH($H1294,Productos!$A$2:$A$13,0))</f>
        <v>Autotaladrante</v>
      </c>
      <c r="K1294" s="31" t="s">
        <v>246</v>
      </c>
      <c r="L1294" s="46" t="n">
        <v>55</v>
      </c>
      <c r="M1294" s="50" t="n">
        <f aca="false">INDEX(Productos!$F$2:$F$13,MATCH($H1294,Productos!$A$2:$A$13,0))</f>
        <v>29.5</v>
      </c>
      <c r="N1294" s="51" t="n">
        <v>0.085</v>
      </c>
      <c r="O1294" s="52" t="n">
        <f aca="false">M1294*(1-N1294)</f>
        <v>26.9925</v>
      </c>
      <c r="P1294" s="21" t="n">
        <f aca="false">L1294*O1294</f>
        <v>1484.5875</v>
      </c>
      <c r="Q1294" s="50" t="n">
        <f aca="false">INDEX(Productos!$E$2:$E$13,MATCH($H1294,Productos!$A$2:$A$13,0))*INDEX(Parametros!$B$26:$B$43,MATCH($C1294,Parametros!$A$26:$A$43,0))</f>
        <v>15.3824</v>
      </c>
      <c r="R1294" s="21" t="n">
        <f aca="false">L1294*Q1294</f>
        <v>846.032</v>
      </c>
      <c r="S1294" s="18" t="n">
        <f aca="false">L1294*INDEX(Parametros!$B$20:$B$22,MATCH($E1294,Parametros!$A$20:$A$22,0))</f>
        <v>46.75</v>
      </c>
      <c r="T1294" s="18" t="n">
        <f aca="false">P1294*INDEX(Parametros!$B$13:$B$16,MATCH($F1294,Parametros!$A$13:$A$16,0))</f>
        <v>51.9605625</v>
      </c>
      <c r="U1294" s="21" t="n">
        <f aca="false">P1294-R1294-S1294-T1294</f>
        <v>539.8449375</v>
      </c>
      <c r="V1294" s="19" t="n">
        <f aca="false">IFERROR(U1294/P1294,0)</f>
        <v>0.363632953598222</v>
      </c>
      <c r="W1294" s="48" t="n">
        <f aca="false">B1294+INDEX(Parametros!$C$13:$C$16,MATCH($F1294,Parametros!$A$13:$A$16,0))</f>
        <v>46149</v>
      </c>
      <c r="X1294" s="31" t="s">
        <v>67</v>
      </c>
      <c r="Y1294" s="53" t="n">
        <f aca="false">IF(COUNTIF($A$2:$A1294,A1294)=1,1,0)</f>
        <v>1</v>
      </c>
    </row>
    <row r="1295" customFormat="false" ht="15" hidden="false" customHeight="false" outlineLevel="0" collapsed="false">
      <c r="A1295" s="31" t="s">
        <v>940</v>
      </c>
      <c r="B1295" s="36" t="n">
        <v>46104</v>
      </c>
      <c r="C1295" s="49" t="n">
        <f aca="false">DATE(YEAR(B1295),MONTH(B1295),1)</f>
        <v>46082</v>
      </c>
      <c r="D1295" s="31" t="s">
        <v>204</v>
      </c>
      <c r="E1295" s="31" t="s">
        <v>41</v>
      </c>
      <c r="F1295" s="31" t="s">
        <v>47</v>
      </c>
      <c r="G1295" s="31" t="s">
        <v>62</v>
      </c>
      <c r="H1295" s="31" t="s">
        <v>183</v>
      </c>
      <c r="I1295" s="32" t="str">
        <f aca="false">INDEX(Productos!$B$2:$B$13,MATCH($H1295,Productos!$A$2:$A$13,0))</f>
        <v>Tornillo estructural M16x90 clase 10.9</v>
      </c>
      <c r="J1295" s="32" t="str">
        <f aca="false">INDEX(Productos!$C$2:$C$13,MATCH($H1295,Productos!$A$2:$A$13,0))</f>
        <v>Especial</v>
      </c>
      <c r="K1295" s="31" t="s">
        <v>246</v>
      </c>
      <c r="L1295" s="46" t="n">
        <v>171</v>
      </c>
      <c r="M1295" s="50" t="n">
        <f aca="false">INDEX(Productos!$F$2:$F$13,MATCH($H1295,Productos!$A$2:$A$13,0))</f>
        <v>112</v>
      </c>
      <c r="N1295" s="51" t="n">
        <v>0.061</v>
      </c>
      <c r="O1295" s="52" t="n">
        <f aca="false">M1295*(1-N1295)</f>
        <v>105.168</v>
      </c>
      <c r="P1295" s="21" t="n">
        <f aca="false">L1295*O1295</f>
        <v>17983.728</v>
      </c>
      <c r="Q1295" s="50" t="n">
        <f aca="false">INDEX(Productos!$E$2:$E$13,MATCH($H1295,Productos!$A$2:$A$13,0))*INDEX(Parametros!$B$26:$B$43,MATCH($C1295,Parametros!$A$26:$A$43,0))</f>
        <v>60.72</v>
      </c>
      <c r="R1295" s="21" t="n">
        <f aca="false">L1295*Q1295</f>
        <v>10383.12</v>
      </c>
      <c r="S1295" s="18" t="n">
        <f aca="false">L1295*INDEX(Parametros!$B$20:$B$22,MATCH($E1295,Parametros!$A$20:$A$22,0))</f>
        <v>145.35</v>
      </c>
      <c r="T1295" s="18" t="n">
        <f aca="false">P1295*INDEX(Parametros!$B$13:$B$16,MATCH($F1295,Parametros!$A$13:$A$16,0))</f>
        <v>629.43048</v>
      </c>
      <c r="U1295" s="21" t="n">
        <f aca="false">P1295-R1295-S1295-T1295</f>
        <v>6825.82752</v>
      </c>
      <c r="V1295" s="19" t="n">
        <f aca="false">IFERROR(U1295/P1295,0)</f>
        <v>0.379555758405599</v>
      </c>
      <c r="W1295" s="48" t="n">
        <f aca="false">B1295+INDEX(Parametros!$C$13:$C$16,MATCH($F1295,Parametros!$A$13:$A$16,0))</f>
        <v>46149</v>
      </c>
      <c r="X1295" s="31" t="s">
        <v>69</v>
      </c>
      <c r="Y1295" s="53" t="n">
        <f aca="false">IF(COUNTIF($A$2:$A1295,A1295)=1,1,0)</f>
        <v>0</v>
      </c>
    </row>
    <row r="1296" customFormat="false" ht="15" hidden="false" customHeight="false" outlineLevel="0" collapsed="false">
      <c r="A1296" s="31" t="s">
        <v>941</v>
      </c>
      <c r="B1296" s="36" t="n">
        <v>46104</v>
      </c>
      <c r="C1296" s="49" t="n">
        <f aca="false">DATE(YEAR(B1296),MONTH(B1296),1)</f>
        <v>46082</v>
      </c>
      <c r="D1296" s="31" t="s">
        <v>218</v>
      </c>
      <c r="E1296" s="31" t="s">
        <v>42</v>
      </c>
      <c r="F1296" s="31" t="s">
        <v>45</v>
      </c>
      <c r="G1296" s="31" t="s">
        <v>61</v>
      </c>
      <c r="H1296" s="31" t="s">
        <v>175</v>
      </c>
      <c r="I1296" s="32" t="str">
        <f aca="false">INDEX(Productos!$B$2:$B$13,MATCH($H1296,Productos!$A$2:$A$13,0))</f>
        <v>Tirafondo madera 5x60 cabeza plana Torx</v>
      </c>
      <c r="J1296" s="32" t="str">
        <f aca="false">INDEX(Productos!$C$2:$C$13,MATCH($H1296,Productos!$A$2:$A$13,0))</f>
        <v>Madera</v>
      </c>
      <c r="K1296" s="31" t="s">
        <v>246</v>
      </c>
      <c r="L1296" s="46" t="n">
        <v>184</v>
      </c>
      <c r="M1296" s="50" t="n">
        <f aca="false">INDEX(Productos!$F$2:$F$13,MATCH($H1296,Productos!$A$2:$A$13,0))</f>
        <v>26</v>
      </c>
      <c r="N1296" s="51" t="n">
        <v>0.123</v>
      </c>
      <c r="O1296" s="52" t="n">
        <f aca="false">M1296*(1-N1296)</f>
        <v>22.802</v>
      </c>
      <c r="P1296" s="21" t="n">
        <f aca="false">L1296*O1296</f>
        <v>4195.568</v>
      </c>
      <c r="Q1296" s="50" t="n">
        <f aca="false">INDEX(Productos!$E$2:$E$13,MATCH($H1296,Productos!$A$2:$A$13,0))*INDEX(Parametros!$B$26:$B$43,MATCH($C1296,Parametros!$A$26:$A$43,0))</f>
        <v>13.5608</v>
      </c>
      <c r="R1296" s="21" t="n">
        <f aca="false">L1296*Q1296</f>
        <v>2495.1872</v>
      </c>
      <c r="S1296" s="18" t="n">
        <f aca="false">L1296*INDEX(Parametros!$B$20:$B$22,MATCH($E1296,Parametros!$A$20:$A$22,0))</f>
        <v>441.6</v>
      </c>
      <c r="T1296" s="18" t="n">
        <f aca="false">P1296*INDEX(Parametros!$B$13:$B$16,MATCH($F1296,Parametros!$A$13:$A$16,0))</f>
        <v>125.86704</v>
      </c>
      <c r="U1296" s="21" t="n">
        <f aca="false">P1296-R1296-S1296-T1296</f>
        <v>1132.91376</v>
      </c>
      <c r="V1296" s="19" t="n">
        <f aca="false">IFERROR(U1296/P1296,0)</f>
        <v>0.270026313481274</v>
      </c>
      <c r="W1296" s="48" t="n">
        <f aca="false">B1296+INDEX(Parametros!$C$13:$C$16,MATCH($F1296,Parametros!$A$13:$A$16,0))</f>
        <v>46164</v>
      </c>
      <c r="X1296" s="31" t="s">
        <v>67</v>
      </c>
      <c r="Y1296" s="53" t="n">
        <f aca="false">IF(COUNTIF($A$2:$A1296,A1296)=1,1,0)</f>
        <v>1</v>
      </c>
    </row>
    <row r="1297" customFormat="false" ht="15" hidden="false" customHeight="false" outlineLevel="0" collapsed="false">
      <c r="A1297" s="31" t="s">
        <v>941</v>
      </c>
      <c r="B1297" s="36" t="n">
        <v>46104</v>
      </c>
      <c r="C1297" s="49" t="n">
        <f aca="false">DATE(YEAR(B1297),MONTH(B1297),1)</f>
        <v>46082</v>
      </c>
      <c r="D1297" s="31" t="s">
        <v>218</v>
      </c>
      <c r="E1297" s="31" t="s">
        <v>42</v>
      </c>
      <c r="F1297" s="31" t="s">
        <v>45</v>
      </c>
      <c r="G1297" s="31" t="s">
        <v>61</v>
      </c>
      <c r="H1297" s="31" t="s">
        <v>165</v>
      </c>
      <c r="I1297" s="32" t="str">
        <f aca="false">INDEX(Productos!$B$2:$B$13,MATCH($H1297,Productos!$A$2:$A$13,0))</f>
        <v>Tornillo DIN 933 M8x40 rosca completa zincado</v>
      </c>
      <c r="J1297" s="32" t="str">
        <f aca="false">INDEX(Productos!$C$2:$C$13,MATCH($H1297,Productos!$A$2:$A$13,0))</f>
        <v>Métrica</v>
      </c>
      <c r="K1297" s="31" t="s">
        <v>246</v>
      </c>
      <c r="L1297" s="46" t="n">
        <v>47</v>
      </c>
      <c r="M1297" s="50" t="n">
        <f aca="false">INDEX(Productos!$F$2:$F$13,MATCH($H1297,Productos!$A$2:$A$13,0))</f>
        <v>37.5</v>
      </c>
      <c r="N1297" s="51" t="n">
        <v>0.144</v>
      </c>
      <c r="O1297" s="52" t="n">
        <f aca="false">M1297*(1-N1297)</f>
        <v>32.1</v>
      </c>
      <c r="P1297" s="21" t="n">
        <f aca="false">L1297*O1297</f>
        <v>1508.7</v>
      </c>
      <c r="Q1297" s="50" t="n">
        <f aca="false">INDEX(Productos!$E$2:$E$13,MATCH($H1297,Productos!$A$2:$A$13,0))*INDEX(Parametros!$B$26:$B$43,MATCH($C1297,Parametros!$A$26:$A$43,0))</f>
        <v>19.6328</v>
      </c>
      <c r="R1297" s="21" t="n">
        <f aca="false">L1297*Q1297</f>
        <v>922.7416</v>
      </c>
      <c r="S1297" s="18" t="n">
        <f aca="false">L1297*INDEX(Parametros!$B$20:$B$22,MATCH($E1297,Parametros!$A$20:$A$22,0))</f>
        <v>112.8</v>
      </c>
      <c r="T1297" s="18" t="n">
        <f aca="false">P1297*INDEX(Parametros!$B$13:$B$16,MATCH($F1297,Parametros!$A$13:$A$16,0))</f>
        <v>45.261</v>
      </c>
      <c r="U1297" s="21" t="n">
        <f aca="false">P1297-R1297-S1297-T1297</f>
        <v>427.8974</v>
      </c>
      <c r="V1297" s="19" t="n">
        <f aca="false">IFERROR(U1297/P1297,0)</f>
        <v>0.283619937694704</v>
      </c>
      <c r="W1297" s="48" t="n">
        <f aca="false">B1297+INDEX(Parametros!$C$13:$C$16,MATCH($F1297,Parametros!$A$13:$A$16,0))</f>
        <v>46164</v>
      </c>
      <c r="X1297" s="31" t="s">
        <v>67</v>
      </c>
      <c r="Y1297" s="53" t="n">
        <f aca="false">IF(COUNTIF($A$2:$A1297,A1297)=1,1,0)</f>
        <v>0</v>
      </c>
    </row>
    <row r="1298" customFormat="false" ht="15" hidden="false" customHeight="false" outlineLevel="0" collapsed="false">
      <c r="A1298" s="31" t="s">
        <v>942</v>
      </c>
      <c r="B1298" s="36" t="n">
        <v>46104</v>
      </c>
      <c r="C1298" s="49" t="n">
        <f aca="false">DATE(YEAR(B1298),MONTH(B1298),1)</f>
        <v>46082</v>
      </c>
      <c r="D1298" s="31" t="s">
        <v>197</v>
      </c>
      <c r="E1298" s="31" t="s">
        <v>41</v>
      </c>
      <c r="F1298" s="31" t="s">
        <v>46</v>
      </c>
      <c r="G1298" s="31" t="s">
        <v>58</v>
      </c>
      <c r="H1298" s="31" t="s">
        <v>183</v>
      </c>
      <c r="I1298" s="32" t="str">
        <f aca="false">INDEX(Productos!$B$2:$B$13,MATCH($H1298,Productos!$A$2:$A$13,0))</f>
        <v>Tornillo estructural M16x90 clase 10.9</v>
      </c>
      <c r="J1298" s="32" t="str">
        <f aca="false">INDEX(Productos!$C$2:$C$13,MATCH($H1298,Productos!$A$2:$A$13,0))</f>
        <v>Especial</v>
      </c>
      <c r="K1298" s="31" t="s">
        <v>246</v>
      </c>
      <c r="L1298" s="46" t="n">
        <v>189</v>
      </c>
      <c r="M1298" s="50" t="n">
        <f aca="false">INDEX(Productos!$F$2:$F$13,MATCH($H1298,Productos!$A$2:$A$13,0))</f>
        <v>112</v>
      </c>
      <c r="N1298" s="51" t="n">
        <v>0.09</v>
      </c>
      <c r="O1298" s="52" t="n">
        <f aca="false">M1298*(1-N1298)</f>
        <v>101.92</v>
      </c>
      <c r="P1298" s="21" t="n">
        <f aca="false">L1298*O1298</f>
        <v>19262.88</v>
      </c>
      <c r="Q1298" s="50" t="n">
        <f aca="false">INDEX(Productos!$E$2:$E$13,MATCH($H1298,Productos!$A$2:$A$13,0))*INDEX(Parametros!$B$26:$B$43,MATCH($C1298,Parametros!$A$26:$A$43,0))</f>
        <v>60.72</v>
      </c>
      <c r="R1298" s="21" t="n">
        <f aca="false">L1298*Q1298</f>
        <v>11476.08</v>
      </c>
      <c r="S1298" s="18" t="n">
        <f aca="false">L1298*INDEX(Parametros!$B$20:$B$22,MATCH($E1298,Parametros!$A$20:$A$22,0))</f>
        <v>160.65</v>
      </c>
      <c r="T1298" s="18" t="n">
        <f aca="false">P1298*INDEX(Parametros!$B$13:$B$16,MATCH($F1298,Parametros!$A$13:$A$16,0))</f>
        <v>770.5152</v>
      </c>
      <c r="U1298" s="21" t="n">
        <f aca="false">P1298-R1298-S1298-T1298</f>
        <v>6855.6348</v>
      </c>
      <c r="V1298" s="19" t="n">
        <f aca="false">IFERROR(U1298/P1298,0)</f>
        <v>0.35589874411303</v>
      </c>
      <c r="W1298" s="48" t="n">
        <f aca="false">B1298+INDEX(Parametros!$C$13:$C$16,MATCH($F1298,Parametros!$A$13:$A$16,0))</f>
        <v>46179</v>
      </c>
      <c r="X1298" s="31" t="s">
        <v>67</v>
      </c>
      <c r="Y1298" s="53" t="n">
        <f aca="false">IF(COUNTIF($A$2:$A1298,A1298)=1,1,0)</f>
        <v>1</v>
      </c>
    </row>
    <row r="1299" customFormat="false" ht="15" hidden="false" customHeight="false" outlineLevel="0" collapsed="false">
      <c r="A1299" s="31" t="s">
        <v>942</v>
      </c>
      <c r="B1299" s="36" t="n">
        <v>46104</v>
      </c>
      <c r="C1299" s="49" t="n">
        <f aca="false">DATE(YEAR(B1299),MONTH(B1299),1)</f>
        <v>46082</v>
      </c>
      <c r="D1299" s="31" t="s">
        <v>197</v>
      </c>
      <c r="E1299" s="31" t="s">
        <v>41</v>
      </c>
      <c r="F1299" s="31" t="s">
        <v>46</v>
      </c>
      <c r="G1299" s="31" t="s">
        <v>58</v>
      </c>
      <c r="H1299" s="31" t="s">
        <v>165</v>
      </c>
      <c r="I1299" s="32" t="str">
        <f aca="false">INDEX(Productos!$B$2:$B$13,MATCH($H1299,Productos!$A$2:$A$13,0))</f>
        <v>Tornillo DIN 933 M8x40 rosca completa zincado</v>
      </c>
      <c r="J1299" s="32" t="str">
        <f aca="false">INDEX(Productos!$C$2:$C$13,MATCH($H1299,Productos!$A$2:$A$13,0))</f>
        <v>Métrica</v>
      </c>
      <c r="K1299" s="31" t="s">
        <v>246</v>
      </c>
      <c r="L1299" s="46" t="n">
        <v>35</v>
      </c>
      <c r="M1299" s="50" t="n">
        <f aca="false">INDEX(Productos!$F$2:$F$13,MATCH($H1299,Productos!$A$2:$A$13,0))</f>
        <v>37.5</v>
      </c>
      <c r="N1299" s="51" t="n">
        <v>0.154</v>
      </c>
      <c r="O1299" s="52" t="n">
        <f aca="false">M1299*(1-N1299)</f>
        <v>31.725</v>
      </c>
      <c r="P1299" s="21" t="n">
        <f aca="false">L1299*O1299</f>
        <v>1110.375</v>
      </c>
      <c r="Q1299" s="50" t="n">
        <f aca="false">INDEX(Productos!$E$2:$E$13,MATCH($H1299,Productos!$A$2:$A$13,0))*INDEX(Parametros!$B$26:$B$43,MATCH($C1299,Parametros!$A$26:$A$43,0))</f>
        <v>19.6328</v>
      </c>
      <c r="R1299" s="21" t="n">
        <f aca="false">L1299*Q1299</f>
        <v>687.148</v>
      </c>
      <c r="S1299" s="18" t="n">
        <f aca="false">L1299*INDEX(Parametros!$B$20:$B$22,MATCH($E1299,Parametros!$A$20:$A$22,0))</f>
        <v>29.75</v>
      </c>
      <c r="T1299" s="18" t="n">
        <f aca="false">P1299*INDEX(Parametros!$B$13:$B$16,MATCH($F1299,Parametros!$A$13:$A$16,0))</f>
        <v>44.415</v>
      </c>
      <c r="U1299" s="21" t="n">
        <f aca="false">P1299-R1299-S1299-T1299</f>
        <v>349.062</v>
      </c>
      <c r="V1299" s="19" t="n">
        <f aca="false">IFERROR(U1299/P1299,0)</f>
        <v>0.314364066193853</v>
      </c>
      <c r="W1299" s="48" t="n">
        <f aca="false">B1299+INDEX(Parametros!$C$13:$C$16,MATCH($F1299,Parametros!$A$13:$A$16,0))</f>
        <v>46179</v>
      </c>
      <c r="X1299" s="31" t="s">
        <v>67</v>
      </c>
      <c r="Y1299" s="53" t="n">
        <f aca="false">IF(COUNTIF($A$2:$A1299,A1299)=1,1,0)</f>
        <v>0</v>
      </c>
    </row>
    <row r="1300" customFormat="false" ht="15" hidden="false" customHeight="false" outlineLevel="0" collapsed="false">
      <c r="A1300" s="31" t="s">
        <v>942</v>
      </c>
      <c r="B1300" s="36" t="n">
        <v>46104</v>
      </c>
      <c r="C1300" s="49" t="n">
        <f aca="false">DATE(YEAR(B1300),MONTH(B1300),1)</f>
        <v>46082</v>
      </c>
      <c r="D1300" s="31" t="s">
        <v>197</v>
      </c>
      <c r="E1300" s="31" t="s">
        <v>41</v>
      </c>
      <c r="F1300" s="31" t="s">
        <v>46</v>
      </c>
      <c r="G1300" s="31" t="s">
        <v>58</v>
      </c>
      <c r="H1300" s="31" t="s">
        <v>173</v>
      </c>
      <c r="I1300" s="32" t="str">
        <f aca="false">INDEX(Productos!$B$2:$B$13,MATCH($H1300,Productos!$A$2:$A$13,0))</f>
        <v>Tornillo DIN 933 M12x70 clase 8.8</v>
      </c>
      <c r="J1300" s="32" t="str">
        <f aca="false">INDEX(Productos!$C$2:$C$13,MATCH($H1300,Productos!$A$2:$A$13,0))</f>
        <v>Métrica</v>
      </c>
      <c r="K1300" s="31" t="s">
        <v>246</v>
      </c>
      <c r="L1300" s="46" t="n">
        <v>59</v>
      </c>
      <c r="M1300" s="50" t="n">
        <f aca="false">INDEX(Productos!$F$2:$F$13,MATCH($H1300,Productos!$A$2:$A$13,0))</f>
        <v>64</v>
      </c>
      <c r="N1300" s="51" t="n">
        <v>0.13</v>
      </c>
      <c r="O1300" s="52" t="n">
        <f aca="false">M1300*(1-N1300)</f>
        <v>55.68</v>
      </c>
      <c r="P1300" s="21" t="n">
        <f aca="false">L1300*O1300</f>
        <v>3285.12</v>
      </c>
      <c r="Q1300" s="50" t="n">
        <f aca="false">INDEX(Productos!$E$2:$E$13,MATCH($H1300,Productos!$A$2:$A$13,0))*INDEX(Parametros!$B$26:$B$43,MATCH($C1300,Parametros!$A$26:$A$43,0))</f>
        <v>33.902</v>
      </c>
      <c r="R1300" s="21" t="n">
        <f aca="false">L1300*Q1300</f>
        <v>2000.218</v>
      </c>
      <c r="S1300" s="18" t="n">
        <f aca="false">L1300*INDEX(Parametros!$B$20:$B$22,MATCH($E1300,Parametros!$A$20:$A$22,0))</f>
        <v>50.15</v>
      </c>
      <c r="T1300" s="18" t="n">
        <f aca="false">P1300*INDEX(Parametros!$B$13:$B$16,MATCH($F1300,Parametros!$A$13:$A$16,0))</f>
        <v>131.4048</v>
      </c>
      <c r="U1300" s="21" t="n">
        <f aca="false">P1300-R1300-S1300-T1300</f>
        <v>1103.3472</v>
      </c>
      <c r="V1300" s="19" t="n">
        <f aca="false">IFERROR(U1300/P1300,0)</f>
        <v>0.335862068965517</v>
      </c>
      <c r="W1300" s="48" t="n">
        <f aca="false">B1300+INDEX(Parametros!$C$13:$C$16,MATCH($F1300,Parametros!$A$13:$A$16,0))</f>
        <v>46179</v>
      </c>
      <c r="X1300" s="31" t="s">
        <v>67</v>
      </c>
      <c r="Y1300" s="53" t="n">
        <f aca="false">IF(COUNTIF($A$2:$A1300,A1300)=1,1,0)</f>
        <v>0</v>
      </c>
    </row>
    <row r="1301" customFormat="false" ht="15" hidden="false" customHeight="false" outlineLevel="0" collapsed="false">
      <c r="A1301" s="31" t="s">
        <v>943</v>
      </c>
      <c r="B1301" s="36" t="n">
        <v>46104</v>
      </c>
      <c r="C1301" s="49" t="n">
        <f aca="false">DATE(YEAR(B1301),MONTH(B1301),1)</f>
        <v>46082</v>
      </c>
      <c r="D1301" s="31" t="s">
        <v>219</v>
      </c>
      <c r="E1301" s="31" t="s">
        <v>42</v>
      </c>
      <c r="F1301" s="31" t="s">
        <v>45</v>
      </c>
      <c r="G1301" s="31" t="s">
        <v>61</v>
      </c>
      <c r="H1301" s="31" t="s">
        <v>165</v>
      </c>
      <c r="I1301" s="32" t="str">
        <f aca="false">INDEX(Productos!$B$2:$B$13,MATCH($H1301,Productos!$A$2:$A$13,0))</f>
        <v>Tornillo DIN 933 M8x40 rosca completa zincado</v>
      </c>
      <c r="J1301" s="32" t="str">
        <f aca="false">INDEX(Productos!$C$2:$C$13,MATCH($H1301,Productos!$A$2:$A$13,0))</f>
        <v>Métrica</v>
      </c>
      <c r="K1301" s="31" t="s">
        <v>246</v>
      </c>
      <c r="L1301" s="46" t="n">
        <v>146</v>
      </c>
      <c r="M1301" s="50" t="n">
        <f aca="false">INDEX(Productos!$F$2:$F$13,MATCH($H1301,Productos!$A$2:$A$13,0))</f>
        <v>37.5</v>
      </c>
      <c r="N1301" s="51" t="n">
        <v>0.193</v>
      </c>
      <c r="O1301" s="52" t="n">
        <f aca="false">M1301*(1-N1301)</f>
        <v>30.2625</v>
      </c>
      <c r="P1301" s="21" t="n">
        <f aca="false">L1301*O1301</f>
        <v>4418.325</v>
      </c>
      <c r="Q1301" s="50" t="n">
        <f aca="false">INDEX(Productos!$E$2:$E$13,MATCH($H1301,Productos!$A$2:$A$13,0))*INDEX(Parametros!$B$26:$B$43,MATCH($C1301,Parametros!$A$26:$A$43,0))</f>
        <v>19.6328</v>
      </c>
      <c r="R1301" s="21" t="n">
        <f aca="false">L1301*Q1301</f>
        <v>2866.3888</v>
      </c>
      <c r="S1301" s="18" t="n">
        <f aca="false">L1301*INDEX(Parametros!$B$20:$B$22,MATCH($E1301,Parametros!$A$20:$A$22,0))</f>
        <v>350.4</v>
      </c>
      <c r="T1301" s="18" t="n">
        <f aca="false">P1301*INDEX(Parametros!$B$13:$B$16,MATCH($F1301,Parametros!$A$13:$A$16,0))</f>
        <v>132.54975</v>
      </c>
      <c r="U1301" s="21" t="n">
        <f aca="false">P1301-R1301-S1301-T1301</f>
        <v>1068.98645</v>
      </c>
      <c r="V1301" s="19" t="n">
        <f aca="false">IFERROR(U1301/P1301,0)</f>
        <v>0.241943824865758</v>
      </c>
      <c r="W1301" s="48" t="n">
        <f aca="false">B1301+INDEX(Parametros!$C$13:$C$16,MATCH($F1301,Parametros!$A$13:$A$16,0))</f>
        <v>46164</v>
      </c>
      <c r="X1301" s="31" t="s">
        <v>67</v>
      </c>
      <c r="Y1301" s="53" t="n">
        <f aca="false">IF(COUNTIF($A$2:$A1301,A1301)=1,1,0)</f>
        <v>1</v>
      </c>
    </row>
    <row r="1302" customFormat="false" ht="15" hidden="false" customHeight="false" outlineLevel="0" collapsed="false">
      <c r="A1302" s="31" t="s">
        <v>944</v>
      </c>
      <c r="B1302" s="36" t="n">
        <v>46105</v>
      </c>
      <c r="C1302" s="49" t="n">
        <f aca="false">DATE(YEAR(B1302),MONTH(B1302),1)</f>
        <v>46082</v>
      </c>
      <c r="D1302" s="31" t="s">
        <v>193</v>
      </c>
      <c r="E1302" s="31" t="s">
        <v>41</v>
      </c>
      <c r="F1302" s="31" t="s">
        <v>45</v>
      </c>
      <c r="G1302" s="31" t="s">
        <v>62</v>
      </c>
      <c r="H1302" s="31" t="s">
        <v>167</v>
      </c>
      <c r="I1302" s="32" t="str">
        <f aca="false">INDEX(Productos!$B$2:$B$13,MATCH($H1302,Productos!$A$2:$A$13,0))</f>
        <v>Tornillo DIN 912 M6x25 Allen zincado</v>
      </c>
      <c r="J1302" s="32" t="str">
        <f aca="false">INDEX(Productos!$C$2:$C$13,MATCH($H1302,Productos!$A$2:$A$13,0))</f>
        <v>Métrica</v>
      </c>
      <c r="K1302" s="31" t="s">
        <v>246</v>
      </c>
      <c r="L1302" s="46" t="n">
        <v>36</v>
      </c>
      <c r="M1302" s="50" t="n">
        <f aca="false">INDEX(Productos!$F$2:$F$13,MATCH($H1302,Productos!$A$2:$A$13,0))</f>
        <v>42</v>
      </c>
      <c r="N1302" s="51" t="n">
        <v>0.157</v>
      </c>
      <c r="O1302" s="52" t="n">
        <f aca="false">M1302*(1-N1302)</f>
        <v>35.406</v>
      </c>
      <c r="P1302" s="21" t="n">
        <f aca="false">L1302*O1302</f>
        <v>1274.616</v>
      </c>
      <c r="Q1302" s="50" t="n">
        <f aca="false">INDEX(Productos!$E$2:$E$13,MATCH($H1302,Productos!$A$2:$A$13,0))*INDEX(Parametros!$B$26:$B$43,MATCH($C1302,Parametros!$A$26:$A$43,0))</f>
        <v>22.0616</v>
      </c>
      <c r="R1302" s="21" t="n">
        <f aca="false">L1302*Q1302</f>
        <v>794.2176</v>
      </c>
      <c r="S1302" s="18" t="n">
        <f aca="false">L1302*INDEX(Parametros!$B$20:$B$22,MATCH($E1302,Parametros!$A$20:$A$22,0))</f>
        <v>30.6</v>
      </c>
      <c r="T1302" s="18" t="n">
        <f aca="false">P1302*INDEX(Parametros!$B$13:$B$16,MATCH($F1302,Parametros!$A$13:$A$16,0))</f>
        <v>38.23848</v>
      </c>
      <c r="U1302" s="21" t="n">
        <f aca="false">P1302-R1302-S1302-T1302</f>
        <v>411.55992</v>
      </c>
      <c r="V1302" s="19" t="n">
        <f aca="false">IFERROR(U1302/P1302,0)</f>
        <v>0.322889340789697</v>
      </c>
      <c r="W1302" s="48" t="n">
        <f aca="false">B1302+INDEX(Parametros!$C$13:$C$16,MATCH($F1302,Parametros!$A$13:$A$16,0))</f>
        <v>46165</v>
      </c>
      <c r="X1302" s="31" t="s">
        <v>67</v>
      </c>
      <c r="Y1302" s="53" t="n">
        <f aca="false">IF(COUNTIF($A$2:$A1302,A1302)=1,1,0)</f>
        <v>1</v>
      </c>
    </row>
    <row r="1303" customFormat="false" ht="15" hidden="false" customHeight="false" outlineLevel="0" collapsed="false">
      <c r="A1303" s="31" t="s">
        <v>944</v>
      </c>
      <c r="B1303" s="36" t="n">
        <v>46105</v>
      </c>
      <c r="C1303" s="49" t="n">
        <f aca="false">DATE(YEAR(B1303),MONTH(B1303),1)</f>
        <v>46082</v>
      </c>
      <c r="D1303" s="31" t="s">
        <v>193</v>
      </c>
      <c r="E1303" s="31" t="s">
        <v>41</v>
      </c>
      <c r="F1303" s="31" t="s">
        <v>45</v>
      </c>
      <c r="G1303" s="31" t="s">
        <v>62</v>
      </c>
      <c r="H1303" s="31" t="s">
        <v>181</v>
      </c>
      <c r="I1303" s="32" t="str">
        <f aca="false">INDEX(Productos!$B$2:$B$13,MATCH($H1303,Productos!$A$2:$A$13,0))</f>
        <v>Autotaladrante 5,5x55 punta broca</v>
      </c>
      <c r="J1303" s="32" t="str">
        <f aca="false">INDEX(Productos!$C$2:$C$13,MATCH($H1303,Productos!$A$2:$A$13,0))</f>
        <v>Autotaladrante</v>
      </c>
      <c r="K1303" s="31" t="s">
        <v>246</v>
      </c>
      <c r="L1303" s="46" t="n">
        <v>22</v>
      </c>
      <c r="M1303" s="50" t="n">
        <f aca="false">INDEX(Productos!$F$2:$F$13,MATCH($H1303,Productos!$A$2:$A$13,0))</f>
        <v>39</v>
      </c>
      <c r="N1303" s="51" t="n">
        <v>0.168</v>
      </c>
      <c r="O1303" s="52" t="n">
        <f aca="false">M1303*(1-N1303)</f>
        <v>32.448</v>
      </c>
      <c r="P1303" s="21" t="n">
        <f aca="false">L1303*O1303</f>
        <v>713.856</v>
      </c>
      <c r="Q1303" s="50" t="n">
        <f aca="false">INDEX(Productos!$E$2:$E$13,MATCH($H1303,Productos!$A$2:$A$13,0))*INDEX(Parametros!$B$26:$B$43,MATCH($C1303,Parametros!$A$26:$A$43,0))</f>
        <v>20.5436</v>
      </c>
      <c r="R1303" s="21" t="n">
        <f aca="false">L1303*Q1303</f>
        <v>451.9592</v>
      </c>
      <c r="S1303" s="18" t="n">
        <f aca="false">L1303*INDEX(Parametros!$B$20:$B$22,MATCH($E1303,Parametros!$A$20:$A$22,0))</f>
        <v>18.7</v>
      </c>
      <c r="T1303" s="18" t="n">
        <f aca="false">P1303*INDEX(Parametros!$B$13:$B$16,MATCH($F1303,Parametros!$A$13:$A$16,0))</f>
        <v>21.41568</v>
      </c>
      <c r="U1303" s="21" t="n">
        <f aca="false">P1303-R1303-S1303-T1303</f>
        <v>221.78112</v>
      </c>
      <c r="V1303" s="19" t="n">
        <f aca="false">IFERROR(U1303/P1303,0)</f>
        <v>0.310680473372781</v>
      </c>
      <c r="W1303" s="48" t="n">
        <f aca="false">B1303+INDEX(Parametros!$C$13:$C$16,MATCH($F1303,Parametros!$A$13:$A$16,0))</f>
        <v>46165</v>
      </c>
      <c r="X1303" s="31" t="s">
        <v>67</v>
      </c>
      <c r="Y1303" s="53" t="n">
        <f aca="false">IF(COUNTIF($A$2:$A1303,A1303)=1,1,0)</f>
        <v>0</v>
      </c>
    </row>
    <row r="1304" customFormat="false" ht="15" hidden="false" customHeight="false" outlineLevel="0" collapsed="false">
      <c r="A1304" s="31" t="s">
        <v>945</v>
      </c>
      <c r="B1304" s="36" t="n">
        <v>46106</v>
      </c>
      <c r="C1304" s="49" t="n">
        <f aca="false">DATE(YEAR(B1304),MONTH(B1304),1)</f>
        <v>46082</v>
      </c>
      <c r="D1304" s="31" t="s">
        <v>220</v>
      </c>
      <c r="E1304" s="31" t="s">
        <v>42</v>
      </c>
      <c r="F1304" s="31" t="s">
        <v>46</v>
      </c>
      <c r="G1304" s="31" t="s">
        <v>61</v>
      </c>
      <c r="H1304" s="31" t="s">
        <v>177</v>
      </c>
      <c r="I1304" s="32" t="str">
        <f aca="false">INDEX(Productos!$B$2:$B$13,MATCH($H1304,Productos!$A$2:$A$13,0))</f>
        <v>Tirafondo madera 6x100 cabeza plana Torx</v>
      </c>
      <c r="J1304" s="32" t="str">
        <f aca="false">INDEX(Productos!$C$2:$C$13,MATCH($H1304,Productos!$A$2:$A$13,0))</f>
        <v>Madera</v>
      </c>
      <c r="K1304" s="31" t="s">
        <v>246</v>
      </c>
      <c r="L1304" s="46" t="n">
        <v>140</v>
      </c>
      <c r="M1304" s="50" t="n">
        <f aca="false">INDEX(Productos!$F$2:$F$13,MATCH($H1304,Productos!$A$2:$A$13,0))</f>
        <v>34</v>
      </c>
      <c r="N1304" s="51" t="n">
        <v>0.14</v>
      </c>
      <c r="O1304" s="52" t="n">
        <f aca="false">M1304*(1-N1304)</f>
        <v>29.24</v>
      </c>
      <c r="P1304" s="21" t="n">
        <f aca="false">L1304*O1304</f>
        <v>4093.6</v>
      </c>
      <c r="Q1304" s="50" t="n">
        <f aca="false">INDEX(Productos!$E$2:$E$13,MATCH($H1304,Productos!$A$2:$A$13,0))*INDEX(Parametros!$B$26:$B$43,MATCH($C1304,Parametros!$A$26:$A$43,0))</f>
        <v>18.0136</v>
      </c>
      <c r="R1304" s="21" t="n">
        <f aca="false">L1304*Q1304</f>
        <v>2521.904</v>
      </c>
      <c r="S1304" s="18" t="n">
        <f aca="false">L1304*INDEX(Parametros!$B$20:$B$22,MATCH($E1304,Parametros!$A$20:$A$22,0))</f>
        <v>336</v>
      </c>
      <c r="T1304" s="18" t="n">
        <f aca="false">P1304*INDEX(Parametros!$B$13:$B$16,MATCH($F1304,Parametros!$A$13:$A$16,0))</f>
        <v>163.744</v>
      </c>
      <c r="U1304" s="21" t="n">
        <f aca="false">P1304-R1304-S1304-T1304</f>
        <v>1071.952</v>
      </c>
      <c r="V1304" s="19" t="n">
        <f aca="false">IFERROR(U1304/P1304,0)</f>
        <v>0.261860465116279</v>
      </c>
      <c r="W1304" s="48" t="n">
        <f aca="false">B1304+INDEX(Parametros!$C$13:$C$16,MATCH($F1304,Parametros!$A$13:$A$16,0))</f>
        <v>46181</v>
      </c>
      <c r="X1304" s="31" t="s">
        <v>67</v>
      </c>
      <c r="Y1304" s="53" t="n">
        <f aca="false">IF(COUNTIF($A$2:$A1304,A1304)=1,1,0)</f>
        <v>1</v>
      </c>
    </row>
    <row r="1305" customFormat="false" ht="15" hidden="false" customHeight="false" outlineLevel="0" collapsed="false">
      <c r="A1305" s="31" t="s">
        <v>945</v>
      </c>
      <c r="B1305" s="36" t="n">
        <v>46106</v>
      </c>
      <c r="C1305" s="49" t="n">
        <f aca="false">DATE(YEAR(B1305),MONTH(B1305),1)</f>
        <v>46082</v>
      </c>
      <c r="D1305" s="31" t="s">
        <v>220</v>
      </c>
      <c r="E1305" s="31" t="s">
        <v>42</v>
      </c>
      <c r="F1305" s="31" t="s">
        <v>46</v>
      </c>
      <c r="G1305" s="31" t="s">
        <v>61</v>
      </c>
      <c r="H1305" s="31" t="s">
        <v>175</v>
      </c>
      <c r="I1305" s="32" t="str">
        <f aca="false">INDEX(Productos!$B$2:$B$13,MATCH($H1305,Productos!$A$2:$A$13,0))</f>
        <v>Tirafondo madera 5x60 cabeza plana Torx</v>
      </c>
      <c r="J1305" s="32" t="str">
        <f aca="false">INDEX(Productos!$C$2:$C$13,MATCH($H1305,Productos!$A$2:$A$13,0))</f>
        <v>Madera</v>
      </c>
      <c r="K1305" s="31" t="s">
        <v>246</v>
      </c>
      <c r="L1305" s="46" t="n">
        <v>59</v>
      </c>
      <c r="M1305" s="50" t="n">
        <f aca="false">INDEX(Productos!$F$2:$F$13,MATCH($H1305,Productos!$A$2:$A$13,0))</f>
        <v>26</v>
      </c>
      <c r="N1305" s="51" t="n">
        <v>0.101</v>
      </c>
      <c r="O1305" s="52" t="n">
        <f aca="false">M1305*(1-N1305)</f>
        <v>23.374</v>
      </c>
      <c r="P1305" s="21" t="n">
        <f aca="false">L1305*O1305</f>
        <v>1379.066</v>
      </c>
      <c r="Q1305" s="50" t="n">
        <f aca="false">INDEX(Productos!$E$2:$E$13,MATCH($H1305,Productos!$A$2:$A$13,0))*INDEX(Parametros!$B$26:$B$43,MATCH($C1305,Parametros!$A$26:$A$43,0))</f>
        <v>13.5608</v>
      </c>
      <c r="R1305" s="21" t="n">
        <f aca="false">L1305*Q1305</f>
        <v>800.0872</v>
      </c>
      <c r="S1305" s="18" t="n">
        <f aca="false">L1305*INDEX(Parametros!$B$20:$B$22,MATCH($E1305,Parametros!$A$20:$A$22,0))</f>
        <v>141.6</v>
      </c>
      <c r="T1305" s="18" t="n">
        <f aca="false">P1305*INDEX(Parametros!$B$13:$B$16,MATCH($F1305,Parametros!$A$13:$A$16,0))</f>
        <v>55.16264</v>
      </c>
      <c r="U1305" s="21" t="n">
        <f aca="false">P1305-R1305-S1305-T1305</f>
        <v>382.21616</v>
      </c>
      <c r="V1305" s="19" t="n">
        <f aca="false">IFERROR(U1305/P1305,0)</f>
        <v>0.277155814152477</v>
      </c>
      <c r="W1305" s="48" t="n">
        <f aca="false">B1305+INDEX(Parametros!$C$13:$C$16,MATCH($F1305,Parametros!$A$13:$A$16,0))</f>
        <v>46181</v>
      </c>
      <c r="X1305" s="31" t="s">
        <v>69</v>
      </c>
      <c r="Y1305" s="53" t="n">
        <f aca="false">IF(COUNTIF($A$2:$A1305,A1305)=1,1,0)</f>
        <v>0</v>
      </c>
    </row>
    <row r="1306" customFormat="false" ht="15" hidden="false" customHeight="false" outlineLevel="0" collapsed="false">
      <c r="A1306" s="31" t="s">
        <v>945</v>
      </c>
      <c r="B1306" s="36" t="n">
        <v>46106</v>
      </c>
      <c r="C1306" s="49" t="n">
        <f aca="false">DATE(YEAR(B1306),MONTH(B1306),1)</f>
        <v>46082</v>
      </c>
      <c r="D1306" s="31" t="s">
        <v>220</v>
      </c>
      <c r="E1306" s="31" t="s">
        <v>42</v>
      </c>
      <c r="F1306" s="31" t="s">
        <v>46</v>
      </c>
      <c r="G1306" s="31" t="s">
        <v>61</v>
      </c>
      <c r="H1306" s="31" t="s">
        <v>167</v>
      </c>
      <c r="I1306" s="32" t="str">
        <f aca="false">INDEX(Productos!$B$2:$B$13,MATCH($H1306,Productos!$A$2:$A$13,0))</f>
        <v>Tornillo DIN 912 M6x25 Allen zincado</v>
      </c>
      <c r="J1306" s="32" t="str">
        <f aca="false">INDEX(Productos!$C$2:$C$13,MATCH($H1306,Productos!$A$2:$A$13,0))</f>
        <v>Métrica</v>
      </c>
      <c r="K1306" s="31" t="s">
        <v>246</v>
      </c>
      <c r="L1306" s="46" t="n">
        <v>42</v>
      </c>
      <c r="M1306" s="50" t="n">
        <f aca="false">INDEX(Productos!$F$2:$F$13,MATCH($H1306,Productos!$A$2:$A$13,0))</f>
        <v>42</v>
      </c>
      <c r="N1306" s="51" t="n">
        <v>0.1</v>
      </c>
      <c r="O1306" s="52" t="n">
        <f aca="false">M1306*(1-N1306)</f>
        <v>37.8</v>
      </c>
      <c r="P1306" s="21" t="n">
        <f aca="false">L1306*O1306</f>
        <v>1587.6</v>
      </c>
      <c r="Q1306" s="50" t="n">
        <f aca="false">INDEX(Productos!$E$2:$E$13,MATCH($H1306,Productos!$A$2:$A$13,0))*INDEX(Parametros!$B$26:$B$43,MATCH($C1306,Parametros!$A$26:$A$43,0))</f>
        <v>22.0616</v>
      </c>
      <c r="R1306" s="21" t="n">
        <f aca="false">L1306*Q1306</f>
        <v>926.5872</v>
      </c>
      <c r="S1306" s="18" t="n">
        <f aca="false">L1306*INDEX(Parametros!$B$20:$B$22,MATCH($E1306,Parametros!$A$20:$A$22,0))</f>
        <v>100.8</v>
      </c>
      <c r="T1306" s="18" t="n">
        <f aca="false">P1306*INDEX(Parametros!$B$13:$B$16,MATCH($F1306,Parametros!$A$13:$A$16,0))</f>
        <v>63.504</v>
      </c>
      <c r="U1306" s="21" t="n">
        <f aca="false">P1306-R1306-S1306-T1306</f>
        <v>496.7088</v>
      </c>
      <c r="V1306" s="19" t="n">
        <f aca="false">IFERROR(U1306/P1306,0)</f>
        <v>0.312867724867725</v>
      </c>
      <c r="W1306" s="48" t="n">
        <f aca="false">B1306+INDEX(Parametros!$C$13:$C$16,MATCH($F1306,Parametros!$A$13:$A$16,0))</f>
        <v>46181</v>
      </c>
      <c r="X1306" s="31" t="s">
        <v>67</v>
      </c>
      <c r="Y1306" s="53" t="n">
        <f aca="false">IF(COUNTIF($A$2:$A1306,A1306)=1,1,0)</f>
        <v>0</v>
      </c>
    </row>
    <row r="1307" customFormat="false" ht="15" hidden="false" customHeight="false" outlineLevel="0" collapsed="false">
      <c r="A1307" s="31" t="s">
        <v>946</v>
      </c>
      <c r="B1307" s="36" t="n">
        <v>46106</v>
      </c>
      <c r="C1307" s="49" t="n">
        <f aca="false">DATE(YEAR(B1307),MONTH(B1307),1)</f>
        <v>46082</v>
      </c>
      <c r="D1307" s="31" t="s">
        <v>201</v>
      </c>
      <c r="E1307" s="31" t="s">
        <v>41</v>
      </c>
      <c r="F1307" s="31" t="s">
        <v>46</v>
      </c>
      <c r="G1307" s="31" t="s">
        <v>62</v>
      </c>
      <c r="H1307" s="31" t="s">
        <v>167</v>
      </c>
      <c r="I1307" s="32" t="str">
        <f aca="false">INDEX(Productos!$B$2:$B$13,MATCH($H1307,Productos!$A$2:$A$13,0))</f>
        <v>Tornillo DIN 912 M6x25 Allen zincado</v>
      </c>
      <c r="J1307" s="32" t="str">
        <f aca="false">INDEX(Productos!$C$2:$C$13,MATCH($H1307,Productos!$A$2:$A$13,0))</f>
        <v>Métrica</v>
      </c>
      <c r="K1307" s="31" t="s">
        <v>246</v>
      </c>
      <c r="L1307" s="46" t="n">
        <v>30</v>
      </c>
      <c r="M1307" s="50" t="n">
        <f aca="false">INDEX(Productos!$F$2:$F$13,MATCH($H1307,Productos!$A$2:$A$13,0))</f>
        <v>42</v>
      </c>
      <c r="N1307" s="51" t="n">
        <v>0.152</v>
      </c>
      <c r="O1307" s="52" t="n">
        <f aca="false">M1307*(1-N1307)</f>
        <v>35.616</v>
      </c>
      <c r="P1307" s="21" t="n">
        <f aca="false">L1307*O1307</f>
        <v>1068.48</v>
      </c>
      <c r="Q1307" s="50" t="n">
        <f aca="false">INDEX(Productos!$E$2:$E$13,MATCH($H1307,Productos!$A$2:$A$13,0))*INDEX(Parametros!$B$26:$B$43,MATCH($C1307,Parametros!$A$26:$A$43,0))</f>
        <v>22.0616</v>
      </c>
      <c r="R1307" s="21" t="n">
        <f aca="false">L1307*Q1307</f>
        <v>661.848</v>
      </c>
      <c r="S1307" s="18" t="n">
        <f aca="false">L1307*INDEX(Parametros!$B$20:$B$22,MATCH($E1307,Parametros!$A$20:$A$22,0))</f>
        <v>25.5</v>
      </c>
      <c r="T1307" s="18" t="n">
        <f aca="false">P1307*INDEX(Parametros!$B$13:$B$16,MATCH($F1307,Parametros!$A$13:$A$16,0))</f>
        <v>42.7392</v>
      </c>
      <c r="U1307" s="21" t="n">
        <f aca="false">P1307-R1307-S1307-T1307</f>
        <v>338.3928</v>
      </c>
      <c r="V1307" s="19" t="n">
        <f aca="false">IFERROR(U1307/P1307,0)</f>
        <v>0.316704851752022</v>
      </c>
      <c r="W1307" s="48" t="n">
        <f aca="false">B1307+INDEX(Parametros!$C$13:$C$16,MATCH($F1307,Parametros!$A$13:$A$16,0))</f>
        <v>46181</v>
      </c>
      <c r="X1307" s="31" t="s">
        <v>67</v>
      </c>
      <c r="Y1307" s="53" t="n">
        <f aca="false">IF(COUNTIF($A$2:$A1307,A1307)=1,1,0)</f>
        <v>1</v>
      </c>
    </row>
    <row r="1308" customFormat="false" ht="15" hidden="false" customHeight="false" outlineLevel="0" collapsed="false">
      <c r="A1308" s="31" t="s">
        <v>946</v>
      </c>
      <c r="B1308" s="36" t="n">
        <v>46106</v>
      </c>
      <c r="C1308" s="49" t="n">
        <f aca="false">DATE(YEAR(B1308),MONTH(B1308),1)</f>
        <v>46082</v>
      </c>
      <c r="D1308" s="31" t="s">
        <v>201</v>
      </c>
      <c r="E1308" s="31" t="s">
        <v>41</v>
      </c>
      <c r="F1308" s="31" t="s">
        <v>46</v>
      </c>
      <c r="G1308" s="31" t="s">
        <v>62</v>
      </c>
      <c r="H1308" s="31" t="s">
        <v>179</v>
      </c>
      <c r="I1308" s="32" t="str">
        <f aca="false">INDEX(Productos!$B$2:$B$13,MATCH($H1308,Productos!$A$2:$A$13,0))</f>
        <v>Autotaladrante DIN 7504 4,8x38 zincado</v>
      </c>
      <c r="J1308" s="32" t="str">
        <f aca="false">INDEX(Productos!$C$2:$C$13,MATCH($H1308,Productos!$A$2:$A$13,0))</f>
        <v>Autotaladrante</v>
      </c>
      <c r="K1308" s="31" t="s">
        <v>246</v>
      </c>
      <c r="L1308" s="46" t="n">
        <v>70</v>
      </c>
      <c r="M1308" s="50" t="n">
        <f aca="false">INDEX(Productos!$F$2:$F$13,MATCH($H1308,Productos!$A$2:$A$13,0))</f>
        <v>29.5</v>
      </c>
      <c r="N1308" s="51" t="n">
        <v>0.115</v>
      </c>
      <c r="O1308" s="52" t="n">
        <f aca="false">M1308*(1-N1308)</f>
        <v>26.1075</v>
      </c>
      <c r="P1308" s="21" t="n">
        <f aca="false">L1308*O1308</f>
        <v>1827.525</v>
      </c>
      <c r="Q1308" s="50" t="n">
        <f aca="false">INDEX(Productos!$E$2:$E$13,MATCH($H1308,Productos!$A$2:$A$13,0))*INDEX(Parametros!$B$26:$B$43,MATCH($C1308,Parametros!$A$26:$A$43,0))</f>
        <v>15.3824</v>
      </c>
      <c r="R1308" s="21" t="n">
        <f aca="false">L1308*Q1308</f>
        <v>1076.768</v>
      </c>
      <c r="S1308" s="18" t="n">
        <f aca="false">L1308*INDEX(Parametros!$B$20:$B$22,MATCH($E1308,Parametros!$A$20:$A$22,0))</f>
        <v>59.5</v>
      </c>
      <c r="T1308" s="18" t="n">
        <f aca="false">P1308*INDEX(Parametros!$B$13:$B$16,MATCH($F1308,Parametros!$A$13:$A$16,0))</f>
        <v>73.101</v>
      </c>
      <c r="U1308" s="21" t="n">
        <f aca="false">P1308-R1308-S1308-T1308</f>
        <v>618.156</v>
      </c>
      <c r="V1308" s="19" t="n">
        <f aca="false">IFERROR(U1308/P1308,0)</f>
        <v>0.338247629991382</v>
      </c>
      <c r="W1308" s="48" t="n">
        <f aca="false">B1308+INDEX(Parametros!$C$13:$C$16,MATCH($F1308,Parametros!$A$13:$A$16,0))</f>
        <v>46181</v>
      </c>
      <c r="X1308" s="31" t="s">
        <v>67</v>
      </c>
      <c r="Y1308" s="53" t="n">
        <f aca="false">IF(COUNTIF($A$2:$A1308,A1308)=1,1,0)</f>
        <v>0</v>
      </c>
    </row>
    <row r="1309" customFormat="false" ht="15" hidden="false" customHeight="false" outlineLevel="0" collapsed="false">
      <c r="A1309" s="31" t="s">
        <v>947</v>
      </c>
      <c r="B1309" s="36" t="n">
        <v>46107</v>
      </c>
      <c r="C1309" s="49" t="n">
        <f aca="false">DATE(YEAR(B1309),MONTH(B1309),1)</f>
        <v>46082</v>
      </c>
      <c r="D1309" s="31" t="s">
        <v>218</v>
      </c>
      <c r="E1309" s="31" t="s">
        <v>42</v>
      </c>
      <c r="F1309" s="31" t="s">
        <v>45</v>
      </c>
      <c r="G1309" s="31" t="s">
        <v>61</v>
      </c>
      <c r="H1309" s="31" t="s">
        <v>163</v>
      </c>
      <c r="I1309" s="32" t="str">
        <f aca="false">INDEX(Productos!$B$2:$B$13,MATCH($H1309,Productos!$A$2:$A$13,0))</f>
        <v>Tornillo DIN 933 M6x30 rosca completa zincado</v>
      </c>
      <c r="J1309" s="32" t="str">
        <f aca="false">INDEX(Productos!$C$2:$C$13,MATCH($H1309,Productos!$A$2:$A$13,0))</f>
        <v>Métrica</v>
      </c>
      <c r="K1309" s="31" t="s">
        <v>246</v>
      </c>
      <c r="L1309" s="46" t="n">
        <v>102</v>
      </c>
      <c r="M1309" s="50" t="n">
        <f aca="false">INDEX(Productos!$F$2:$F$13,MATCH($H1309,Productos!$A$2:$A$13,0))</f>
        <v>32</v>
      </c>
      <c r="N1309" s="51" t="n">
        <v>0.21</v>
      </c>
      <c r="O1309" s="52" t="n">
        <f aca="false">M1309*(1-N1309)</f>
        <v>25.28</v>
      </c>
      <c r="P1309" s="21" t="n">
        <f aca="false">L1309*O1309</f>
        <v>2578.56</v>
      </c>
      <c r="Q1309" s="50" t="n">
        <f aca="false">INDEX(Productos!$E$2:$E$13,MATCH($H1309,Productos!$A$2:$A$13,0))*INDEX(Parametros!$B$26:$B$43,MATCH($C1309,Parametros!$A$26:$A$43,0))</f>
        <v>16.7992</v>
      </c>
      <c r="R1309" s="21" t="n">
        <f aca="false">L1309*Q1309</f>
        <v>1713.5184</v>
      </c>
      <c r="S1309" s="18" t="n">
        <f aca="false">L1309*INDEX(Parametros!$B$20:$B$22,MATCH($E1309,Parametros!$A$20:$A$22,0))</f>
        <v>244.8</v>
      </c>
      <c r="T1309" s="18" t="n">
        <f aca="false">P1309*INDEX(Parametros!$B$13:$B$16,MATCH($F1309,Parametros!$A$13:$A$16,0))</f>
        <v>77.3568</v>
      </c>
      <c r="U1309" s="21" t="n">
        <f aca="false">P1309-R1309-S1309-T1309</f>
        <v>542.8848</v>
      </c>
      <c r="V1309" s="19" t="n">
        <f aca="false">IFERROR(U1309/P1309,0)</f>
        <v>0.210537974683544</v>
      </c>
      <c r="W1309" s="48" t="n">
        <f aca="false">B1309+INDEX(Parametros!$C$13:$C$16,MATCH($F1309,Parametros!$A$13:$A$16,0))</f>
        <v>46167</v>
      </c>
      <c r="X1309" s="31" t="s">
        <v>67</v>
      </c>
      <c r="Y1309" s="53" t="n">
        <f aca="false">IF(COUNTIF($A$2:$A1309,A1309)=1,1,0)</f>
        <v>1</v>
      </c>
    </row>
    <row r="1310" customFormat="false" ht="15" hidden="false" customHeight="false" outlineLevel="0" collapsed="false">
      <c r="A1310" s="31" t="s">
        <v>948</v>
      </c>
      <c r="B1310" s="36" t="n">
        <v>46107</v>
      </c>
      <c r="C1310" s="49" t="n">
        <f aca="false">DATE(YEAR(B1310),MONTH(B1310),1)</f>
        <v>46082</v>
      </c>
      <c r="D1310" s="31" t="s">
        <v>217</v>
      </c>
      <c r="E1310" s="31" t="s">
        <v>42</v>
      </c>
      <c r="F1310" s="31" t="s">
        <v>47</v>
      </c>
      <c r="G1310" s="31" t="s">
        <v>61</v>
      </c>
      <c r="H1310" s="31" t="s">
        <v>167</v>
      </c>
      <c r="I1310" s="32" t="str">
        <f aca="false">INDEX(Productos!$B$2:$B$13,MATCH($H1310,Productos!$A$2:$A$13,0))</f>
        <v>Tornillo DIN 912 M6x25 Allen zincado</v>
      </c>
      <c r="J1310" s="32" t="str">
        <f aca="false">INDEX(Productos!$C$2:$C$13,MATCH($H1310,Productos!$A$2:$A$13,0))</f>
        <v>Métrica</v>
      </c>
      <c r="K1310" s="31" t="s">
        <v>246</v>
      </c>
      <c r="L1310" s="46" t="n">
        <v>58</v>
      </c>
      <c r="M1310" s="50" t="n">
        <f aca="false">INDEX(Productos!$F$2:$F$13,MATCH($H1310,Productos!$A$2:$A$13,0))</f>
        <v>42</v>
      </c>
      <c r="N1310" s="51" t="n">
        <v>0.095</v>
      </c>
      <c r="O1310" s="52" t="n">
        <f aca="false">M1310*(1-N1310)</f>
        <v>38.01</v>
      </c>
      <c r="P1310" s="21" t="n">
        <f aca="false">L1310*O1310</f>
        <v>2204.58</v>
      </c>
      <c r="Q1310" s="50" t="n">
        <f aca="false">INDEX(Productos!$E$2:$E$13,MATCH($H1310,Productos!$A$2:$A$13,0))*INDEX(Parametros!$B$26:$B$43,MATCH($C1310,Parametros!$A$26:$A$43,0))</f>
        <v>22.0616</v>
      </c>
      <c r="R1310" s="21" t="n">
        <f aca="false">L1310*Q1310</f>
        <v>1279.5728</v>
      </c>
      <c r="S1310" s="18" t="n">
        <f aca="false">L1310*INDEX(Parametros!$B$20:$B$22,MATCH($E1310,Parametros!$A$20:$A$22,0))</f>
        <v>139.2</v>
      </c>
      <c r="T1310" s="18" t="n">
        <f aca="false">P1310*INDEX(Parametros!$B$13:$B$16,MATCH($F1310,Parametros!$A$13:$A$16,0))</f>
        <v>77.1603</v>
      </c>
      <c r="U1310" s="21" t="n">
        <f aca="false">P1310-R1310-S1310-T1310</f>
        <v>708.6469</v>
      </c>
      <c r="V1310" s="19" t="n">
        <f aca="false">IFERROR(U1310/P1310,0)</f>
        <v>0.32144304130492</v>
      </c>
      <c r="W1310" s="48" t="n">
        <f aca="false">B1310+INDEX(Parametros!$C$13:$C$16,MATCH($F1310,Parametros!$A$13:$A$16,0))</f>
        <v>46152</v>
      </c>
      <c r="X1310" s="31" t="s">
        <v>67</v>
      </c>
      <c r="Y1310" s="53" t="n">
        <f aca="false">IF(COUNTIF($A$2:$A1310,A1310)=1,1,0)</f>
        <v>1</v>
      </c>
    </row>
    <row r="1311" customFormat="false" ht="15" hidden="false" customHeight="false" outlineLevel="0" collapsed="false">
      <c r="A1311" s="31" t="s">
        <v>948</v>
      </c>
      <c r="B1311" s="36" t="n">
        <v>46107</v>
      </c>
      <c r="C1311" s="49" t="n">
        <f aca="false">DATE(YEAR(B1311),MONTH(B1311),1)</f>
        <v>46082</v>
      </c>
      <c r="D1311" s="31" t="s">
        <v>217</v>
      </c>
      <c r="E1311" s="31" t="s">
        <v>42</v>
      </c>
      <c r="F1311" s="31" t="s">
        <v>47</v>
      </c>
      <c r="G1311" s="31" t="s">
        <v>61</v>
      </c>
      <c r="H1311" s="31" t="s">
        <v>171</v>
      </c>
      <c r="I1311" s="32" t="str">
        <f aca="false">INDEX(Productos!$B$2:$B$13,MATCH($H1311,Productos!$A$2:$A$13,0))</f>
        <v>Tornillo DIN 7991 M8x30 avellanado inox A2</v>
      </c>
      <c r="J1311" s="32" t="str">
        <f aca="false">INDEX(Productos!$C$2:$C$13,MATCH($H1311,Productos!$A$2:$A$13,0))</f>
        <v>Inoxidable</v>
      </c>
      <c r="K1311" s="31" t="s">
        <v>246</v>
      </c>
      <c r="L1311" s="46" t="n">
        <v>35</v>
      </c>
      <c r="M1311" s="50" t="n">
        <f aca="false">INDEX(Productos!$F$2:$F$13,MATCH($H1311,Productos!$A$2:$A$13,0))</f>
        <v>88</v>
      </c>
      <c r="N1311" s="51" t="n">
        <v>0.067</v>
      </c>
      <c r="O1311" s="52" t="n">
        <f aca="false">M1311*(1-N1311)</f>
        <v>82.104</v>
      </c>
      <c r="P1311" s="21" t="n">
        <f aca="false">L1311*O1311</f>
        <v>2873.64</v>
      </c>
      <c r="Q1311" s="50" t="n">
        <f aca="false">INDEX(Productos!$E$2:$E$13,MATCH($H1311,Productos!$A$2:$A$13,0))*INDEX(Parametros!$B$26:$B$43,MATCH($C1311,Parametros!$A$26:$A$43,0))</f>
        <v>47.058</v>
      </c>
      <c r="R1311" s="21" t="n">
        <f aca="false">L1311*Q1311</f>
        <v>1647.03</v>
      </c>
      <c r="S1311" s="18" t="n">
        <f aca="false">L1311*INDEX(Parametros!$B$20:$B$22,MATCH($E1311,Parametros!$A$20:$A$22,0))</f>
        <v>84</v>
      </c>
      <c r="T1311" s="18" t="n">
        <f aca="false">P1311*INDEX(Parametros!$B$13:$B$16,MATCH($F1311,Parametros!$A$13:$A$16,0))</f>
        <v>100.5774</v>
      </c>
      <c r="U1311" s="21" t="n">
        <f aca="false">P1311-R1311-S1311-T1311</f>
        <v>1042.0326</v>
      </c>
      <c r="V1311" s="19" t="n">
        <f aca="false">IFERROR(U1311/P1311,0)</f>
        <v>0.362617655656241</v>
      </c>
      <c r="W1311" s="48" t="n">
        <f aca="false">B1311+INDEX(Parametros!$C$13:$C$16,MATCH($F1311,Parametros!$A$13:$A$16,0))</f>
        <v>46152</v>
      </c>
      <c r="X1311" s="31" t="s">
        <v>67</v>
      </c>
      <c r="Y1311" s="53" t="n">
        <f aca="false">IF(COUNTIF($A$2:$A1311,A1311)=1,1,0)</f>
        <v>0</v>
      </c>
    </row>
    <row r="1312" customFormat="false" ht="15" hidden="false" customHeight="false" outlineLevel="0" collapsed="false">
      <c r="A1312" s="31" t="s">
        <v>948</v>
      </c>
      <c r="B1312" s="36" t="n">
        <v>46107</v>
      </c>
      <c r="C1312" s="49" t="n">
        <f aca="false">DATE(YEAR(B1312),MONTH(B1312),1)</f>
        <v>46082</v>
      </c>
      <c r="D1312" s="31" t="s">
        <v>217</v>
      </c>
      <c r="E1312" s="31" t="s">
        <v>42</v>
      </c>
      <c r="F1312" s="31" t="s">
        <v>47</v>
      </c>
      <c r="G1312" s="31" t="s">
        <v>61</v>
      </c>
      <c r="H1312" s="31" t="s">
        <v>163</v>
      </c>
      <c r="I1312" s="32" t="str">
        <f aca="false">INDEX(Productos!$B$2:$B$13,MATCH($H1312,Productos!$A$2:$A$13,0))</f>
        <v>Tornillo DIN 933 M6x30 rosca completa zincado</v>
      </c>
      <c r="J1312" s="32" t="str">
        <f aca="false">INDEX(Productos!$C$2:$C$13,MATCH($H1312,Productos!$A$2:$A$13,0))</f>
        <v>Métrica</v>
      </c>
      <c r="K1312" s="31" t="s">
        <v>246</v>
      </c>
      <c r="L1312" s="46" t="n">
        <v>170</v>
      </c>
      <c r="M1312" s="50" t="n">
        <f aca="false">INDEX(Productos!$F$2:$F$13,MATCH($H1312,Productos!$A$2:$A$13,0))</f>
        <v>32</v>
      </c>
      <c r="N1312" s="51" t="n">
        <v>0.064</v>
      </c>
      <c r="O1312" s="52" t="n">
        <f aca="false">M1312*(1-N1312)</f>
        <v>29.952</v>
      </c>
      <c r="P1312" s="21" t="n">
        <f aca="false">L1312*O1312</f>
        <v>5091.84</v>
      </c>
      <c r="Q1312" s="50" t="n">
        <f aca="false">INDEX(Productos!$E$2:$E$13,MATCH($H1312,Productos!$A$2:$A$13,0))*INDEX(Parametros!$B$26:$B$43,MATCH($C1312,Parametros!$A$26:$A$43,0))</f>
        <v>16.7992</v>
      </c>
      <c r="R1312" s="21" t="n">
        <f aca="false">L1312*Q1312</f>
        <v>2855.864</v>
      </c>
      <c r="S1312" s="18" t="n">
        <f aca="false">L1312*INDEX(Parametros!$B$20:$B$22,MATCH($E1312,Parametros!$A$20:$A$22,0))</f>
        <v>408</v>
      </c>
      <c r="T1312" s="18" t="n">
        <f aca="false">P1312*INDEX(Parametros!$B$13:$B$16,MATCH($F1312,Parametros!$A$13:$A$16,0))</f>
        <v>178.2144</v>
      </c>
      <c r="U1312" s="21" t="n">
        <f aca="false">P1312-R1312-S1312-T1312</f>
        <v>1649.7616</v>
      </c>
      <c r="V1312" s="19" t="n">
        <f aca="false">IFERROR(U1312/P1312,0)</f>
        <v>0.324001068376068</v>
      </c>
      <c r="W1312" s="48" t="n">
        <f aca="false">B1312+INDEX(Parametros!$C$13:$C$16,MATCH($F1312,Parametros!$A$13:$A$16,0))</f>
        <v>46152</v>
      </c>
      <c r="X1312" s="31" t="s">
        <v>67</v>
      </c>
      <c r="Y1312" s="53" t="n">
        <f aca="false">IF(COUNTIF($A$2:$A1312,A1312)=1,1,0)</f>
        <v>0</v>
      </c>
    </row>
    <row r="1313" customFormat="false" ht="15" hidden="false" customHeight="false" outlineLevel="0" collapsed="false">
      <c r="A1313" s="31" t="s">
        <v>948</v>
      </c>
      <c r="B1313" s="36" t="n">
        <v>46107</v>
      </c>
      <c r="C1313" s="49" t="n">
        <f aca="false">DATE(YEAR(B1313),MONTH(B1313),1)</f>
        <v>46082</v>
      </c>
      <c r="D1313" s="31" t="s">
        <v>217</v>
      </c>
      <c r="E1313" s="31" t="s">
        <v>42</v>
      </c>
      <c r="F1313" s="31" t="s">
        <v>47</v>
      </c>
      <c r="G1313" s="31" t="s">
        <v>61</v>
      </c>
      <c r="H1313" s="31" t="s">
        <v>173</v>
      </c>
      <c r="I1313" s="32" t="str">
        <f aca="false">INDEX(Productos!$B$2:$B$13,MATCH($H1313,Productos!$A$2:$A$13,0))</f>
        <v>Tornillo DIN 933 M12x70 clase 8.8</v>
      </c>
      <c r="J1313" s="32" t="str">
        <f aca="false">INDEX(Productos!$C$2:$C$13,MATCH($H1313,Productos!$A$2:$A$13,0))</f>
        <v>Métrica</v>
      </c>
      <c r="K1313" s="31" t="s">
        <v>246</v>
      </c>
      <c r="L1313" s="46" t="n">
        <v>78</v>
      </c>
      <c r="M1313" s="50" t="n">
        <f aca="false">INDEX(Productos!$F$2:$F$13,MATCH($H1313,Productos!$A$2:$A$13,0))</f>
        <v>64</v>
      </c>
      <c r="N1313" s="51" t="n">
        <v>0.091</v>
      </c>
      <c r="O1313" s="52" t="n">
        <f aca="false">M1313*(1-N1313)</f>
        <v>58.176</v>
      </c>
      <c r="P1313" s="21" t="n">
        <f aca="false">L1313*O1313</f>
        <v>4537.728</v>
      </c>
      <c r="Q1313" s="50" t="n">
        <f aca="false">INDEX(Productos!$E$2:$E$13,MATCH($H1313,Productos!$A$2:$A$13,0))*INDEX(Parametros!$B$26:$B$43,MATCH($C1313,Parametros!$A$26:$A$43,0))</f>
        <v>33.902</v>
      </c>
      <c r="R1313" s="21" t="n">
        <f aca="false">L1313*Q1313</f>
        <v>2644.356</v>
      </c>
      <c r="S1313" s="18" t="n">
        <f aca="false">L1313*INDEX(Parametros!$B$20:$B$22,MATCH($E1313,Parametros!$A$20:$A$22,0))</f>
        <v>187.2</v>
      </c>
      <c r="T1313" s="18" t="n">
        <f aca="false">P1313*INDEX(Parametros!$B$13:$B$16,MATCH($F1313,Parametros!$A$13:$A$16,0))</f>
        <v>158.82048</v>
      </c>
      <c r="U1313" s="21" t="n">
        <f aca="false">P1313-R1313-S1313-T1313</f>
        <v>1547.35152</v>
      </c>
      <c r="V1313" s="19" t="n">
        <f aca="false">IFERROR(U1313/P1313,0)</f>
        <v>0.34099697469747</v>
      </c>
      <c r="W1313" s="48" t="n">
        <f aca="false">B1313+INDEX(Parametros!$C$13:$C$16,MATCH($F1313,Parametros!$A$13:$A$16,0))</f>
        <v>46152</v>
      </c>
      <c r="X1313" s="31" t="s">
        <v>69</v>
      </c>
      <c r="Y1313" s="53" t="n">
        <f aca="false">IF(COUNTIF($A$2:$A1313,A1313)=1,1,0)</f>
        <v>0</v>
      </c>
    </row>
    <row r="1314" customFormat="false" ht="15" hidden="false" customHeight="false" outlineLevel="0" collapsed="false">
      <c r="A1314" s="31" t="s">
        <v>949</v>
      </c>
      <c r="B1314" s="36" t="n">
        <v>46107</v>
      </c>
      <c r="C1314" s="49" t="n">
        <f aca="false">DATE(YEAR(B1314),MONTH(B1314),1)</f>
        <v>46082</v>
      </c>
      <c r="D1314" s="31" t="s">
        <v>192</v>
      </c>
      <c r="E1314" s="31" t="s">
        <v>41</v>
      </c>
      <c r="F1314" s="31" t="s">
        <v>45</v>
      </c>
      <c r="G1314" s="31" t="s">
        <v>58</v>
      </c>
      <c r="H1314" s="31" t="s">
        <v>169</v>
      </c>
      <c r="I1314" s="32" t="str">
        <f aca="false">INDEX(Productos!$B$2:$B$13,MATCH($H1314,Productos!$A$2:$A$13,0))</f>
        <v>Tornillo DIN 912 M10x60 Allen inox A2</v>
      </c>
      <c r="J1314" s="32" t="str">
        <f aca="false">INDEX(Productos!$C$2:$C$13,MATCH($H1314,Productos!$A$2:$A$13,0))</f>
        <v>Inoxidable</v>
      </c>
      <c r="K1314" s="31" t="s">
        <v>246</v>
      </c>
      <c r="L1314" s="46" t="n">
        <v>289</v>
      </c>
      <c r="M1314" s="50" t="n">
        <f aca="false">INDEX(Productos!$F$2:$F$13,MATCH($H1314,Productos!$A$2:$A$13,0))</f>
        <v>79</v>
      </c>
      <c r="N1314" s="51" t="n">
        <v>0.134</v>
      </c>
      <c r="O1314" s="52" t="n">
        <f aca="false">M1314*(1-N1314)</f>
        <v>68.414</v>
      </c>
      <c r="P1314" s="21" t="n">
        <f aca="false">L1314*O1314</f>
        <v>19771.646</v>
      </c>
      <c r="Q1314" s="50" t="n">
        <f aca="false">INDEX(Productos!$E$2:$E$13,MATCH($H1314,Productos!$A$2:$A$13,0))*INDEX(Parametros!$B$26:$B$43,MATCH($C1314,Parametros!$A$26:$A$43,0))</f>
        <v>42.504</v>
      </c>
      <c r="R1314" s="21" t="n">
        <f aca="false">L1314*Q1314</f>
        <v>12283.656</v>
      </c>
      <c r="S1314" s="18" t="n">
        <f aca="false">L1314*INDEX(Parametros!$B$20:$B$22,MATCH($E1314,Parametros!$A$20:$A$22,0))</f>
        <v>245.65</v>
      </c>
      <c r="T1314" s="18" t="n">
        <f aca="false">P1314*INDEX(Parametros!$B$13:$B$16,MATCH($F1314,Parametros!$A$13:$A$16,0))</f>
        <v>593.14938</v>
      </c>
      <c r="U1314" s="21" t="n">
        <f aca="false">P1314-R1314-S1314-T1314</f>
        <v>6649.19062</v>
      </c>
      <c r="V1314" s="19" t="n">
        <f aca="false">IFERROR(U1314/P1314,0)</f>
        <v>0.33629929546584</v>
      </c>
      <c r="W1314" s="48" t="n">
        <f aca="false">B1314+INDEX(Parametros!$C$13:$C$16,MATCH($F1314,Parametros!$A$13:$A$16,0))</f>
        <v>46167</v>
      </c>
      <c r="X1314" s="31" t="s">
        <v>67</v>
      </c>
      <c r="Y1314" s="53" t="n">
        <f aca="false">IF(COUNTIF($A$2:$A1314,A1314)=1,1,0)</f>
        <v>1</v>
      </c>
    </row>
    <row r="1315" customFormat="false" ht="15" hidden="false" customHeight="false" outlineLevel="0" collapsed="false">
      <c r="A1315" s="31" t="s">
        <v>949</v>
      </c>
      <c r="B1315" s="36" t="n">
        <v>46107</v>
      </c>
      <c r="C1315" s="49" t="n">
        <f aca="false">DATE(YEAR(B1315),MONTH(B1315),1)</f>
        <v>46082</v>
      </c>
      <c r="D1315" s="31" t="s">
        <v>192</v>
      </c>
      <c r="E1315" s="31" t="s">
        <v>41</v>
      </c>
      <c r="F1315" s="31" t="s">
        <v>45</v>
      </c>
      <c r="G1315" s="31" t="s">
        <v>58</v>
      </c>
      <c r="H1315" s="31" t="s">
        <v>163</v>
      </c>
      <c r="I1315" s="32" t="str">
        <f aca="false">INDEX(Productos!$B$2:$B$13,MATCH($H1315,Productos!$A$2:$A$13,0))</f>
        <v>Tornillo DIN 933 M6x30 rosca completa zincado</v>
      </c>
      <c r="J1315" s="32" t="str">
        <f aca="false">INDEX(Productos!$C$2:$C$13,MATCH($H1315,Productos!$A$2:$A$13,0))</f>
        <v>Métrica</v>
      </c>
      <c r="K1315" s="31" t="s">
        <v>246</v>
      </c>
      <c r="L1315" s="46" t="n">
        <v>99</v>
      </c>
      <c r="M1315" s="50" t="n">
        <f aca="false">INDEX(Productos!$F$2:$F$13,MATCH($H1315,Productos!$A$2:$A$13,0))</f>
        <v>32</v>
      </c>
      <c r="N1315" s="51" t="n">
        <v>0.168</v>
      </c>
      <c r="O1315" s="52" t="n">
        <f aca="false">M1315*(1-N1315)</f>
        <v>26.624</v>
      </c>
      <c r="P1315" s="21" t="n">
        <f aca="false">L1315*O1315</f>
        <v>2635.776</v>
      </c>
      <c r="Q1315" s="50" t="n">
        <f aca="false">INDEX(Productos!$E$2:$E$13,MATCH($H1315,Productos!$A$2:$A$13,0))*INDEX(Parametros!$B$26:$B$43,MATCH($C1315,Parametros!$A$26:$A$43,0))</f>
        <v>16.7992</v>
      </c>
      <c r="R1315" s="21" t="n">
        <f aca="false">L1315*Q1315</f>
        <v>1663.1208</v>
      </c>
      <c r="S1315" s="18" t="n">
        <f aca="false">L1315*INDEX(Parametros!$B$20:$B$22,MATCH($E1315,Parametros!$A$20:$A$22,0))</f>
        <v>84.15</v>
      </c>
      <c r="T1315" s="18" t="n">
        <f aca="false">P1315*INDEX(Parametros!$B$13:$B$16,MATCH($F1315,Parametros!$A$13:$A$16,0))</f>
        <v>79.07328</v>
      </c>
      <c r="U1315" s="21" t="n">
        <f aca="false">P1315-R1315-S1315-T1315</f>
        <v>809.43192</v>
      </c>
      <c r="V1315" s="19" t="n">
        <f aca="false">IFERROR(U1315/P1315,0)</f>
        <v>0.307094350961538</v>
      </c>
      <c r="W1315" s="48" t="n">
        <f aca="false">B1315+INDEX(Parametros!$C$13:$C$16,MATCH($F1315,Parametros!$A$13:$A$16,0))</f>
        <v>46167</v>
      </c>
      <c r="X1315" s="31" t="s">
        <v>67</v>
      </c>
      <c r="Y1315" s="53" t="n">
        <f aca="false">IF(COUNTIF($A$2:$A1315,A1315)=1,1,0)</f>
        <v>0</v>
      </c>
    </row>
    <row r="1316" customFormat="false" ht="15" hidden="false" customHeight="false" outlineLevel="0" collapsed="false">
      <c r="A1316" s="31" t="s">
        <v>950</v>
      </c>
      <c r="B1316" s="36" t="n">
        <v>46111</v>
      </c>
      <c r="C1316" s="49" t="n">
        <f aca="false">DATE(YEAR(B1316),MONTH(B1316),1)</f>
        <v>46082</v>
      </c>
      <c r="D1316" s="31" t="s">
        <v>215</v>
      </c>
      <c r="E1316" s="31" t="s">
        <v>42</v>
      </c>
      <c r="F1316" s="31" t="s">
        <v>46</v>
      </c>
      <c r="G1316" s="31" t="s">
        <v>61</v>
      </c>
      <c r="H1316" s="31" t="s">
        <v>165</v>
      </c>
      <c r="I1316" s="32" t="str">
        <f aca="false">INDEX(Productos!$B$2:$B$13,MATCH($H1316,Productos!$A$2:$A$13,0))</f>
        <v>Tornillo DIN 933 M8x40 rosca completa zincado</v>
      </c>
      <c r="J1316" s="32" t="str">
        <f aca="false">INDEX(Productos!$C$2:$C$13,MATCH($H1316,Productos!$A$2:$A$13,0))</f>
        <v>Métrica</v>
      </c>
      <c r="K1316" s="31" t="s">
        <v>246</v>
      </c>
      <c r="L1316" s="46" t="n">
        <v>45</v>
      </c>
      <c r="M1316" s="50" t="n">
        <f aca="false">INDEX(Productos!$F$2:$F$13,MATCH($H1316,Productos!$A$2:$A$13,0))</f>
        <v>37.5</v>
      </c>
      <c r="N1316" s="51" t="n">
        <v>0.091</v>
      </c>
      <c r="O1316" s="52" t="n">
        <f aca="false">M1316*(1-N1316)</f>
        <v>34.0875</v>
      </c>
      <c r="P1316" s="21" t="n">
        <f aca="false">L1316*O1316</f>
        <v>1533.9375</v>
      </c>
      <c r="Q1316" s="50" t="n">
        <f aca="false">INDEX(Productos!$E$2:$E$13,MATCH($H1316,Productos!$A$2:$A$13,0))*INDEX(Parametros!$B$26:$B$43,MATCH($C1316,Parametros!$A$26:$A$43,0))</f>
        <v>19.6328</v>
      </c>
      <c r="R1316" s="21" t="n">
        <f aca="false">L1316*Q1316</f>
        <v>883.476</v>
      </c>
      <c r="S1316" s="18" t="n">
        <f aca="false">L1316*INDEX(Parametros!$B$20:$B$22,MATCH($E1316,Parametros!$A$20:$A$22,0))</f>
        <v>108</v>
      </c>
      <c r="T1316" s="18" t="n">
        <f aca="false">P1316*INDEX(Parametros!$B$13:$B$16,MATCH($F1316,Parametros!$A$13:$A$16,0))</f>
        <v>61.3575</v>
      </c>
      <c r="U1316" s="21" t="n">
        <f aca="false">P1316-R1316-S1316-T1316</f>
        <v>481.104</v>
      </c>
      <c r="V1316" s="19" t="n">
        <f aca="false">IFERROR(U1316/P1316,0)</f>
        <v>0.313639897323066</v>
      </c>
      <c r="W1316" s="48" t="n">
        <f aca="false">B1316+INDEX(Parametros!$C$13:$C$16,MATCH($F1316,Parametros!$A$13:$A$16,0))</f>
        <v>46186</v>
      </c>
      <c r="X1316" s="31" t="s">
        <v>67</v>
      </c>
      <c r="Y1316" s="53" t="n">
        <f aca="false">IF(COUNTIF($A$2:$A1316,A1316)=1,1,0)</f>
        <v>1</v>
      </c>
    </row>
    <row r="1317" customFormat="false" ht="15" hidden="false" customHeight="false" outlineLevel="0" collapsed="false">
      <c r="A1317" s="31" t="s">
        <v>950</v>
      </c>
      <c r="B1317" s="36" t="n">
        <v>46111</v>
      </c>
      <c r="C1317" s="49" t="n">
        <f aca="false">DATE(YEAR(B1317),MONTH(B1317),1)</f>
        <v>46082</v>
      </c>
      <c r="D1317" s="31" t="s">
        <v>215</v>
      </c>
      <c r="E1317" s="31" t="s">
        <v>42</v>
      </c>
      <c r="F1317" s="31" t="s">
        <v>46</v>
      </c>
      <c r="G1317" s="31" t="s">
        <v>61</v>
      </c>
      <c r="H1317" s="31" t="s">
        <v>185</v>
      </c>
      <c r="I1317" s="32" t="str">
        <f aca="false">INDEX(Productos!$B$2:$B$13,MATCH($H1317,Productos!$A$2:$A$13,0))</f>
        <v>Varilla roscada M10 x 1 m zincada</v>
      </c>
      <c r="J1317" s="32" t="str">
        <f aca="false">INDEX(Productos!$C$2:$C$13,MATCH($H1317,Productos!$A$2:$A$13,0))</f>
        <v>Especial</v>
      </c>
      <c r="K1317" s="31" t="s">
        <v>246</v>
      </c>
      <c r="L1317" s="46" t="n">
        <v>105</v>
      </c>
      <c r="M1317" s="50" t="n">
        <f aca="false">INDEX(Productos!$F$2:$F$13,MATCH($H1317,Productos!$A$2:$A$13,0))</f>
        <v>54</v>
      </c>
      <c r="N1317" s="51" t="n">
        <v>0.168</v>
      </c>
      <c r="O1317" s="52" t="n">
        <f aca="false">M1317*(1-N1317)</f>
        <v>44.928</v>
      </c>
      <c r="P1317" s="21" t="n">
        <f aca="false">L1317*O1317</f>
        <v>4717.44</v>
      </c>
      <c r="Q1317" s="50" t="n">
        <f aca="false">INDEX(Productos!$E$2:$E$13,MATCH($H1317,Productos!$A$2:$A$13,0))*INDEX(Parametros!$B$26:$B$43,MATCH($C1317,Parametros!$A$26:$A$43,0))</f>
        <v>28.842</v>
      </c>
      <c r="R1317" s="21" t="n">
        <f aca="false">L1317*Q1317</f>
        <v>3028.41</v>
      </c>
      <c r="S1317" s="18" t="n">
        <f aca="false">L1317*INDEX(Parametros!$B$20:$B$22,MATCH($E1317,Parametros!$A$20:$A$22,0))</f>
        <v>252</v>
      </c>
      <c r="T1317" s="18" t="n">
        <f aca="false">P1317*INDEX(Parametros!$B$13:$B$16,MATCH($F1317,Parametros!$A$13:$A$16,0))</f>
        <v>188.6976</v>
      </c>
      <c r="U1317" s="21" t="n">
        <f aca="false">P1317-R1317-S1317-T1317</f>
        <v>1248.3324</v>
      </c>
      <c r="V1317" s="19" t="n">
        <f aca="false">IFERROR(U1317/P1317,0)</f>
        <v>0.264620726495727</v>
      </c>
      <c r="W1317" s="48" t="n">
        <f aca="false">B1317+INDEX(Parametros!$C$13:$C$16,MATCH($F1317,Parametros!$A$13:$A$16,0))</f>
        <v>46186</v>
      </c>
      <c r="X1317" s="31" t="s">
        <v>69</v>
      </c>
      <c r="Y1317" s="53" t="n">
        <f aca="false">IF(COUNTIF($A$2:$A1317,A1317)=1,1,0)</f>
        <v>0</v>
      </c>
    </row>
    <row r="1318" customFormat="false" ht="15" hidden="false" customHeight="false" outlineLevel="0" collapsed="false">
      <c r="A1318" s="31" t="s">
        <v>950</v>
      </c>
      <c r="B1318" s="36" t="n">
        <v>46111</v>
      </c>
      <c r="C1318" s="49" t="n">
        <f aca="false">DATE(YEAR(B1318),MONTH(B1318),1)</f>
        <v>46082</v>
      </c>
      <c r="D1318" s="31" t="s">
        <v>215</v>
      </c>
      <c r="E1318" s="31" t="s">
        <v>42</v>
      </c>
      <c r="F1318" s="31" t="s">
        <v>46</v>
      </c>
      <c r="G1318" s="31" t="s">
        <v>61</v>
      </c>
      <c r="H1318" s="31" t="s">
        <v>163</v>
      </c>
      <c r="I1318" s="32" t="str">
        <f aca="false">INDEX(Productos!$B$2:$B$13,MATCH($H1318,Productos!$A$2:$A$13,0))</f>
        <v>Tornillo DIN 933 M6x30 rosca completa zincado</v>
      </c>
      <c r="J1318" s="32" t="str">
        <f aca="false">INDEX(Productos!$C$2:$C$13,MATCH($H1318,Productos!$A$2:$A$13,0))</f>
        <v>Métrica</v>
      </c>
      <c r="K1318" s="31" t="s">
        <v>246</v>
      </c>
      <c r="L1318" s="46" t="n">
        <v>28</v>
      </c>
      <c r="M1318" s="50" t="n">
        <f aca="false">INDEX(Productos!$F$2:$F$13,MATCH($H1318,Productos!$A$2:$A$13,0))</f>
        <v>32</v>
      </c>
      <c r="N1318" s="51" t="n">
        <v>0.173</v>
      </c>
      <c r="O1318" s="52" t="n">
        <f aca="false">M1318*(1-N1318)</f>
        <v>26.464</v>
      </c>
      <c r="P1318" s="21" t="n">
        <f aca="false">L1318*O1318</f>
        <v>740.992</v>
      </c>
      <c r="Q1318" s="50" t="n">
        <f aca="false">INDEX(Productos!$E$2:$E$13,MATCH($H1318,Productos!$A$2:$A$13,0))*INDEX(Parametros!$B$26:$B$43,MATCH($C1318,Parametros!$A$26:$A$43,0))</f>
        <v>16.7992</v>
      </c>
      <c r="R1318" s="21" t="n">
        <f aca="false">L1318*Q1318</f>
        <v>470.3776</v>
      </c>
      <c r="S1318" s="18" t="n">
        <f aca="false">L1318*INDEX(Parametros!$B$20:$B$22,MATCH($E1318,Parametros!$A$20:$A$22,0))</f>
        <v>67.2</v>
      </c>
      <c r="T1318" s="18" t="n">
        <f aca="false">P1318*INDEX(Parametros!$B$13:$B$16,MATCH($F1318,Parametros!$A$13:$A$16,0))</f>
        <v>29.63968</v>
      </c>
      <c r="U1318" s="21" t="n">
        <f aca="false">P1318-R1318-S1318-T1318</f>
        <v>173.77472</v>
      </c>
      <c r="V1318" s="19" t="n">
        <f aca="false">IFERROR(U1318/P1318,0)</f>
        <v>0.234516324062878</v>
      </c>
      <c r="W1318" s="48" t="n">
        <f aca="false">B1318+INDEX(Parametros!$C$13:$C$16,MATCH($F1318,Parametros!$A$13:$A$16,0))</f>
        <v>46186</v>
      </c>
      <c r="X1318" s="31" t="s">
        <v>67</v>
      </c>
      <c r="Y1318" s="53" t="n">
        <f aca="false">IF(COUNTIF($A$2:$A1318,A1318)=1,1,0)</f>
        <v>0</v>
      </c>
    </row>
    <row r="1319" customFormat="false" ht="15" hidden="false" customHeight="false" outlineLevel="0" collapsed="false">
      <c r="A1319" s="31" t="s">
        <v>950</v>
      </c>
      <c r="B1319" s="36" t="n">
        <v>46111</v>
      </c>
      <c r="C1319" s="49" t="n">
        <f aca="false">DATE(YEAR(B1319),MONTH(B1319),1)</f>
        <v>46082</v>
      </c>
      <c r="D1319" s="31" t="s">
        <v>215</v>
      </c>
      <c r="E1319" s="31" t="s">
        <v>42</v>
      </c>
      <c r="F1319" s="31" t="s">
        <v>46</v>
      </c>
      <c r="G1319" s="31" t="s">
        <v>61</v>
      </c>
      <c r="H1319" s="31" t="s">
        <v>177</v>
      </c>
      <c r="I1319" s="32" t="str">
        <f aca="false">INDEX(Productos!$B$2:$B$13,MATCH($H1319,Productos!$A$2:$A$13,0))</f>
        <v>Tirafondo madera 6x100 cabeza plana Torx</v>
      </c>
      <c r="J1319" s="32" t="str">
        <f aca="false">INDEX(Productos!$C$2:$C$13,MATCH($H1319,Productos!$A$2:$A$13,0))</f>
        <v>Madera</v>
      </c>
      <c r="K1319" s="31" t="s">
        <v>246</v>
      </c>
      <c r="L1319" s="46" t="n">
        <v>91</v>
      </c>
      <c r="M1319" s="50" t="n">
        <f aca="false">INDEX(Productos!$F$2:$F$13,MATCH($H1319,Productos!$A$2:$A$13,0))</f>
        <v>34</v>
      </c>
      <c r="N1319" s="51" t="n">
        <v>0.166</v>
      </c>
      <c r="O1319" s="52" t="n">
        <f aca="false">M1319*(1-N1319)</f>
        <v>28.356</v>
      </c>
      <c r="P1319" s="21" t="n">
        <f aca="false">L1319*O1319</f>
        <v>2580.396</v>
      </c>
      <c r="Q1319" s="50" t="n">
        <f aca="false">INDEX(Productos!$E$2:$E$13,MATCH($H1319,Productos!$A$2:$A$13,0))*INDEX(Parametros!$B$26:$B$43,MATCH($C1319,Parametros!$A$26:$A$43,0))</f>
        <v>18.0136</v>
      </c>
      <c r="R1319" s="21" t="n">
        <f aca="false">L1319*Q1319</f>
        <v>1639.2376</v>
      </c>
      <c r="S1319" s="18" t="n">
        <f aca="false">L1319*INDEX(Parametros!$B$20:$B$22,MATCH($E1319,Parametros!$A$20:$A$22,0))</f>
        <v>218.4</v>
      </c>
      <c r="T1319" s="18" t="n">
        <f aca="false">P1319*INDEX(Parametros!$B$13:$B$16,MATCH($F1319,Parametros!$A$13:$A$16,0))</f>
        <v>103.21584</v>
      </c>
      <c r="U1319" s="21" t="n">
        <f aca="false">P1319-R1319-S1319-T1319</f>
        <v>619.54256</v>
      </c>
      <c r="V1319" s="19" t="n">
        <f aca="false">IFERROR(U1319/P1319,0)</f>
        <v>0.240095923261391</v>
      </c>
      <c r="W1319" s="48" t="n">
        <f aca="false">B1319+INDEX(Parametros!$C$13:$C$16,MATCH($F1319,Parametros!$A$13:$A$16,0))</f>
        <v>46186</v>
      </c>
      <c r="X1319" s="31" t="s">
        <v>69</v>
      </c>
      <c r="Y1319" s="53" t="n">
        <f aca="false">IF(COUNTIF($A$2:$A1319,A1319)=1,1,0)</f>
        <v>0</v>
      </c>
    </row>
    <row r="1320" customFormat="false" ht="15" hidden="false" customHeight="false" outlineLevel="0" collapsed="false">
      <c r="A1320" s="31" t="s">
        <v>951</v>
      </c>
      <c r="B1320" s="36" t="n">
        <v>46111</v>
      </c>
      <c r="C1320" s="49" t="n">
        <f aca="false">DATE(YEAR(B1320),MONTH(B1320),1)</f>
        <v>46082</v>
      </c>
      <c r="D1320" s="31" t="s">
        <v>218</v>
      </c>
      <c r="E1320" s="31" t="s">
        <v>42</v>
      </c>
      <c r="F1320" s="31" t="s">
        <v>45</v>
      </c>
      <c r="G1320" s="31" t="s">
        <v>61</v>
      </c>
      <c r="H1320" s="31" t="s">
        <v>181</v>
      </c>
      <c r="I1320" s="32" t="str">
        <f aca="false">INDEX(Productos!$B$2:$B$13,MATCH($H1320,Productos!$A$2:$A$13,0))</f>
        <v>Autotaladrante 5,5x55 punta broca</v>
      </c>
      <c r="J1320" s="32" t="str">
        <f aca="false">INDEX(Productos!$C$2:$C$13,MATCH($H1320,Productos!$A$2:$A$13,0))</f>
        <v>Autotaladrante</v>
      </c>
      <c r="K1320" s="31" t="s">
        <v>246</v>
      </c>
      <c r="L1320" s="46" t="n">
        <v>34</v>
      </c>
      <c r="M1320" s="50" t="n">
        <f aca="false">INDEX(Productos!$F$2:$F$13,MATCH($H1320,Productos!$A$2:$A$13,0))</f>
        <v>39</v>
      </c>
      <c r="N1320" s="51" t="n">
        <v>0.188</v>
      </c>
      <c r="O1320" s="52" t="n">
        <f aca="false">M1320*(1-N1320)</f>
        <v>31.668</v>
      </c>
      <c r="P1320" s="21" t="n">
        <f aca="false">L1320*O1320</f>
        <v>1076.712</v>
      </c>
      <c r="Q1320" s="50" t="n">
        <f aca="false">INDEX(Productos!$E$2:$E$13,MATCH($H1320,Productos!$A$2:$A$13,0))*INDEX(Parametros!$B$26:$B$43,MATCH($C1320,Parametros!$A$26:$A$43,0))</f>
        <v>20.5436</v>
      </c>
      <c r="R1320" s="21" t="n">
        <f aca="false">L1320*Q1320</f>
        <v>698.4824</v>
      </c>
      <c r="S1320" s="18" t="n">
        <f aca="false">L1320*INDEX(Parametros!$B$20:$B$22,MATCH($E1320,Parametros!$A$20:$A$22,0))</f>
        <v>81.6</v>
      </c>
      <c r="T1320" s="18" t="n">
        <f aca="false">P1320*INDEX(Parametros!$B$13:$B$16,MATCH($F1320,Parametros!$A$13:$A$16,0))</f>
        <v>32.30136</v>
      </c>
      <c r="U1320" s="21" t="n">
        <f aca="false">P1320-R1320-S1320-T1320</f>
        <v>264.32824</v>
      </c>
      <c r="V1320" s="19" t="n">
        <f aca="false">IFERROR(U1320/P1320,0)</f>
        <v>0.245495768599217</v>
      </c>
      <c r="W1320" s="48" t="n">
        <f aca="false">B1320+INDEX(Parametros!$C$13:$C$16,MATCH($F1320,Parametros!$A$13:$A$16,0))</f>
        <v>46171</v>
      </c>
      <c r="X1320" s="31" t="s">
        <v>67</v>
      </c>
      <c r="Y1320" s="53" t="n">
        <f aca="false">IF(COUNTIF($A$2:$A1320,A1320)=1,1,0)</f>
        <v>1</v>
      </c>
    </row>
    <row r="1321" customFormat="false" ht="15" hidden="false" customHeight="false" outlineLevel="0" collapsed="false">
      <c r="A1321" s="31" t="s">
        <v>952</v>
      </c>
      <c r="B1321" s="36" t="n">
        <v>46113</v>
      </c>
      <c r="C1321" s="49" t="n">
        <f aca="false">DATE(YEAR(B1321),MONTH(B1321),1)</f>
        <v>46113</v>
      </c>
      <c r="D1321" s="31" t="s">
        <v>199</v>
      </c>
      <c r="E1321" s="31" t="s">
        <v>41</v>
      </c>
      <c r="F1321" s="31" t="s">
        <v>45</v>
      </c>
      <c r="G1321" s="31" t="s">
        <v>58</v>
      </c>
      <c r="H1321" s="31" t="s">
        <v>183</v>
      </c>
      <c r="I1321" s="32" t="str">
        <f aca="false">INDEX(Productos!$B$2:$B$13,MATCH($H1321,Productos!$A$2:$A$13,0))</f>
        <v>Tornillo estructural M16x90 clase 10.9</v>
      </c>
      <c r="J1321" s="32" t="str">
        <f aca="false">INDEX(Productos!$C$2:$C$13,MATCH($H1321,Productos!$A$2:$A$13,0))</f>
        <v>Especial</v>
      </c>
      <c r="K1321" s="31" t="s">
        <v>246</v>
      </c>
      <c r="L1321" s="46" t="n">
        <v>46</v>
      </c>
      <c r="M1321" s="50" t="n">
        <f aca="false">INDEX(Productos!$F$2:$F$13,MATCH($H1321,Productos!$A$2:$A$13,0))</f>
        <v>112</v>
      </c>
      <c r="N1321" s="51" t="n">
        <v>0.185</v>
      </c>
      <c r="O1321" s="52" t="n">
        <f aca="false">M1321*(1-N1321)</f>
        <v>91.28</v>
      </c>
      <c r="P1321" s="21" t="n">
        <f aca="false">L1321*O1321</f>
        <v>4198.88</v>
      </c>
      <c r="Q1321" s="50" t="n">
        <f aca="false">INDEX(Productos!$E$2:$E$13,MATCH($H1321,Productos!$A$2:$A$13,0))*INDEX(Parametros!$B$26:$B$43,MATCH($C1321,Parametros!$A$26:$A$43,0))</f>
        <v>60.36</v>
      </c>
      <c r="R1321" s="21" t="n">
        <f aca="false">L1321*Q1321</f>
        <v>2776.56</v>
      </c>
      <c r="S1321" s="18" t="n">
        <f aca="false">L1321*INDEX(Parametros!$B$20:$B$22,MATCH($E1321,Parametros!$A$20:$A$22,0))</f>
        <v>39.1</v>
      </c>
      <c r="T1321" s="18" t="n">
        <f aca="false">P1321*INDEX(Parametros!$B$13:$B$16,MATCH($F1321,Parametros!$A$13:$A$16,0))</f>
        <v>125.9664</v>
      </c>
      <c r="U1321" s="21" t="n">
        <f aca="false">P1321-R1321-S1321-T1321</f>
        <v>1257.2536</v>
      </c>
      <c r="V1321" s="19" t="n">
        <f aca="false">IFERROR(U1321/P1321,0)</f>
        <v>0.299425942156004</v>
      </c>
      <c r="W1321" s="48" t="n">
        <f aca="false">B1321+INDEX(Parametros!$C$13:$C$16,MATCH($F1321,Parametros!$A$13:$A$16,0))</f>
        <v>46173</v>
      </c>
      <c r="X1321" s="31" t="s">
        <v>67</v>
      </c>
      <c r="Y1321" s="53" t="n">
        <f aca="false">IF(COUNTIF($A$2:$A1321,A1321)=1,1,0)</f>
        <v>1</v>
      </c>
    </row>
    <row r="1322" customFormat="false" ht="15" hidden="false" customHeight="false" outlineLevel="0" collapsed="false">
      <c r="A1322" s="31" t="s">
        <v>952</v>
      </c>
      <c r="B1322" s="36" t="n">
        <v>46113</v>
      </c>
      <c r="C1322" s="49" t="n">
        <f aca="false">DATE(YEAR(B1322),MONTH(B1322),1)</f>
        <v>46113</v>
      </c>
      <c r="D1322" s="31" t="s">
        <v>199</v>
      </c>
      <c r="E1322" s="31" t="s">
        <v>41</v>
      </c>
      <c r="F1322" s="31" t="s">
        <v>45</v>
      </c>
      <c r="G1322" s="31" t="s">
        <v>58</v>
      </c>
      <c r="H1322" s="31" t="s">
        <v>177</v>
      </c>
      <c r="I1322" s="32" t="str">
        <f aca="false">INDEX(Productos!$B$2:$B$13,MATCH($H1322,Productos!$A$2:$A$13,0))</f>
        <v>Tirafondo madera 6x100 cabeza plana Torx</v>
      </c>
      <c r="J1322" s="32" t="str">
        <f aca="false">INDEX(Productos!$C$2:$C$13,MATCH($H1322,Productos!$A$2:$A$13,0))</f>
        <v>Madera</v>
      </c>
      <c r="K1322" s="31" t="s">
        <v>246</v>
      </c>
      <c r="L1322" s="46" t="n">
        <v>31</v>
      </c>
      <c r="M1322" s="50" t="n">
        <f aca="false">INDEX(Productos!$F$2:$F$13,MATCH($H1322,Productos!$A$2:$A$13,0))</f>
        <v>34</v>
      </c>
      <c r="N1322" s="51" t="n">
        <v>0.183</v>
      </c>
      <c r="O1322" s="52" t="n">
        <f aca="false">M1322*(1-N1322)</f>
        <v>27.778</v>
      </c>
      <c r="P1322" s="21" t="n">
        <f aca="false">L1322*O1322</f>
        <v>861.118</v>
      </c>
      <c r="Q1322" s="50" t="n">
        <f aca="false">INDEX(Productos!$E$2:$E$13,MATCH($H1322,Productos!$A$2:$A$13,0))*INDEX(Parametros!$B$26:$B$43,MATCH($C1322,Parametros!$A$26:$A$43,0))</f>
        <v>17.9068</v>
      </c>
      <c r="R1322" s="21" t="n">
        <f aca="false">L1322*Q1322</f>
        <v>555.1108</v>
      </c>
      <c r="S1322" s="18" t="n">
        <f aca="false">L1322*INDEX(Parametros!$B$20:$B$22,MATCH($E1322,Parametros!$A$20:$A$22,0))</f>
        <v>26.35</v>
      </c>
      <c r="T1322" s="18" t="n">
        <f aca="false">P1322*INDEX(Parametros!$B$13:$B$16,MATCH($F1322,Parametros!$A$13:$A$16,0))</f>
        <v>25.83354</v>
      </c>
      <c r="U1322" s="21" t="n">
        <f aca="false">P1322-R1322-S1322-T1322</f>
        <v>253.82366</v>
      </c>
      <c r="V1322" s="19" t="n">
        <f aca="false">IFERROR(U1322/P1322,0)</f>
        <v>0.294760601915185</v>
      </c>
      <c r="W1322" s="48" t="n">
        <f aca="false">B1322+INDEX(Parametros!$C$13:$C$16,MATCH($F1322,Parametros!$A$13:$A$16,0))</f>
        <v>46173</v>
      </c>
      <c r="X1322" s="31" t="s">
        <v>67</v>
      </c>
      <c r="Y1322" s="53" t="n">
        <f aca="false">IF(COUNTIF($A$2:$A1322,A1322)=1,1,0)</f>
        <v>0</v>
      </c>
    </row>
    <row r="1323" customFormat="false" ht="15" hidden="false" customHeight="false" outlineLevel="0" collapsed="false">
      <c r="A1323" s="31" t="s">
        <v>952</v>
      </c>
      <c r="B1323" s="36" t="n">
        <v>46113</v>
      </c>
      <c r="C1323" s="49" t="n">
        <f aca="false">DATE(YEAR(B1323),MONTH(B1323),1)</f>
        <v>46113</v>
      </c>
      <c r="D1323" s="31" t="s">
        <v>199</v>
      </c>
      <c r="E1323" s="31" t="s">
        <v>41</v>
      </c>
      <c r="F1323" s="31" t="s">
        <v>45</v>
      </c>
      <c r="G1323" s="31" t="s">
        <v>58</v>
      </c>
      <c r="H1323" s="31" t="s">
        <v>167</v>
      </c>
      <c r="I1323" s="32" t="str">
        <f aca="false">INDEX(Productos!$B$2:$B$13,MATCH($H1323,Productos!$A$2:$A$13,0))</f>
        <v>Tornillo DIN 912 M6x25 Allen zincado</v>
      </c>
      <c r="J1323" s="32" t="str">
        <f aca="false">INDEX(Productos!$C$2:$C$13,MATCH($H1323,Productos!$A$2:$A$13,0))</f>
        <v>Métrica</v>
      </c>
      <c r="K1323" s="31" t="s">
        <v>246</v>
      </c>
      <c r="L1323" s="46" t="n">
        <v>58</v>
      </c>
      <c r="M1323" s="50" t="n">
        <f aca="false">INDEX(Productos!$F$2:$F$13,MATCH($H1323,Productos!$A$2:$A$13,0))</f>
        <v>42</v>
      </c>
      <c r="N1323" s="51" t="n">
        <v>0.187</v>
      </c>
      <c r="O1323" s="52" t="n">
        <f aca="false">M1323*(1-N1323)</f>
        <v>34.146</v>
      </c>
      <c r="P1323" s="21" t="n">
        <f aca="false">L1323*O1323</f>
        <v>1980.468</v>
      </c>
      <c r="Q1323" s="50" t="n">
        <f aca="false">INDEX(Productos!$E$2:$E$13,MATCH($H1323,Productos!$A$2:$A$13,0))*INDEX(Parametros!$B$26:$B$43,MATCH($C1323,Parametros!$A$26:$A$43,0))</f>
        <v>21.9308</v>
      </c>
      <c r="R1323" s="21" t="n">
        <f aca="false">L1323*Q1323</f>
        <v>1271.9864</v>
      </c>
      <c r="S1323" s="18" t="n">
        <f aca="false">L1323*INDEX(Parametros!$B$20:$B$22,MATCH($E1323,Parametros!$A$20:$A$22,0))</f>
        <v>49.3</v>
      </c>
      <c r="T1323" s="18" t="n">
        <f aca="false">P1323*INDEX(Parametros!$B$13:$B$16,MATCH($F1323,Parametros!$A$13:$A$16,0))</f>
        <v>59.41404</v>
      </c>
      <c r="U1323" s="21" t="n">
        <f aca="false">P1323-R1323-S1323-T1323</f>
        <v>599.76756</v>
      </c>
      <c r="V1323" s="19" t="n">
        <f aca="false">IFERROR(U1323/P1323,0)</f>
        <v>0.302841328413284</v>
      </c>
      <c r="W1323" s="48" t="n">
        <f aca="false">B1323+INDEX(Parametros!$C$13:$C$16,MATCH($F1323,Parametros!$A$13:$A$16,0))</f>
        <v>46173</v>
      </c>
      <c r="X1323" s="31" t="s">
        <v>67</v>
      </c>
      <c r="Y1323" s="53" t="n">
        <f aca="false">IF(COUNTIF($A$2:$A1323,A1323)=1,1,0)</f>
        <v>0</v>
      </c>
    </row>
    <row r="1324" customFormat="false" ht="15" hidden="false" customHeight="false" outlineLevel="0" collapsed="false">
      <c r="A1324" s="31" t="s">
        <v>953</v>
      </c>
      <c r="B1324" s="36" t="n">
        <v>46115</v>
      </c>
      <c r="C1324" s="49" t="n">
        <f aca="false">DATE(YEAR(B1324),MONTH(B1324),1)</f>
        <v>46113</v>
      </c>
      <c r="D1324" s="31" t="s">
        <v>222</v>
      </c>
      <c r="E1324" s="31" t="s">
        <v>43</v>
      </c>
      <c r="F1324" s="31" t="s">
        <v>45</v>
      </c>
      <c r="G1324" s="31" t="s">
        <v>59</v>
      </c>
      <c r="H1324" s="31" t="s">
        <v>173</v>
      </c>
      <c r="I1324" s="32" t="str">
        <f aca="false">INDEX(Productos!$B$2:$B$13,MATCH($H1324,Productos!$A$2:$A$13,0))</f>
        <v>Tornillo DIN 933 M12x70 clase 8.8</v>
      </c>
      <c r="J1324" s="32" t="str">
        <f aca="false">INDEX(Productos!$C$2:$C$13,MATCH($H1324,Productos!$A$2:$A$13,0))</f>
        <v>Métrica</v>
      </c>
      <c r="K1324" s="31" t="s">
        <v>246</v>
      </c>
      <c r="L1324" s="46" t="n">
        <v>92</v>
      </c>
      <c r="M1324" s="50" t="n">
        <f aca="false">INDEX(Productos!$F$2:$F$13,MATCH($H1324,Productos!$A$2:$A$13,0))</f>
        <v>64</v>
      </c>
      <c r="N1324" s="51" t="n">
        <v>0.206</v>
      </c>
      <c r="O1324" s="52" t="n">
        <f aca="false">M1324*(1-N1324)</f>
        <v>50.816</v>
      </c>
      <c r="P1324" s="21" t="n">
        <f aca="false">L1324*O1324</f>
        <v>4675.072</v>
      </c>
      <c r="Q1324" s="50" t="n">
        <f aca="false">INDEX(Productos!$E$2:$E$13,MATCH($H1324,Productos!$A$2:$A$13,0))*INDEX(Parametros!$B$26:$B$43,MATCH($C1324,Parametros!$A$26:$A$43,0))</f>
        <v>33.701</v>
      </c>
      <c r="R1324" s="21" t="n">
        <f aca="false">L1324*Q1324</f>
        <v>3100.492</v>
      </c>
      <c r="S1324" s="18" t="n">
        <f aca="false">L1324*INDEX(Parametros!$B$20:$B$22,MATCH($E1324,Parametros!$A$20:$A$22,0))</f>
        <v>174.8</v>
      </c>
      <c r="T1324" s="18" t="n">
        <f aca="false">P1324*INDEX(Parametros!$B$13:$B$16,MATCH($F1324,Parametros!$A$13:$A$16,0))</f>
        <v>140.25216</v>
      </c>
      <c r="U1324" s="21" t="n">
        <f aca="false">P1324-R1324-S1324-T1324</f>
        <v>1259.52784</v>
      </c>
      <c r="V1324" s="19" t="n">
        <f aca="false">IFERROR(U1324/P1324,0)</f>
        <v>0.269413570528967</v>
      </c>
      <c r="W1324" s="48" t="n">
        <f aca="false">B1324+INDEX(Parametros!$C$13:$C$16,MATCH($F1324,Parametros!$A$13:$A$16,0))</f>
        <v>46175</v>
      </c>
      <c r="X1324" s="31" t="s">
        <v>67</v>
      </c>
      <c r="Y1324" s="53" t="n">
        <f aca="false">IF(COUNTIF($A$2:$A1324,A1324)=1,1,0)</f>
        <v>1</v>
      </c>
    </row>
    <row r="1325" customFormat="false" ht="15" hidden="false" customHeight="false" outlineLevel="0" collapsed="false">
      <c r="A1325" s="31" t="s">
        <v>954</v>
      </c>
      <c r="B1325" s="36" t="n">
        <v>46115</v>
      </c>
      <c r="C1325" s="49" t="n">
        <f aca="false">DATE(YEAR(B1325),MONTH(B1325),1)</f>
        <v>46113</v>
      </c>
      <c r="D1325" s="31" t="s">
        <v>191</v>
      </c>
      <c r="E1325" s="31" t="s">
        <v>41</v>
      </c>
      <c r="F1325" s="31" t="s">
        <v>47</v>
      </c>
      <c r="G1325" s="31" t="s">
        <v>58</v>
      </c>
      <c r="H1325" s="31" t="s">
        <v>179</v>
      </c>
      <c r="I1325" s="32" t="str">
        <f aca="false">INDEX(Productos!$B$2:$B$13,MATCH($H1325,Productos!$A$2:$A$13,0))</f>
        <v>Autotaladrante DIN 7504 4,8x38 zincado</v>
      </c>
      <c r="J1325" s="32" t="str">
        <f aca="false">INDEX(Productos!$C$2:$C$13,MATCH($H1325,Productos!$A$2:$A$13,0))</f>
        <v>Autotaladrante</v>
      </c>
      <c r="K1325" s="31" t="s">
        <v>246</v>
      </c>
      <c r="L1325" s="46" t="n">
        <v>14</v>
      </c>
      <c r="M1325" s="50" t="n">
        <f aca="false">INDEX(Productos!$F$2:$F$13,MATCH($H1325,Productos!$A$2:$A$13,0))</f>
        <v>29.5</v>
      </c>
      <c r="N1325" s="51" t="n">
        <v>0.043</v>
      </c>
      <c r="O1325" s="52" t="n">
        <f aca="false">M1325*(1-N1325)</f>
        <v>28.2315</v>
      </c>
      <c r="P1325" s="21" t="n">
        <f aca="false">L1325*O1325</f>
        <v>395.241</v>
      </c>
      <c r="Q1325" s="50" t="n">
        <f aca="false">INDEX(Productos!$E$2:$E$13,MATCH($H1325,Productos!$A$2:$A$13,0))*INDEX(Parametros!$B$26:$B$43,MATCH($C1325,Parametros!$A$26:$A$43,0))</f>
        <v>15.2912</v>
      </c>
      <c r="R1325" s="21" t="n">
        <f aca="false">L1325*Q1325</f>
        <v>214.0768</v>
      </c>
      <c r="S1325" s="18" t="n">
        <f aca="false">L1325*INDEX(Parametros!$B$20:$B$22,MATCH($E1325,Parametros!$A$20:$A$22,0))</f>
        <v>11.9</v>
      </c>
      <c r="T1325" s="18" t="n">
        <f aca="false">P1325*INDEX(Parametros!$B$13:$B$16,MATCH($F1325,Parametros!$A$13:$A$16,0))</f>
        <v>13.833435</v>
      </c>
      <c r="U1325" s="21" t="n">
        <f aca="false">P1325-R1325-S1325-T1325</f>
        <v>155.430765</v>
      </c>
      <c r="V1325" s="19" t="n">
        <f aca="false">IFERROR(U1325/P1325,0)</f>
        <v>0.393255671855906</v>
      </c>
      <c r="W1325" s="48" t="n">
        <f aca="false">B1325+INDEX(Parametros!$C$13:$C$16,MATCH($F1325,Parametros!$A$13:$A$16,0))</f>
        <v>46160</v>
      </c>
      <c r="X1325" s="31" t="s">
        <v>67</v>
      </c>
      <c r="Y1325" s="53" t="n">
        <f aca="false">IF(COUNTIF($A$2:$A1325,A1325)=1,1,0)</f>
        <v>1</v>
      </c>
    </row>
    <row r="1326" customFormat="false" ht="15" hidden="false" customHeight="false" outlineLevel="0" collapsed="false">
      <c r="A1326" s="31" t="s">
        <v>954</v>
      </c>
      <c r="B1326" s="36" t="n">
        <v>46115</v>
      </c>
      <c r="C1326" s="49" t="n">
        <f aca="false">DATE(YEAR(B1326),MONTH(B1326),1)</f>
        <v>46113</v>
      </c>
      <c r="D1326" s="31" t="s">
        <v>191</v>
      </c>
      <c r="E1326" s="31" t="s">
        <v>41</v>
      </c>
      <c r="F1326" s="31" t="s">
        <v>47</v>
      </c>
      <c r="G1326" s="31" t="s">
        <v>58</v>
      </c>
      <c r="H1326" s="31" t="s">
        <v>175</v>
      </c>
      <c r="I1326" s="32" t="str">
        <f aca="false">INDEX(Productos!$B$2:$B$13,MATCH($H1326,Productos!$A$2:$A$13,0))</f>
        <v>Tirafondo madera 5x60 cabeza plana Torx</v>
      </c>
      <c r="J1326" s="32" t="str">
        <f aca="false">INDEX(Productos!$C$2:$C$13,MATCH($H1326,Productos!$A$2:$A$13,0))</f>
        <v>Madera</v>
      </c>
      <c r="K1326" s="31" t="s">
        <v>246</v>
      </c>
      <c r="L1326" s="46" t="n">
        <v>51</v>
      </c>
      <c r="M1326" s="50" t="n">
        <f aca="false">INDEX(Productos!$F$2:$F$13,MATCH($H1326,Productos!$A$2:$A$13,0))</f>
        <v>26</v>
      </c>
      <c r="N1326" s="51" t="n">
        <v>0.075</v>
      </c>
      <c r="O1326" s="52" t="n">
        <f aca="false">M1326*(1-N1326)</f>
        <v>24.05</v>
      </c>
      <c r="P1326" s="21" t="n">
        <f aca="false">L1326*O1326</f>
        <v>1226.55</v>
      </c>
      <c r="Q1326" s="50" t="n">
        <f aca="false">INDEX(Productos!$E$2:$E$13,MATCH($H1326,Productos!$A$2:$A$13,0))*INDEX(Parametros!$B$26:$B$43,MATCH($C1326,Parametros!$A$26:$A$43,0))</f>
        <v>13.4804</v>
      </c>
      <c r="R1326" s="21" t="n">
        <f aca="false">L1326*Q1326</f>
        <v>687.5004</v>
      </c>
      <c r="S1326" s="18" t="n">
        <f aca="false">L1326*INDEX(Parametros!$B$20:$B$22,MATCH($E1326,Parametros!$A$20:$A$22,0))</f>
        <v>43.35</v>
      </c>
      <c r="T1326" s="18" t="n">
        <f aca="false">P1326*INDEX(Parametros!$B$13:$B$16,MATCH($F1326,Parametros!$A$13:$A$16,0))</f>
        <v>42.92925</v>
      </c>
      <c r="U1326" s="21" t="n">
        <f aca="false">P1326-R1326-S1326-T1326</f>
        <v>452.77035</v>
      </c>
      <c r="V1326" s="19" t="n">
        <f aca="false">IFERROR(U1326/P1326,0)</f>
        <v>0.369141372141372</v>
      </c>
      <c r="W1326" s="48" t="n">
        <f aca="false">B1326+INDEX(Parametros!$C$13:$C$16,MATCH($F1326,Parametros!$A$13:$A$16,0))</f>
        <v>46160</v>
      </c>
      <c r="X1326" s="31" t="s">
        <v>67</v>
      </c>
      <c r="Y1326" s="53" t="n">
        <f aca="false">IF(COUNTIF($A$2:$A1326,A1326)=1,1,0)</f>
        <v>0</v>
      </c>
    </row>
    <row r="1327" customFormat="false" ht="15" hidden="false" customHeight="false" outlineLevel="0" collapsed="false">
      <c r="A1327" s="31" t="s">
        <v>954</v>
      </c>
      <c r="B1327" s="36" t="n">
        <v>46115</v>
      </c>
      <c r="C1327" s="49" t="n">
        <f aca="false">DATE(YEAR(B1327),MONTH(B1327),1)</f>
        <v>46113</v>
      </c>
      <c r="D1327" s="31" t="s">
        <v>191</v>
      </c>
      <c r="E1327" s="31" t="s">
        <v>41</v>
      </c>
      <c r="F1327" s="31" t="s">
        <v>47</v>
      </c>
      <c r="G1327" s="31" t="s">
        <v>58</v>
      </c>
      <c r="H1327" s="31" t="s">
        <v>177</v>
      </c>
      <c r="I1327" s="32" t="str">
        <f aca="false">INDEX(Productos!$B$2:$B$13,MATCH($H1327,Productos!$A$2:$A$13,0))</f>
        <v>Tirafondo madera 6x100 cabeza plana Torx</v>
      </c>
      <c r="J1327" s="32" t="str">
        <f aca="false">INDEX(Productos!$C$2:$C$13,MATCH($H1327,Productos!$A$2:$A$13,0))</f>
        <v>Madera</v>
      </c>
      <c r="K1327" s="31" t="s">
        <v>246</v>
      </c>
      <c r="L1327" s="46" t="n">
        <v>13</v>
      </c>
      <c r="M1327" s="50" t="n">
        <f aca="false">INDEX(Productos!$F$2:$F$13,MATCH($H1327,Productos!$A$2:$A$13,0))</f>
        <v>34</v>
      </c>
      <c r="N1327" s="51" t="n">
        <v>0.045</v>
      </c>
      <c r="O1327" s="52" t="n">
        <f aca="false">M1327*(1-N1327)</f>
        <v>32.47</v>
      </c>
      <c r="P1327" s="21" t="n">
        <f aca="false">L1327*O1327</f>
        <v>422.11</v>
      </c>
      <c r="Q1327" s="50" t="n">
        <f aca="false">INDEX(Productos!$E$2:$E$13,MATCH($H1327,Productos!$A$2:$A$13,0))*INDEX(Parametros!$B$26:$B$43,MATCH($C1327,Parametros!$A$26:$A$43,0))</f>
        <v>17.9068</v>
      </c>
      <c r="R1327" s="21" t="n">
        <f aca="false">L1327*Q1327</f>
        <v>232.7884</v>
      </c>
      <c r="S1327" s="18" t="n">
        <f aca="false">L1327*INDEX(Parametros!$B$20:$B$22,MATCH($E1327,Parametros!$A$20:$A$22,0))</f>
        <v>11.05</v>
      </c>
      <c r="T1327" s="18" t="n">
        <f aca="false">P1327*INDEX(Parametros!$B$13:$B$16,MATCH($F1327,Parametros!$A$13:$A$16,0))</f>
        <v>14.77385</v>
      </c>
      <c r="U1327" s="21" t="n">
        <f aca="false">P1327-R1327-S1327-T1327</f>
        <v>163.49775</v>
      </c>
      <c r="V1327" s="19" t="n">
        <f aca="false">IFERROR(U1327/P1327,0)</f>
        <v>0.387334462580844</v>
      </c>
      <c r="W1327" s="48" t="n">
        <f aca="false">B1327+INDEX(Parametros!$C$13:$C$16,MATCH($F1327,Parametros!$A$13:$A$16,0))</f>
        <v>46160</v>
      </c>
      <c r="X1327" s="31" t="s">
        <v>67</v>
      </c>
      <c r="Y1327" s="53" t="n">
        <f aca="false">IF(COUNTIF($A$2:$A1327,A1327)=1,1,0)</f>
        <v>0</v>
      </c>
    </row>
    <row r="1328" customFormat="false" ht="15" hidden="false" customHeight="false" outlineLevel="0" collapsed="false">
      <c r="A1328" s="31" t="s">
        <v>954</v>
      </c>
      <c r="B1328" s="36" t="n">
        <v>46115</v>
      </c>
      <c r="C1328" s="49" t="n">
        <f aca="false">DATE(YEAR(B1328),MONTH(B1328),1)</f>
        <v>46113</v>
      </c>
      <c r="D1328" s="31" t="s">
        <v>191</v>
      </c>
      <c r="E1328" s="31" t="s">
        <v>41</v>
      </c>
      <c r="F1328" s="31" t="s">
        <v>47</v>
      </c>
      <c r="G1328" s="31" t="s">
        <v>58</v>
      </c>
      <c r="H1328" s="31" t="s">
        <v>169</v>
      </c>
      <c r="I1328" s="32" t="str">
        <f aca="false">INDEX(Productos!$B$2:$B$13,MATCH($H1328,Productos!$A$2:$A$13,0))</f>
        <v>Tornillo DIN 912 M10x60 Allen inox A2</v>
      </c>
      <c r="J1328" s="32" t="str">
        <f aca="false">INDEX(Productos!$C$2:$C$13,MATCH($H1328,Productos!$A$2:$A$13,0))</f>
        <v>Inoxidable</v>
      </c>
      <c r="K1328" s="31" t="s">
        <v>246</v>
      </c>
      <c r="L1328" s="46" t="n">
        <v>53</v>
      </c>
      <c r="M1328" s="50" t="n">
        <f aca="false">INDEX(Productos!$F$2:$F$13,MATCH($H1328,Productos!$A$2:$A$13,0))</f>
        <v>79</v>
      </c>
      <c r="N1328" s="51" t="n">
        <v>0.094</v>
      </c>
      <c r="O1328" s="52" t="n">
        <f aca="false">M1328*(1-N1328)</f>
        <v>71.574</v>
      </c>
      <c r="P1328" s="21" t="n">
        <f aca="false">L1328*O1328</f>
        <v>3793.422</v>
      </c>
      <c r="Q1328" s="50" t="n">
        <f aca="false">INDEX(Productos!$E$2:$E$13,MATCH($H1328,Productos!$A$2:$A$13,0))*INDEX(Parametros!$B$26:$B$43,MATCH($C1328,Parametros!$A$26:$A$43,0))</f>
        <v>42.252</v>
      </c>
      <c r="R1328" s="21" t="n">
        <f aca="false">L1328*Q1328</f>
        <v>2239.356</v>
      </c>
      <c r="S1328" s="18" t="n">
        <f aca="false">L1328*INDEX(Parametros!$B$20:$B$22,MATCH($E1328,Parametros!$A$20:$A$22,0))</f>
        <v>45.05</v>
      </c>
      <c r="T1328" s="18" t="n">
        <f aca="false">P1328*INDEX(Parametros!$B$13:$B$16,MATCH($F1328,Parametros!$A$13:$A$16,0))</f>
        <v>132.76977</v>
      </c>
      <c r="U1328" s="21" t="n">
        <f aca="false">P1328-R1328-S1328-T1328</f>
        <v>1376.24623</v>
      </c>
      <c r="V1328" s="19" t="n">
        <f aca="false">IFERROR(U1328/P1328,0)</f>
        <v>0.362798083102803</v>
      </c>
      <c r="W1328" s="48" t="n">
        <f aca="false">B1328+INDEX(Parametros!$C$13:$C$16,MATCH($F1328,Parametros!$A$13:$A$16,0))</f>
        <v>46160</v>
      </c>
      <c r="X1328" s="31" t="s">
        <v>67</v>
      </c>
      <c r="Y1328" s="53" t="n">
        <f aca="false">IF(COUNTIF($A$2:$A1328,A1328)=1,1,0)</f>
        <v>0</v>
      </c>
    </row>
    <row r="1329" customFormat="false" ht="15" hidden="false" customHeight="false" outlineLevel="0" collapsed="false">
      <c r="A1329" s="31" t="s">
        <v>955</v>
      </c>
      <c r="B1329" s="36" t="n">
        <v>46115</v>
      </c>
      <c r="C1329" s="49" t="n">
        <f aca="false">DATE(YEAR(B1329),MONTH(B1329),1)</f>
        <v>46113</v>
      </c>
      <c r="D1329" s="31" t="s">
        <v>193</v>
      </c>
      <c r="E1329" s="31" t="s">
        <v>41</v>
      </c>
      <c r="F1329" s="31" t="s">
        <v>45</v>
      </c>
      <c r="G1329" s="31" t="s">
        <v>62</v>
      </c>
      <c r="H1329" s="31" t="s">
        <v>171</v>
      </c>
      <c r="I1329" s="32" t="str">
        <f aca="false">INDEX(Productos!$B$2:$B$13,MATCH($H1329,Productos!$A$2:$A$13,0))</f>
        <v>Tornillo DIN 7991 M8x30 avellanado inox A2</v>
      </c>
      <c r="J1329" s="32" t="str">
        <f aca="false">INDEX(Productos!$C$2:$C$13,MATCH($H1329,Productos!$A$2:$A$13,0))</f>
        <v>Inoxidable</v>
      </c>
      <c r="K1329" s="31" t="s">
        <v>246</v>
      </c>
      <c r="L1329" s="46" t="n">
        <v>63</v>
      </c>
      <c r="M1329" s="50" t="n">
        <f aca="false">INDEX(Productos!$F$2:$F$13,MATCH($H1329,Productos!$A$2:$A$13,0))</f>
        <v>88</v>
      </c>
      <c r="N1329" s="51" t="n">
        <v>0.16</v>
      </c>
      <c r="O1329" s="52" t="n">
        <f aca="false">M1329*(1-N1329)</f>
        <v>73.92</v>
      </c>
      <c r="P1329" s="21" t="n">
        <f aca="false">L1329*O1329</f>
        <v>4656.96</v>
      </c>
      <c r="Q1329" s="50" t="n">
        <f aca="false">INDEX(Productos!$E$2:$E$13,MATCH($H1329,Productos!$A$2:$A$13,0))*INDEX(Parametros!$B$26:$B$43,MATCH($C1329,Parametros!$A$26:$A$43,0))</f>
        <v>46.779</v>
      </c>
      <c r="R1329" s="21" t="n">
        <f aca="false">L1329*Q1329</f>
        <v>2947.077</v>
      </c>
      <c r="S1329" s="18" t="n">
        <f aca="false">L1329*INDEX(Parametros!$B$20:$B$22,MATCH($E1329,Parametros!$A$20:$A$22,0))</f>
        <v>53.55</v>
      </c>
      <c r="T1329" s="18" t="n">
        <f aca="false">P1329*INDEX(Parametros!$B$13:$B$16,MATCH($F1329,Parametros!$A$13:$A$16,0))</f>
        <v>139.7088</v>
      </c>
      <c r="U1329" s="21" t="n">
        <f aca="false">P1329-R1329-S1329-T1329</f>
        <v>1516.6242</v>
      </c>
      <c r="V1329" s="19" t="n">
        <f aca="false">IFERROR(U1329/P1329,0)</f>
        <v>0.32566829004329</v>
      </c>
      <c r="W1329" s="48" t="n">
        <f aca="false">B1329+INDEX(Parametros!$C$13:$C$16,MATCH($F1329,Parametros!$A$13:$A$16,0))</f>
        <v>46175</v>
      </c>
      <c r="X1329" s="31" t="s">
        <v>67</v>
      </c>
      <c r="Y1329" s="53" t="n">
        <f aca="false">IF(COUNTIF($A$2:$A1329,A1329)=1,1,0)</f>
        <v>1</v>
      </c>
    </row>
    <row r="1330" customFormat="false" ht="15" hidden="false" customHeight="false" outlineLevel="0" collapsed="false">
      <c r="A1330" s="31" t="s">
        <v>956</v>
      </c>
      <c r="B1330" s="36" t="n">
        <v>46115</v>
      </c>
      <c r="C1330" s="49" t="n">
        <f aca="false">DATE(YEAR(B1330),MONTH(B1330),1)</f>
        <v>46113</v>
      </c>
      <c r="D1330" s="31" t="s">
        <v>221</v>
      </c>
      <c r="E1330" s="31" t="s">
        <v>43</v>
      </c>
      <c r="F1330" s="31" t="s">
        <v>45</v>
      </c>
      <c r="G1330" s="31" t="s">
        <v>59</v>
      </c>
      <c r="H1330" s="31" t="s">
        <v>169</v>
      </c>
      <c r="I1330" s="32" t="str">
        <f aca="false">INDEX(Productos!$B$2:$B$13,MATCH($H1330,Productos!$A$2:$A$13,0))</f>
        <v>Tornillo DIN 912 M10x60 Allen inox A2</v>
      </c>
      <c r="J1330" s="32" t="str">
        <f aca="false">INDEX(Productos!$C$2:$C$13,MATCH($H1330,Productos!$A$2:$A$13,0))</f>
        <v>Inoxidable</v>
      </c>
      <c r="K1330" s="31" t="s">
        <v>246</v>
      </c>
      <c r="L1330" s="46" t="n">
        <v>133</v>
      </c>
      <c r="M1330" s="50" t="n">
        <f aca="false">INDEX(Productos!$F$2:$F$13,MATCH($H1330,Productos!$A$2:$A$13,0))</f>
        <v>79</v>
      </c>
      <c r="N1330" s="51" t="n">
        <v>0.158</v>
      </c>
      <c r="O1330" s="52" t="n">
        <f aca="false">M1330*(1-N1330)</f>
        <v>66.518</v>
      </c>
      <c r="P1330" s="21" t="n">
        <f aca="false">L1330*O1330</f>
        <v>8846.894</v>
      </c>
      <c r="Q1330" s="50" t="n">
        <f aca="false">INDEX(Productos!$E$2:$E$13,MATCH($H1330,Productos!$A$2:$A$13,0))*INDEX(Parametros!$B$26:$B$43,MATCH($C1330,Parametros!$A$26:$A$43,0))</f>
        <v>42.252</v>
      </c>
      <c r="R1330" s="21" t="n">
        <f aca="false">L1330*Q1330</f>
        <v>5619.516</v>
      </c>
      <c r="S1330" s="18" t="n">
        <f aca="false">L1330*INDEX(Parametros!$B$20:$B$22,MATCH($E1330,Parametros!$A$20:$A$22,0))</f>
        <v>252.7</v>
      </c>
      <c r="T1330" s="18" t="n">
        <f aca="false">P1330*INDEX(Parametros!$B$13:$B$16,MATCH($F1330,Parametros!$A$13:$A$16,0))</f>
        <v>265.40682</v>
      </c>
      <c r="U1330" s="21" t="n">
        <f aca="false">P1330-R1330-S1330-T1330</f>
        <v>2709.27118</v>
      </c>
      <c r="V1330" s="19" t="n">
        <f aca="false">IFERROR(U1330/P1330,0)</f>
        <v>0.306239814786975</v>
      </c>
      <c r="W1330" s="48" t="n">
        <f aca="false">B1330+INDEX(Parametros!$C$13:$C$16,MATCH($F1330,Parametros!$A$13:$A$16,0))</f>
        <v>46175</v>
      </c>
      <c r="X1330" s="31" t="s">
        <v>67</v>
      </c>
      <c r="Y1330" s="53" t="n">
        <f aca="false">IF(COUNTIF($A$2:$A1330,A1330)=1,1,0)</f>
        <v>1</v>
      </c>
    </row>
    <row r="1331" customFormat="false" ht="15" hidden="false" customHeight="false" outlineLevel="0" collapsed="false">
      <c r="A1331" s="31" t="s">
        <v>957</v>
      </c>
      <c r="B1331" s="36" t="n">
        <v>46118</v>
      </c>
      <c r="C1331" s="49" t="n">
        <f aca="false">DATE(YEAR(B1331),MONTH(B1331),1)</f>
        <v>46113</v>
      </c>
      <c r="D1331" s="31" t="s">
        <v>228</v>
      </c>
      <c r="E1331" s="31" t="s">
        <v>43</v>
      </c>
      <c r="F1331" s="31" t="s">
        <v>47</v>
      </c>
      <c r="G1331" s="31" t="s">
        <v>59</v>
      </c>
      <c r="H1331" s="31" t="s">
        <v>167</v>
      </c>
      <c r="I1331" s="32" t="str">
        <f aca="false">INDEX(Productos!$B$2:$B$13,MATCH($H1331,Productos!$A$2:$A$13,0))</f>
        <v>Tornillo DIN 912 M6x25 Allen zincado</v>
      </c>
      <c r="J1331" s="32" t="str">
        <f aca="false">INDEX(Productos!$C$2:$C$13,MATCH($H1331,Productos!$A$2:$A$13,0))</f>
        <v>Métrica</v>
      </c>
      <c r="K1331" s="31" t="s">
        <v>246</v>
      </c>
      <c r="L1331" s="46" t="n">
        <v>52</v>
      </c>
      <c r="M1331" s="50" t="n">
        <f aca="false">INDEX(Productos!$F$2:$F$13,MATCH($H1331,Productos!$A$2:$A$13,0))</f>
        <v>42</v>
      </c>
      <c r="N1331" s="51" t="n">
        <v>0.037</v>
      </c>
      <c r="O1331" s="52" t="n">
        <f aca="false">M1331*(1-N1331)</f>
        <v>40.446</v>
      </c>
      <c r="P1331" s="21" t="n">
        <f aca="false">L1331*O1331</f>
        <v>2103.192</v>
      </c>
      <c r="Q1331" s="50" t="n">
        <f aca="false">INDEX(Productos!$E$2:$E$13,MATCH($H1331,Productos!$A$2:$A$13,0))*INDEX(Parametros!$B$26:$B$43,MATCH($C1331,Parametros!$A$26:$A$43,0))</f>
        <v>21.9308</v>
      </c>
      <c r="R1331" s="21" t="n">
        <f aca="false">L1331*Q1331</f>
        <v>1140.4016</v>
      </c>
      <c r="S1331" s="18" t="n">
        <f aca="false">L1331*INDEX(Parametros!$B$20:$B$22,MATCH($E1331,Parametros!$A$20:$A$22,0))</f>
        <v>98.8</v>
      </c>
      <c r="T1331" s="18" t="n">
        <f aca="false">P1331*INDEX(Parametros!$B$13:$B$16,MATCH($F1331,Parametros!$A$13:$A$16,0))</f>
        <v>73.61172</v>
      </c>
      <c r="U1331" s="21" t="n">
        <f aca="false">P1331-R1331-S1331-T1331</f>
        <v>790.37868</v>
      </c>
      <c r="V1331" s="19" t="n">
        <f aca="false">IFERROR(U1331/P1331,0)</f>
        <v>0.37579958463136</v>
      </c>
      <c r="W1331" s="48" t="n">
        <f aca="false">B1331+INDEX(Parametros!$C$13:$C$16,MATCH($F1331,Parametros!$A$13:$A$16,0))</f>
        <v>46163</v>
      </c>
      <c r="X1331" s="31" t="s">
        <v>67</v>
      </c>
      <c r="Y1331" s="53" t="n">
        <f aca="false">IF(COUNTIF($A$2:$A1331,A1331)=1,1,0)</f>
        <v>1</v>
      </c>
    </row>
    <row r="1332" customFormat="false" ht="15" hidden="false" customHeight="false" outlineLevel="0" collapsed="false">
      <c r="A1332" s="31" t="s">
        <v>957</v>
      </c>
      <c r="B1332" s="36" t="n">
        <v>46118</v>
      </c>
      <c r="C1332" s="49" t="n">
        <f aca="false">DATE(YEAR(B1332),MONTH(B1332),1)</f>
        <v>46113</v>
      </c>
      <c r="D1332" s="31" t="s">
        <v>228</v>
      </c>
      <c r="E1332" s="31" t="s">
        <v>43</v>
      </c>
      <c r="F1332" s="31" t="s">
        <v>47</v>
      </c>
      <c r="G1332" s="31" t="s">
        <v>59</v>
      </c>
      <c r="H1332" s="31" t="s">
        <v>185</v>
      </c>
      <c r="I1332" s="32" t="str">
        <f aca="false">INDEX(Productos!$B$2:$B$13,MATCH($H1332,Productos!$A$2:$A$13,0))</f>
        <v>Varilla roscada M10 x 1 m zincada</v>
      </c>
      <c r="J1332" s="32" t="str">
        <f aca="false">INDEX(Productos!$C$2:$C$13,MATCH($H1332,Productos!$A$2:$A$13,0))</f>
        <v>Especial</v>
      </c>
      <c r="K1332" s="31" t="s">
        <v>246</v>
      </c>
      <c r="L1332" s="46" t="n">
        <v>31</v>
      </c>
      <c r="M1332" s="50" t="n">
        <f aca="false">INDEX(Productos!$F$2:$F$13,MATCH($H1332,Productos!$A$2:$A$13,0))</f>
        <v>54</v>
      </c>
      <c r="N1332" s="51" t="n">
        <v>0.07</v>
      </c>
      <c r="O1332" s="52" t="n">
        <f aca="false">M1332*(1-N1332)</f>
        <v>50.22</v>
      </c>
      <c r="P1332" s="21" t="n">
        <f aca="false">L1332*O1332</f>
        <v>1556.82</v>
      </c>
      <c r="Q1332" s="50" t="n">
        <f aca="false">INDEX(Productos!$E$2:$E$13,MATCH($H1332,Productos!$A$2:$A$13,0))*INDEX(Parametros!$B$26:$B$43,MATCH($C1332,Parametros!$A$26:$A$43,0))</f>
        <v>28.671</v>
      </c>
      <c r="R1332" s="21" t="n">
        <f aca="false">L1332*Q1332</f>
        <v>888.801</v>
      </c>
      <c r="S1332" s="18" t="n">
        <f aca="false">L1332*INDEX(Parametros!$B$20:$B$22,MATCH($E1332,Parametros!$A$20:$A$22,0))</f>
        <v>58.9</v>
      </c>
      <c r="T1332" s="18" t="n">
        <f aca="false">P1332*INDEX(Parametros!$B$13:$B$16,MATCH($F1332,Parametros!$A$13:$A$16,0))</f>
        <v>54.4887</v>
      </c>
      <c r="U1332" s="21" t="n">
        <f aca="false">P1332-R1332-S1332-T1332</f>
        <v>554.6303</v>
      </c>
      <c r="V1332" s="19" t="n">
        <f aca="false">IFERROR(U1332/P1332,0)</f>
        <v>0.356258462763839</v>
      </c>
      <c r="W1332" s="48" t="n">
        <f aca="false">B1332+INDEX(Parametros!$C$13:$C$16,MATCH($F1332,Parametros!$A$13:$A$16,0))</f>
        <v>46163</v>
      </c>
      <c r="X1332" s="31" t="s">
        <v>67</v>
      </c>
      <c r="Y1332" s="53" t="n">
        <f aca="false">IF(COUNTIF($A$2:$A1332,A1332)=1,1,0)</f>
        <v>0</v>
      </c>
    </row>
    <row r="1333" customFormat="false" ht="15" hidden="false" customHeight="false" outlineLevel="0" collapsed="false">
      <c r="A1333" s="31" t="s">
        <v>957</v>
      </c>
      <c r="B1333" s="36" t="n">
        <v>46118</v>
      </c>
      <c r="C1333" s="49" t="n">
        <f aca="false">DATE(YEAR(B1333),MONTH(B1333),1)</f>
        <v>46113</v>
      </c>
      <c r="D1333" s="31" t="s">
        <v>228</v>
      </c>
      <c r="E1333" s="31" t="s">
        <v>43</v>
      </c>
      <c r="F1333" s="31" t="s">
        <v>47</v>
      </c>
      <c r="G1333" s="31" t="s">
        <v>59</v>
      </c>
      <c r="H1333" s="31" t="s">
        <v>175</v>
      </c>
      <c r="I1333" s="32" t="str">
        <f aca="false">INDEX(Productos!$B$2:$B$13,MATCH($H1333,Productos!$A$2:$A$13,0))</f>
        <v>Tirafondo madera 5x60 cabeza plana Torx</v>
      </c>
      <c r="J1333" s="32" t="str">
        <f aca="false">INDEX(Productos!$C$2:$C$13,MATCH($H1333,Productos!$A$2:$A$13,0))</f>
        <v>Madera</v>
      </c>
      <c r="K1333" s="31" t="s">
        <v>246</v>
      </c>
      <c r="L1333" s="46" t="n">
        <v>20</v>
      </c>
      <c r="M1333" s="50" t="n">
        <f aca="false">INDEX(Productos!$F$2:$F$13,MATCH($H1333,Productos!$A$2:$A$13,0))</f>
        <v>26</v>
      </c>
      <c r="N1333" s="51" t="n">
        <v>0.075</v>
      </c>
      <c r="O1333" s="52" t="n">
        <f aca="false">M1333*(1-N1333)</f>
        <v>24.05</v>
      </c>
      <c r="P1333" s="21" t="n">
        <f aca="false">L1333*O1333</f>
        <v>481</v>
      </c>
      <c r="Q1333" s="50" t="n">
        <f aca="false">INDEX(Productos!$E$2:$E$13,MATCH($H1333,Productos!$A$2:$A$13,0))*INDEX(Parametros!$B$26:$B$43,MATCH($C1333,Parametros!$A$26:$A$43,0))</f>
        <v>13.4804</v>
      </c>
      <c r="R1333" s="21" t="n">
        <f aca="false">L1333*Q1333</f>
        <v>269.608</v>
      </c>
      <c r="S1333" s="18" t="n">
        <f aca="false">L1333*INDEX(Parametros!$B$20:$B$22,MATCH($E1333,Parametros!$A$20:$A$22,0))</f>
        <v>38</v>
      </c>
      <c r="T1333" s="18" t="n">
        <f aca="false">P1333*INDEX(Parametros!$B$13:$B$16,MATCH($F1333,Parametros!$A$13:$A$16,0))</f>
        <v>16.835</v>
      </c>
      <c r="U1333" s="21" t="n">
        <f aca="false">P1333-R1333-S1333-T1333</f>
        <v>156.557</v>
      </c>
      <c r="V1333" s="19" t="n">
        <f aca="false">IFERROR(U1333/P1333,0)</f>
        <v>0.325482328482328</v>
      </c>
      <c r="W1333" s="48" t="n">
        <f aca="false">B1333+INDEX(Parametros!$C$13:$C$16,MATCH($F1333,Parametros!$A$13:$A$16,0))</f>
        <v>46163</v>
      </c>
      <c r="X1333" s="31" t="s">
        <v>67</v>
      </c>
      <c r="Y1333" s="53" t="n">
        <f aca="false">IF(COUNTIF($A$2:$A1333,A1333)=1,1,0)</f>
        <v>0</v>
      </c>
    </row>
    <row r="1334" customFormat="false" ht="15" hidden="false" customHeight="false" outlineLevel="0" collapsed="false">
      <c r="A1334" s="31" t="s">
        <v>957</v>
      </c>
      <c r="B1334" s="36" t="n">
        <v>46118</v>
      </c>
      <c r="C1334" s="49" t="n">
        <f aca="false">DATE(YEAR(B1334),MONTH(B1334),1)</f>
        <v>46113</v>
      </c>
      <c r="D1334" s="31" t="s">
        <v>228</v>
      </c>
      <c r="E1334" s="31" t="s">
        <v>43</v>
      </c>
      <c r="F1334" s="31" t="s">
        <v>47</v>
      </c>
      <c r="G1334" s="31" t="s">
        <v>59</v>
      </c>
      <c r="H1334" s="31" t="s">
        <v>177</v>
      </c>
      <c r="I1334" s="32" t="str">
        <f aca="false">INDEX(Productos!$B$2:$B$13,MATCH($H1334,Productos!$A$2:$A$13,0))</f>
        <v>Tirafondo madera 6x100 cabeza plana Torx</v>
      </c>
      <c r="J1334" s="32" t="str">
        <f aca="false">INDEX(Productos!$C$2:$C$13,MATCH($H1334,Productos!$A$2:$A$13,0))</f>
        <v>Madera</v>
      </c>
      <c r="K1334" s="31" t="s">
        <v>246</v>
      </c>
      <c r="L1334" s="46" t="n">
        <v>11</v>
      </c>
      <c r="M1334" s="50" t="n">
        <f aca="false">INDEX(Productos!$F$2:$F$13,MATCH($H1334,Productos!$A$2:$A$13,0))</f>
        <v>34</v>
      </c>
      <c r="N1334" s="51" t="n">
        <v>0.097</v>
      </c>
      <c r="O1334" s="52" t="n">
        <f aca="false">M1334*(1-N1334)</f>
        <v>30.702</v>
      </c>
      <c r="P1334" s="21" t="n">
        <f aca="false">L1334*O1334</f>
        <v>337.722</v>
      </c>
      <c r="Q1334" s="50" t="n">
        <f aca="false">INDEX(Productos!$E$2:$E$13,MATCH($H1334,Productos!$A$2:$A$13,0))*INDEX(Parametros!$B$26:$B$43,MATCH($C1334,Parametros!$A$26:$A$43,0))</f>
        <v>17.9068</v>
      </c>
      <c r="R1334" s="21" t="n">
        <f aca="false">L1334*Q1334</f>
        <v>196.9748</v>
      </c>
      <c r="S1334" s="18" t="n">
        <f aca="false">L1334*INDEX(Parametros!$B$20:$B$22,MATCH($E1334,Parametros!$A$20:$A$22,0))</f>
        <v>20.9</v>
      </c>
      <c r="T1334" s="18" t="n">
        <f aca="false">P1334*INDEX(Parametros!$B$13:$B$16,MATCH($F1334,Parametros!$A$13:$A$16,0))</f>
        <v>11.82027</v>
      </c>
      <c r="U1334" s="21" t="n">
        <f aca="false">P1334-R1334-S1334-T1334</f>
        <v>108.02693</v>
      </c>
      <c r="V1334" s="19" t="n">
        <f aca="false">IFERROR(U1334/P1334,0)</f>
        <v>0.319869389616312</v>
      </c>
      <c r="W1334" s="48" t="n">
        <f aca="false">B1334+INDEX(Parametros!$C$13:$C$16,MATCH($F1334,Parametros!$A$13:$A$16,0))</f>
        <v>46163</v>
      </c>
      <c r="X1334" s="31" t="s">
        <v>67</v>
      </c>
      <c r="Y1334" s="53" t="n">
        <f aca="false">IF(COUNTIF($A$2:$A1334,A1334)=1,1,0)</f>
        <v>0</v>
      </c>
    </row>
    <row r="1335" customFormat="false" ht="15" hidden="false" customHeight="false" outlineLevel="0" collapsed="false">
      <c r="A1335" s="31" t="s">
        <v>958</v>
      </c>
      <c r="B1335" s="36" t="n">
        <v>46118</v>
      </c>
      <c r="C1335" s="49" t="n">
        <f aca="false">DATE(YEAR(B1335),MONTH(B1335),1)</f>
        <v>46113</v>
      </c>
      <c r="D1335" s="31" t="s">
        <v>218</v>
      </c>
      <c r="E1335" s="31" t="s">
        <v>42</v>
      </c>
      <c r="F1335" s="31" t="s">
        <v>45</v>
      </c>
      <c r="G1335" s="31" t="s">
        <v>61</v>
      </c>
      <c r="H1335" s="31" t="s">
        <v>185</v>
      </c>
      <c r="I1335" s="32" t="str">
        <f aca="false">INDEX(Productos!$B$2:$B$13,MATCH($H1335,Productos!$A$2:$A$13,0))</f>
        <v>Varilla roscada M10 x 1 m zincada</v>
      </c>
      <c r="J1335" s="32" t="str">
        <f aca="false">INDEX(Productos!$C$2:$C$13,MATCH($H1335,Productos!$A$2:$A$13,0))</f>
        <v>Especial</v>
      </c>
      <c r="K1335" s="31" t="s">
        <v>246</v>
      </c>
      <c r="L1335" s="46" t="n">
        <v>26</v>
      </c>
      <c r="M1335" s="50" t="n">
        <f aca="false">INDEX(Productos!$F$2:$F$13,MATCH($H1335,Productos!$A$2:$A$13,0))</f>
        <v>54</v>
      </c>
      <c r="N1335" s="51" t="n">
        <v>0.128</v>
      </c>
      <c r="O1335" s="52" t="n">
        <f aca="false">M1335*(1-N1335)</f>
        <v>47.088</v>
      </c>
      <c r="P1335" s="21" t="n">
        <f aca="false">L1335*O1335</f>
        <v>1224.288</v>
      </c>
      <c r="Q1335" s="50" t="n">
        <f aca="false">INDEX(Productos!$E$2:$E$13,MATCH($H1335,Productos!$A$2:$A$13,0))*INDEX(Parametros!$B$26:$B$43,MATCH($C1335,Parametros!$A$26:$A$43,0))</f>
        <v>28.671</v>
      </c>
      <c r="R1335" s="21" t="n">
        <f aca="false">L1335*Q1335</f>
        <v>745.446</v>
      </c>
      <c r="S1335" s="18" t="n">
        <f aca="false">L1335*INDEX(Parametros!$B$20:$B$22,MATCH($E1335,Parametros!$A$20:$A$22,0))</f>
        <v>62.4</v>
      </c>
      <c r="T1335" s="18" t="n">
        <f aca="false">P1335*INDEX(Parametros!$B$13:$B$16,MATCH($F1335,Parametros!$A$13:$A$16,0))</f>
        <v>36.72864</v>
      </c>
      <c r="U1335" s="21" t="n">
        <f aca="false">P1335-R1335-S1335-T1335</f>
        <v>379.71336</v>
      </c>
      <c r="V1335" s="19" t="n">
        <f aca="false">IFERROR(U1335/P1335,0)</f>
        <v>0.310150356778797</v>
      </c>
      <c r="W1335" s="48" t="n">
        <f aca="false">B1335+INDEX(Parametros!$C$13:$C$16,MATCH($F1335,Parametros!$A$13:$A$16,0))</f>
        <v>46178</v>
      </c>
      <c r="X1335" s="31" t="s">
        <v>67</v>
      </c>
      <c r="Y1335" s="53" t="n">
        <f aca="false">IF(COUNTIF($A$2:$A1335,A1335)=1,1,0)</f>
        <v>1</v>
      </c>
    </row>
    <row r="1336" customFormat="false" ht="15" hidden="false" customHeight="false" outlineLevel="0" collapsed="false">
      <c r="A1336" s="31" t="s">
        <v>958</v>
      </c>
      <c r="B1336" s="36" t="n">
        <v>46118</v>
      </c>
      <c r="C1336" s="49" t="n">
        <f aca="false">DATE(YEAR(B1336),MONTH(B1336),1)</f>
        <v>46113</v>
      </c>
      <c r="D1336" s="31" t="s">
        <v>218</v>
      </c>
      <c r="E1336" s="31" t="s">
        <v>42</v>
      </c>
      <c r="F1336" s="31" t="s">
        <v>45</v>
      </c>
      <c r="G1336" s="31" t="s">
        <v>61</v>
      </c>
      <c r="H1336" s="31" t="s">
        <v>171</v>
      </c>
      <c r="I1336" s="32" t="str">
        <f aca="false">INDEX(Productos!$B$2:$B$13,MATCH($H1336,Productos!$A$2:$A$13,0))</f>
        <v>Tornillo DIN 7991 M8x30 avellanado inox A2</v>
      </c>
      <c r="J1336" s="32" t="str">
        <f aca="false">INDEX(Productos!$C$2:$C$13,MATCH($H1336,Productos!$A$2:$A$13,0))</f>
        <v>Inoxidable</v>
      </c>
      <c r="K1336" s="31" t="s">
        <v>246</v>
      </c>
      <c r="L1336" s="46" t="n">
        <v>54</v>
      </c>
      <c r="M1336" s="50" t="n">
        <f aca="false">INDEX(Productos!$F$2:$F$13,MATCH($H1336,Productos!$A$2:$A$13,0))</f>
        <v>88</v>
      </c>
      <c r="N1336" s="51" t="n">
        <v>0.131</v>
      </c>
      <c r="O1336" s="52" t="n">
        <f aca="false">M1336*(1-N1336)</f>
        <v>76.472</v>
      </c>
      <c r="P1336" s="21" t="n">
        <f aca="false">L1336*O1336</f>
        <v>4129.488</v>
      </c>
      <c r="Q1336" s="50" t="n">
        <f aca="false">INDEX(Productos!$E$2:$E$13,MATCH($H1336,Productos!$A$2:$A$13,0))*INDEX(Parametros!$B$26:$B$43,MATCH($C1336,Parametros!$A$26:$A$43,0))</f>
        <v>46.779</v>
      </c>
      <c r="R1336" s="21" t="n">
        <f aca="false">L1336*Q1336</f>
        <v>2526.066</v>
      </c>
      <c r="S1336" s="18" t="n">
        <f aca="false">L1336*INDEX(Parametros!$B$20:$B$22,MATCH($E1336,Parametros!$A$20:$A$22,0))</f>
        <v>129.6</v>
      </c>
      <c r="T1336" s="18" t="n">
        <f aca="false">P1336*INDEX(Parametros!$B$13:$B$16,MATCH($F1336,Parametros!$A$13:$A$16,0))</f>
        <v>123.88464</v>
      </c>
      <c r="U1336" s="21" t="n">
        <f aca="false">P1336-R1336-S1336-T1336</f>
        <v>1349.93736</v>
      </c>
      <c r="V1336" s="19" t="n">
        <f aca="false">IFERROR(U1336/P1336,0)</f>
        <v>0.326901872580814</v>
      </c>
      <c r="W1336" s="48" t="n">
        <f aca="false">B1336+INDEX(Parametros!$C$13:$C$16,MATCH($F1336,Parametros!$A$13:$A$16,0))</f>
        <v>46178</v>
      </c>
      <c r="X1336" s="31" t="s">
        <v>67</v>
      </c>
      <c r="Y1336" s="53" t="n">
        <f aca="false">IF(COUNTIF($A$2:$A1336,A1336)=1,1,0)</f>
        <v>0</v>
      </c>
    </row>
    <row r="1337" customFormat="false" ht="15" hidden="false" customHeight="false" outlineLevel="0" collapsed="false">
      <c r="A1337" s="31" t="s">
        <v>958</v>
      </c>
      <c r="B1337" s="36" t="n">
        <v>46118</v>
      </c>
      <c r="C1337" s="49" t="n">
        <f aca="false">DATE(YEAR(B1337),MONTH(B1337),1)</f>
        <v>46113</v>
      </c>
      <c r="D1337" s="31" t="s">
        <v>218</v>
      </c>
      <c r="E1337" s="31" t="s">
        <v>42</v>
      </c>
      <c r="F1337" s="31" t="s">
        <v>45</v>
      </c>
      <c r="G1337" s="31" t="s">
        <v>61</v>
      </c>
      <c r="H1337" s="31" t="s">
        <v>169</v>
      </c>
      <c r="I1337" s="32" t="str">
        <f aca="false">INDEX(Productos!$B$2:$B$13,MATCH($H1337,Productos!$A$2:$A$13,0))</f>
        <v>Tornillo DIN 912 M10x60 Allen inox A2</v>
      </c>
      <c r="J1337" s="32" t="str">
        <f aca="false">INDEX(Productos!$C$2:$C$13,MATCH($H1337,Productos!$A$2:$A$13,0))</f>
        <v>Inoxidable</v>
      </c>
      <c r="K1337" s="31" t="s">
        <v>246</v>
      </c>
      <c r="L1337" s="46" t="n">
        <v>284</v>
      </c>
      <c r="M1337" s="50" t="n">
        <f aca="false">INDEX(Productos!$F$2:$F$13,MATCH($H1337,Productos!$A$2:$A$13,0))</f>
        <v>79</v>
      </c>
      <c r="N1337" s="51" t="n">
        <v>0.14</v>
      </c>
      <c r="O1337" s="52" t="n">
        <f aca="false">M1337*(1-N1337)</f>
        <v>67.94</v>
      </c>
      <c r="P1337" s="21" t="n">
        <f aca="false">L1337*O1337</f>
        <v>19294.96</v>
      </c>
      <c r="Q1337" s="50" t="n">
        <f aca="false">INDEX(Productos!$E$2:$E$13,MATCH($H1337,Productos!$A$2:$A$13,0))*INDEX(Parametros!$B$26:$B$43,MATCH($C1337,Parametros!$A$26:$A$43,0))</f>
        <v>42.252</v>
      </c>
      <c r="R1337" s="21" t="n">
        <f aca="false">L1337*Q1337</f>
        <v>11999.568</v>
      </c>
      <c r="S1337" s="18" t="n">
        <f aca="false">L1337*INDEX(Parametros!$B$20:$B$22,MATCH($E1337,Parametros!$A$20:$A$22,0))</f>
        <v>681.6</v>
      </c>
      <c r="T1337" s="18" t="n">
        <f aca="false">P1337*INDEX(Parametros!$B$13:$B$16,MATCH($F1337,Parametros!$A$13:$A$16,0))</f>
        <v>578.8488</v>
      </c>
      <c r="U1337" s="21" t="n">
        <f aca="false">P1337-R1337-S1337-T1337</f>
        <v>6034.9432</v>
      </c>
      <c r="V1337" s="19" t="n">
        <f aca="false">IFERROR(U1337/P1337,0)</f>
        <v>0.31277303503091</v>
      </c>
      <c r="W1337" s="48" t="n">
        <f aca="false">B1337+INDEX(Parametros!$C$13:$C$16,MATCH($F1337,Parametros!$A$13:$A$16,0))</f>
        <v>46178</v>
      </c>
      <c r="X1337" s="31" t="s">
        <v>67</v>
      </c>
      <c r="Y1337" s="53" t="n">
        <f aca="false">IF(COUNTIF($A$2:$A1337,A1337)=1,1,0)</f>
        <v>0</v>
      </c>
    </row>
    <row r="1338" customFormat="false" ht="15" hidden="false" customHeight="false" outlineLevel="0" collapsed="false">
      <c r="A1338" s="31" t="s">
        <v>959</v>
      </c>
      <c r="B1338" s="36" t="n">
        <v>46118</v>
      </c>
      <c r="C1338" s="49" t="n">
        <f aca="false">DATE(YEAR(B1338),MONTH(B1338),1)</f>
        <v>46113</v>
      </c>
      <c r="D1338" s="31" t="s">
        <v>207</v>
      </c>
      <c r="E1338" s="31" t="s">
        <v>41</v>
      </c>
      <c r="F1338" s="31" t="s">
        <v>47</v>
      </c>
      <c r="G1338" s="31" t="s">
        <v>62</v>
      </c>
      <c r="H1338" s="31" t="s">
        <v>183</v>
      </c>
      <c r="I1338" s="32" t="str">
        <f aca="false">INDEX(Productos!$B$2:$B$13,MATCH($H1338,Productos!$A$2:$A$13,0))</f>
        <v>Tornillo estructural M16x90 clase 10.9</v>
      </c>
      <c r="J1338" s="32" t="str">
        <f aca="false">INDEX(Productos!$C$2:$C$13,MATCH($H1338,Productos!$A$2:$A$13,0))</f>
        <v>Especial</v>
      </c>
      <c r="K1338" s="31" t="s">
        <v>246</v>
      </c>
      <c r="L1338" s="46" t="n">
        <v>37</v>
      </c>
      <c r="M1338" s="50" t="n">
        <f aca="false">INDEX(Productos!$F$2:$F$13,MATCH($H1338,Productos!$A$2:$A$13,0))</f>
        <v>112</v>
      </c>
      <c r="N1338" s="51" t="n">
        <v>0.062</v>
      </c>
      <c r="O1338" s="52" t="n">
        <f aca="false">M1338*(1-N1338)</f>
        <v>105.056</v>
      </c>
      <c r="P1338" s="21" t="n">
        <f aca="false">L1338*O1338</f>
        <v>3887.072</v>
      </c>
      <c r="Q1338" s="50" t="n">
        <f aca="false">INDEX(Productos!$E$2:$E$13,MATCH($H1338,Productos!$A$2:$A$13,0))*INDEX(Parametros!$B$26:$B$43,MATCH($C1338,Parametros!$A$26:$A$43,0))</f>
        <v>60.36</v>
      </c>
      <c r="R1338" s="21" t="n">
        <f aca="false">L1338*Q1338</f>
        <v>2233.32</v>
      </c>
      <c r="S1338" s="18" t="n">
        <f aca="false">L1338*INDEX(Parametros!$B$20:$B$22,MATCH($E1338,Parametros!$A$20:$A$22,0))</f>
        <v>31.45</v>
      </c>
      <c r="T1338" s="18" t="n">
        <f aca="false">P1338*INDEX(Parametros!$B$13:$B$16,MATCH($F1338,Parametros!$A$13:$A$16,0))</f>
        <v>136.04752</v>
      </c>
      <c r="U1338" s="21" t="n">
        <f aca="false">P1338-R1338-S1338-T1338</f>
        <v>1486.25448</v>
      </c>
      <c r="V1338" s="19" t="n">
        <f aca="false">IFERROR(U1338/P1338,0)</f>
        <v>0.38235836125495</v>
      </c>
      <c r="W1338" s="48" t="n">
        <f aca="false">B1338+INDEX(Parametros!$C$13:$C$16,MATCH($F1338,Parametros!$A$13:$A$16,0))</f>
        <v>46163</v>
      </c>
      <c r="X1338" s="31" t="s">
        <v>67</v>
      </c>
      <c r="Y1338" s="53" t="n">
        <f aca="false">IF(COUNTIF($A$2:$A1338,A1338)=1,1,0)</f>
        <v>1</v>
      </c>
    </row>
    <row r="1339" customFormat="false" ht="15" hidden="false" customHeight="false" outlineLevel="0" collapsed="false">
      <c r="A1339" s="31" t="s">
        <v>959</v>
      </c>
      <c r="B1339" s="36" t="n">
        <v>46118</v>
      </c>
      <c r="C1339" s="49" t="n">
        <f aca="false">DATE(YEAR(B1339),MONTH(B1339),1)</f>
        <v>46113</v>
      </c>
      <c r="D1339" s="31" t="s">
        <v>207</v>
      </c>
      <c r="E1339" s="31" t="s">
        <v>41</v>
      </c>
      <c r="F1339" s="31" t="s">
        <v>47</v>
      </c>
      <c r="G1339" s="31" t="s">
        <v>62</v>
      </c>
      <c r="H1339" s="31" t="s">
        <v>177</v>
      </c>
      <c r="I1339" s="32" t="str">
        <f aca="false">INDEX(Productos!$B$2:$B$13,MATCH($H1339,Productos!$A$2:$A$13,0))</f>
        <v>Tirafondo madera 6x100 cabeza plana Torx</v>
      </c>
      <c r="J1339" s="32" t="str">
        <f aca="false">INDEX(Productos!$C$2:$C$13,MATCH($H1339,Productos!$A$2:$A$13,0))</f>
        <v>Madera</v>
      </c>
      <c r="K1339" s="31" t="s">
        <v>246</v>
      </c>
      <c r="L1339" s="46" t="n">
        <v>69</v>
      </c>
      <c r="M1339" s="50" t="n">
        <f aca="false">INDEX(Productos!$F$2:$F$13,MATCH($H1339,Productos!$A$2:$A$13,0))</f>
        <v>34</v>
      </c>
      <c r="N1339" s="51" t="n">
        <v>0.063</v>
      </c>
      <c r="O1339" s="52" t="n">
        <f aca="false">M1339*(1-N1339)</f>
        <v>31.858</v>
      </c>
      <c r="P1339" s="21" t="n">
        <f aca="false">L1339*O1339</f>
        <v>2198.202</v>
      </c>
      <c r="Q1339" s="50" t="n">
        <f aca="false">INDEX(Productos!$E$2:$E$13,MATCH($H1339,Productos!$A$2:$A$13,0))*INDEX(Parametros!$B$26:$B$43,MATCH($C1339,Parametros!$A$26:$A$43,0))</f>
        <v>17.9068</v>
      </c>
      <c r="R1339" s="21" t="n">
        <f aca="false">L1339*Q1339</f>
        <v>1235.5692</v>
      </c>
      <c r="S1339" s="18" t="n">
        <f aca="false">L1339*INDEX(Parametros!$B$20:$B$22,MATCH($E1339,Parametros!$A$20:$A$22,0))</f>
        <v>58.65</v>
      </c>
      <c r="T1339" s="18" t="n">
        <f aca="false">P1339*INDEX(Parametros!$B$13:$B$16,MATCH($F1339,Parametros!$A$13:$A$16,0))</f>
        <v>76.93707</v>
      </c>
      <c r="U1339" s="21" t="n">
        <f aca="false">P1339-R1339-S1339-T1339</f>
        <v>827.04573</v>
      </c>
      <c r="V1339" s="19" t="n">
        <f aca="false">IFERROR(U1339/P1339,0)</f>
        <v>0.376237365810785</v>
      </c>
      <c r="W1339" s="48" t="n">
        <f aca="false">B1339+INDEX(Parametros!$C$13:$C$16,MATCH($F1339,Parametros!$A$13:$A$16,0))</f>
        <v>46163</v>
      </c>
      <c r="X1339" s="31" t="s">
        <v>67</v>
      </c>
      <c r="Y1339" s="53" t="n">
        <f aca="false">IF(COUNTIF($A$2:$A1339,A1339)=1,1,0)</f>
        <v>0</v>
      </c>
    </row>
    <row r="1340" customFormat="false" ht="15" hidden="false" customHeight="false" outlineLevel="0" collapsed="false">
      <c r="A1340" s="31" t="s">
        <v>960</v>
      </c>
      <c r="B1340" s="36" t="n">
        <v>46118</v>
      </c>
      <c r="C1340" s="49" t="n">
        <f aca="false">DATE(YEAR(B1340),MONTH(B1340),1)</f>
        <v>46113</v>
      </c>
      <c r="D1340" s="31" t="s">
        <v>224</v>
      </c>
      <c r="E1340" s="31" t="s">
        <v>43</v>
      </c>
      <c r="F1340" s="31" t="s">
        <v>45</v>
      </c>
      <c r="G1340" s="31" t="s">
        <v>59</v>
      </c>
      <c r="H1340" s="31" t="s">
        <v>177</v>
      </c>
      <c r="I1340" s="32" t="str">
        <f aca="false">INDEX(Productos!$B$2:$B$13,MATCH($H1340,Productos!$A$2:$A$13,0))</f>
        <v>Tirafondo madera 6x100 cabeza plana Torx</v>
      </c>
      <c r="J1340" s="32" t="str">
        <f aca="false">INDEX(Productos!$C$2:$C$13,MATCH($H1340,Productos!$A$2:$A$13,0))</f>
        <v>Madera</v>
      </c>
      <c r="K1340" s="31" t="s">
        <v>246</v>
      </c>
      <c r="L1340" s="46" t="n">
        <v>94</v>
      </c>
      <c r="M1340" s="50" t="n">
        <f aca="false">INDEX(Productos!$F$2:$F$13,MATCH($H1340,Productos!$A$2:$A$13,0))</f>
        <v>34</v>
      </c>
      <c r="N1340" s="51" t="n">
        <v>0.148</v>
      </c>
      <c r="O1340" s="52" t="n">
        <f aca="false">M1340*(1-N1340)</f>
        <v>28.968</v>
      </c>
      <c r="P1340" s="21" t="n">
        <f aca="false">L1340*O1340</f>
        <v>2722.992</v>
      </c>
      <c r="Q1340" s="50" t="n">
        <f aca="false">INDEX(Productos!$E$2:$E$13,MATCH($H1340,Productos!$A$2:$A$13,0))*INDEX(Parametros!$B$26:$B$43,MATCH($C1340,Parametros!$A$26:$A$43,0))</f>
        <v>17.9068</v>
      </c>
      <c r="R1340" s="21" t="n">
        <f aca="false">L1340*Q1340</f>
        <v>1683.2392</v>
      </c>
      <c r="S1340" s="18" t="n">
        <f aca="false">L1340*INDEX(Parametros!$B$20:$B$22,MATCH($E1340,Parametros!$A$20:$A$22,0))</f>
        <v>178.6</v>
      </c>
      <c r="T1340" s="18" t="n">
        <f aca="false">P1340*INDEX(Parametros!$B$13:$B$16,MATCH($F1340,Parametros!$A$13:$A$16,0))</f>
        <v>81.68976</v>
      </c>
      <c r="U1340" s="21" t="n">
        <f aca="false">P1340-R1340-S1340-T1340</f>
        <v>779.46304</v>
      </c>
      <c r="V1340" s="19" t="n">
        <f aca="false">IFERROR(U1340/P1340,0)</f>
        <v>0.286252416459542</v>
      </c>
      <c r="W1340" s="48" t="n">
        <f aca="false">B1340+INDEX(Parametros!$C$13:$C$16,MATCH($F1340,Parametros!$A$13:$A$16,0))</f>
        <v>46178</v>
      </c>
      <c r="X1340" s="31" t="s">
        <v>67</v>
      </c>
      <c r="Y1340" s="53" t="n">
        <f aca="false">IF(COUNTIF($A$2:$A1340,A1340)=1,1,0)</f>
        <v>1</v>
      </c>
    </row>
    <row r="1341" customFormat="false" ht="15" hidden="false" customHeight="false" outlineLevel="0" collapsed="false">
      <c r="A1341" s="31" t="s">
        <v>960</v>
      </c>
      <c r="B1341" s="36" t="n">
        <v>46118</v>
      </c>
      <c r="C1341" s="49" t="n">
        <f aca="false">DATE(YEAR(B1341),MONTH(B1341),1)</f>
        <v>46113</v>
      </c>
      <c r="D1341" s="31" t="s">
        <v>224</v>
      </c>
      <c r="E1341" s="31" t="s">
        <v>43</v>
      </c>
      <c r="F1341" s="31" t="s">
        <v>45</v>
      </c>
      <c r="G1341" s="31" t="s">
        <v>59</v>
      </c>
      <c r="H1341" s="31" t="s">
        <v>179</v>
      </c>
      <c r="I1341" s="32" t="str">
        <f aca="false">INDEX(Productos!$B$2:$B$13,MATCH($H1341,Productos!$A$2:$A$13,0))</f>
        <v>Autotaladrante DIN 7504 4,8x38 zincado</v>
      </c>
      <c r="J1341" s="32" t="str">
        <f aca="false">INDEX(Productos!$C$2:$C$13,MATCH($H1341,Productos!$A$2:$A$13,0))</f>
        <v>Autotaladrante</v>
      </c>
      <c r="K1341" s="31" t="s">
        <v>246</v>
      </c>
      <c r="L1341" s="46" t="n">
        <v>44</v>
      </c>
      <c r="M1341" s="50" t="n">
        <f aca="false">INDEX(Productos!$F$2:$F$13,MATCH($H1341,Productos!$A$2:$A$13,0))</f>
        <v>29.5</v>
      </c>
      <c r="N1341" s="51" t="n">
        <v>0.186</v>
      </c>
      <c r="O1341" s="52" t="n">
        <f aca="false">M1341*(1-N1341)</f>
        <v>24.013</v>
      </c>
      <c r="P1341" s="21" t="n">
        <f aca="false">L1341*O1341</f>
        <v>1056.572</v>
      </c>
      <c r="Q1341" s="50" t="n">
        <f aca="false">INDEX(Productos!$E$2:$E$13,MATCH($H1341,Productos!$A$2:$A$13,0))*INDEX(Parametros!$B$26:$B$43,MATCH($C1341,Parametros!$A$26:$A$43,0))</f>
        <v>15.2912</v>
      </c>
      <c r="R1341" s="21" t="n">
        <f aca="false">L1341*Q1341</f>
        <v>672.8128</v>
      </c>
      <c r="S1341" s="18" t="n">
        <f aca="false">L1341*INDEX(Parametros!$B$20:$B$22,MATCH($E1341,Parametros!$A$20:$A$22,0))</f>
        <v>83.6</v>
      </c>
      <c r="T1341" s="18" t="n">
        <f aca="false">P1341*INDEX(Parametros!$B$13:$B$16,MATCH($F1341,Parametros!$A$13:$A$16,0))</f>
        <v>31.69716</v>
      </c>
      <c r="U1341" s="21" t="n">
        <f aca="false">P1341-R1341-S1341-T1341</f>
        <v>268.46204</v>
      </c>
      <c r="V1341" s="19" t="n">
        <f aca="false">IFERROR(U1341/P1341,0)</f>
        <v>0.254087785782701</v>
      </c>
      <c r="W1341" s="48" t="n">
        <f aca="false">B1341+INDEX(Parametros!$C$13:$C$16,MATCH($F1341,Parametros!$A$13:$A$16,0))</f>
        <v>46178</v>
      </c>
      <c r="X1341" s="31" t="s">
        <v>67</v>
      </c>
      <c r="Y1341" s="53" t="n">
        <f aca="false">IF(COUNTIF($A$2:$A1341,A1341)=1,1,0)</f>
        <v>0</v>
      </c>
    </row>
    <row r="1342" customFormat="false" ht="15" hidden="false" customHeight="false" outlineLevel="0" collapsed="false">
      <c r="A1342" s="31" t="s">
        <v>961</v>
      </c>
      <c r="B1342" s="36" t="n">
        <v>46118</v>
      </c>
      <c r="C1342" s="49" t="n">
        <f aca="false">DATE(YEAR(B1342),MONTH(B1342),1)</f>
        <v>46113</v>
      </c>
      <c r="D1342" s="31" t="s">
        <v>216</v>
      </c>
      <c r="E1342" s="31" t="s">
        <v>42</v>
      </c>
      <c r="F1342" s="31" t="s">
        <v>45</v>
      </c>
      <c r="G1342" s="31" t="s">
        <v>61</v>
      </c>
      <c r="H1342" s="31" t="s">
        <v>165</v>
      </c>
      <c r="I1342" s="32" t="str">
        <f aca="false">INDEX(Productos!$B$2:$B$13,MATCH($H1342,Productos!$A$2:$A$13,0))</f>
        <v>Tornillo DIN 933 M8x40 rosca completa zincado</v>
      </c>
      <c r="J1342" s="32" t="str">
        <f aca="false">INDEX(Productos!$C$2:$C$13,MATCH($H1342,Productos!$A$2:$A$13,0))</f>
        <v>Métrica</v>
      </c>
      <c r="K1342" s="31" t="s">
        <v>246</v>
      </c>
      <c r="L1342" s="46" t="n">
        <v>28</v>
      </c>
      <c r="M1342" s="50" t="n">
        <f aca="false">INDEX(Productos!$F$2:$F$13,MATCH($H1342,Productos!$A$2:$A$13,0))</f>
        <v>37.5</v>
      </c>
      <c r="N1342" s="51" t="n">
        <v>0.174</v>
      </c>
      <c r="O1342" s="52" t="n">
        <f aca="false">M1342*(1-N1342)</f>
        <v>30.975</v>
      </c>
      <c r="P1342" s="21" t="n">
        <f aca="false">L1342*O1342</f>
        <v>867.3</v>
      </c>
      <c r="Q1342" s="50" t="n">
        <f aca="false">INDEX(Productos!$E$2:$E$13,MATCH($H1342,Productos!$A$2:$A$13,0))*INDEX(Parametros!$B$26:$B$43,MATCH($C1342,Parametros!$A$26:$A$43,0))</f>
        <v>19.5164</v>
      </c>
      <c r="R1342" s="21" t="n">
        <f aca="false">L1342*Q1342</f>
        <v>546.4592</v>
      </c>
      <c r="S1342" s="18" t="n">
        <f aca="false">L1342*INDEX(Parametros!$B$20:$B$22,MATCH($E1342,Parametros!$A$20:$A$22,0))</f>
        <v>67.2</v>
      </c>
      <c r="T1342" s="18" t="n">
        <f aca="false">P1342*INDEX(Parametros!$B$13:$B$16,MATCH($F1342,Parametros!$A$13:$A$16,0))</f>
        <v>26.019</v>
      </c>
      <c r="U1342" s="21" t="n">
        <f aca="false">P1342-R1342-S1342-T1342</f>
        <v>227.6218</v>
      </c>
      <c r="V1342" s="19" t="n">
        <f aca="false">IFERROR(U1342/P1342,0)</f>
        <v>0.262448748991122</v>
      </c>
      <c r="W1342" s="48" t="n">
        <f aca="false">B1342+INDEX(Parametros!$C$13:$C$16,MATCH($F1342,Parametros!$A$13:$A$16,0))</f>
        <v>46178</v>
      </c>
      <c r="X1342" s="31" t="s">
        <v>67</v>
      </c>
      <c r="Y1342" s="53" t="n">
        <f aca="false">IF(COUNTIF($A$2:$A1342,A1342)=1,1,0)</f>
        <v>1</v>
      </c>
    </row>
    <row r="1343" customFormat="false" ht="15" hidden="false" customHeight="false" outlineLevel="0" collapsed="false">
      <c r="A1343" s="31" t="s">
        <v>962</v>
      </c>
      <c r="B1343" s="36" t="n">
        <v>46119</v>
      </c>
      <c r="C1343" s="49" t="n">
        <f aca="false">DATE(YEAR(B1343),MONTH(B1343),1)</f>
        <v>46113</v>
      </c>
      <c r="D1343" s="31" t="s">
        <v>210</v>
      </c>
      <c r="E1343" s="31" t="s">
        <v>41</v>
      </c>
      <c r="F1343" s="31" t="s">
        <v>48</v>
      </c>
      <c r="G1343" s="31" t="s">
        <v>60</v>
      </c>
      <c r="H1343" s="31" t="s">
        <v>179</v>
      </c>
      <c r="I1343" s="32" t="str">
        <f aca="false">INDEX(Productos!$B$2:$B$13,MATCH($H1343,Productos!$A$2:$A$13,0))</f>
        <v>Autotaladrante DIN 7504 4,8x38 zincado</v>
      </c>
      <c r="J1343" s="32" t="str">
        <f aca="false">INDEX(Productos!$C$2:$C$13,MATCH($H1343,Productos!$A$2:$A$13,0))</f>
        <v>Autotaladrante</v>
      </c>
      <c r="K1343" s="31" t="s">
        <v>246</v>
      </c>
      <c r="L1343" s="46" t="n">
        <v>21</v>
      </c>
      <c r="M1343" s="50" t="n">
        <f aca="false">INDEX(Productos!$F$2:$F$13,MATCH($H1343,Productos!$A$2:$A$13,0))</f>
        <v>29.5</v>
      </c>
      <c r="N1343" s="51" t="n">
        <v>0.033</v>
      </c>
      <c r="O1343" s="52" t="n">
        <f aca="false">M1343*(1-N1343)</f>
        <v>28.5265</v>
      </c>
      <c r="P1343" s="21" t="n">
        <f aca="false">L1343*O1343</f>
        <v>599.0565</v>
      </c>
      <c r="Q1343" s="50" t="n">
        <f aca="false">INDEX(Productos!$E$2:$E$13,MATCH($H1343,Productos!$A$2:$A$13,0))*INDEX(Parametros!$B$26:$B$43,MATCH($C1343,Parametros!$A$26:$A$43,0))</f>
        <v>15.2912</v>
      </c>
      <c r="R1343" s="21" t="n">
        <f aca="false">L1343*Q1343</f>
        <v>321.1152</v>
      </c>
      <c r="S1343" s="18" t="n">
        <f aca="false">L1343*INDEX(Parametros!$B$20:$B$22,MATCH($E1343,Parametros!$A$20:$A$22,0))</f>
        <v>17.85</v>
      </c>
      <c r="T1343" s="18" t="n">
        <f aca="false">P1343*INDEX(Parametros!$B$13:$B$16,MATCH($F1343,Parametros!$A$13:$A$16,0))</f>
        <v>5.990565</v>
      </c>
      <c r="U1343" s="21" t="n">
        <f aca="false">P1343-R1343-S1343-T1343</f>
        <v>254.100735</v>
      </c>
      <c r="V1343" s="19" t="n">
        <f aca="false">IFERROR(U1343/P1343,0)</f>
        <v>0.424168229540953</v>
      </c>
      <c r="W1343" s="48" t="n">
        <f aca="false">B1343+INDEX(Parametros!$C$13:$C$16,MATCH($F1343,Parametros!$A$13:$A$16,0))</f>
        <v>46119</v>
      </c>
      <c r="X1343" s="31" t="s">
        <v>67</v>
      </c>
      <c r="Y1343" s="53" t="n">
        <f aca="false">IF(COUNTIF($A$2:$A1343,A1343)=1,1,0)</f>
        <v>1</v>
      </c>
    </row>
    <row r="1344" customFormat="false" ht="15" hidden="false" customHeight="false" outlineLevel="0" collapsed="false">
      <c r="A1344" s="31" t="s">
        <v>962</v>
      </c>
      <c r="B1344" s="36" t="n">
        <v>46119</v>
      </c>
      <c r="C1344" s="49" t="n">
        <f aca="false">DATE(YEAR(B1344),MONTH(B1344),1)</f>
        <v>46113</v>
      </c>
      <c r="D1344" s="31" t="s">
        <v>210</v>
      </c>
      <c r="E1344" s="31" t="s">
        <v>41</v>
      </c>
      <c r="F1344" s="31" t="s">
        <v>48</v>
      </c>
      <c r="G1344" s="31" t="s">
        <v>60</v>
      </c>
      <c r="H1344" s="31" t="s">
        <v>181</v>
      </c>
      <c r="I1344" s="32" t="str">
        <f aca="false">INDEX(Productos!$B$2:$B$13,MATCH($H1344,Productos!$A$2:$A$13,0))</f>
        <v>Autotaladrante 5,5x55 punta broca</v>
      </c>
      <c r="J1344" s="32" t="str">
        <f aca="false">INDEX(Productos!$C$2:$C$13,MATCH($H1344,Productos!$A$2:$A$13,0))</f>
        <v>Autotaladrante</v>
      </c>
      <c r="K1344" s="31" t="s">
        <v>246</v>
      </c>
      <c r="L1344" s="46" t="n">
        <v>15</v>
      </c>
      <c r="M1344" s="50" t="n">
        <f aca="false">INDEX(Productos!$F$2:$F$13,MATCH($H1344,Productos!$A$2:$A$13,0))</f>
        <v>39</v>
      </c>
      <c r="N1344" s="51" t="n">
        <v>0.024</v>
      </c>
      <c r="O1344" s="52" t="n">
        <f aca="false">M1344*(1-N1344)</f>
        <v>38.064</v>
      </c>
      <c r="P1344" s="21" t="n">
        <f aca="false">L1344*O1344</f>
        <v>570.96</v>
      </c>
      <c r="Q1344" s="50" t="n">
        <f aca="false">INDEX(Productos!$E$2:$E$13,MATCH($H1344,Productos!$A$2:$A$13,0))*INDEX(Parametros!$B$26:$B$43,MATCH($C1344,Parametros!$A$26:$A$43,0))</f>
        <v>20.4218</v>
      </c>
      <c r="R1344" s="21" t="n">
        <f aca="false">L1344*Q1344</f>
        <v>306.327</v>
      </c>
      <c r="S1344" s="18" t="n">
        <f aca="false">L1344*INDEX(Parametros!$B$20:$B$22,MATCH($E1344,Parametros!$A$20:$A$22,0))</f>
        <v>12.75</v>
      </c>
      <c r="T1344" s="18" t="n">
        <f aca="false">P1344*INDEX(Parametros!$B$13:$B$16,MATCH($F1344,Parametros!$A$13:$A$16,0))</f>
        <v>5.7096</v>
      </c>
      <c r="U1344" s="21" t="n">
        <f aca="false">P1344-R1344-S1344-T1344</f>
        <v>246.1734</v>
      </c>
      <c r="V1344" s="19" t="n">
        <f aca="false">IFERROR(U1344/P1344,0)</f>
        <v>0.431156998738966</v>
      </c>
      <c r="W1344" s="48" t="n">
        <f aca="false">B1344+INDEX(Parametros!$C$13:$C$16,MATCH($F1344,Parametros!$A$13:$A$16,0))</f>
        <v>46119</v>
      </c>
      <c r="X1344" s="31" t="s">
        <v>67</v>
      </c>
      <c r="Y1344" s="53" t="n">
        <f aca="false">IF(COUNTIF($A$2:$A1344,A1344)=1,1,0)</f>
        <v>0</v>
      </c>
    </row>
    <row r="1345" customFormat="false" ht="15" hidden="false" customHeight="false" outlineLevel="0" collapsed="false">
      <c r="A1345" s="31" t="s">
        <v>962</v>
      </c>
      <c r="B1345" s="36" t="n">
        <v>46119</v>
      </c>
      <c r="C1345" s="49" t="n">
        <f aca="false">DATE(YEAR(B1345),MONTH(B1345),1)</f>
        <v>46113</v>
      </c>
      <c r="D1345" s="31" t="s">
        <v>210</v>
      </c>
      <c r="E1345" s="31" t="s">
        <v>41</v>
      </c>
      <c r="F1345" s="31" t="s">
        <v>48</v>
      </c>
      <c r="G1345" s="31" t="s">
        <v>60</v>
      </c>
      <c r="H1345" s="31" t="s">
        <v>167</v>
      </c>
      <c r="I1345" s="32" t="str">
        <f aca="false">INDEX(Productos!$B$2:$B$13,MATCH($H1345,Productos!$A$2:$A$13,0))</f>
        <v>Tornillo DIN 912 M6x25 Allen zincado</v>
      </c>
      <c r="J1345" s="32" t="str">
        <f aca="false">INDEX(Productos!$C$2:$C$13,MATCH($H1345,Productos!$A$2:$A$13,0))</f>
        <v>Métrica</v>
      </c>
      <c r="K1345" s="31" t="s">
        <v>246</v>
      </c>
      <c r="L1345" s="46" t="n">
        <v>30</v>
      </c>
      <c r="M1345" s="50" t="n">
        <f aca="false">INDEX(Productos!$F$2:$F$13,MATCH($H1345,Productos!$A$2:$A$13,0))</f>
        <v>42</v>
      </c>
      <c r="N1345" s="51" t="n">
        <v>0.014</v>
      </c>
      <c r="O1345" s="52" t="n">
        <f aca="false">M1345*(1-N1345)</f>
        <v>41.412</v>
      </c>
      <c r="P1345" s="21" t="n">
        <f aca="false">L1345*O1345</f>
        <v>1242.36</v>
      </c>
      <c r="Q1345" s="50" t="n">
        <f aca="false">INDEX(Productos!$E$2:$E$13,MATCH($H1345,Productos!$A$2:$A$13,0))*INDEX(Parametros!$B$26:$B$43,MATCH($C1345,Parametros!$A$26:$A$43,0))</f>
        <v>21.9308</v>
      </c>
      <c r="R1345" s="21" t="n">
        <f aca="false">L1345*Q1345</f>
        <v>657.924</v>
      </c>
      <c r="S1345" s="18" t="n">
        <f aca="false">L1345*INDEX(Parametros!$B$20:$B$22,MATCH($E1345,Parametros!$A$20:$A$22,0))</f>
        <v>25.5</v>
      </c>
      <c r="T1345" s="18" t="n">
        <f aca="false">P1345*INDEX(Parametros!$B$13:$B$16,MATCH($F1345,Parametros!$A$13:$A$16,0))</f>
        <v>12.4236</v>
      </c>
      <c r="U1345" s="21" t="n">
        <f aca="false">P1345-R1345-S1345-T1345</f>
        <v>546.5124</v>
      </c>
      <c r="V1345" s="19" t="n">
        <f aca="false">IFERROR(U1345/P1345,0)</f>
        <v>0.439898580121704</v>
      </c>
      <c r="W1345" s="48" t="n">
        <f aca="false">B1345+INDEX(Parametros!$C$13:$C$16,MATCH($F1345,Parametros!$A$13:$A$16,0))</f>
        <v>46119</v>
      </c>
      <c r="X1345" s="31" t="s">
        <v>67</v>
      </c>
      <c r="Y1345" s="53" t="n">
        <f aca="false">IF(COUNTIF($A$2:$A1345,A1345)=1,1,0)</f>
        <v>0</v>
      </c>
    </row>
    <row r="1346" customFormat="false" ht="15" hidden="false" customHeight="false" outlineLevel="0" collapsed="false">
      <c r="A1346" s="31" t="s">
        <v>963</v>
      </c>
      <c r="B1346" s="36" t="n">
        <v>46119</v>
      </c>
      <c r="C1346" s="49" t="n">
        <f aca="false">DATE(YEAR(B1346),MONTH(B1346),1)</f>
        <v>46113</v>
      </c>
      <c r="D1346" s="31" t="s">
        <v>197</v>
      </c>
      <c r="E1346" s="31" t="s">
        <v>41</v>
      </c>
      <c r="F1346" s="31" t="s">
        <v>46</v>
      </c>
      <c r="G1346" s="31" t="s">
        <v>58</v>
      </c>
      <c r="H1346" s="31" t="s">
        <v>185</v>
      </c>
      <c r="I1346" s="32" t="str">
        <f aca="false">INDEX(Productos!$B$2:$B$13,MATCH($H1346,Productos!$A$2:$A$13,0))</f>
        <v>Varilla roscada M10 x 1 m zincada</v>
      </c>
      <c r="J1346" s="32" t="str">
        <f aca="false">INDEX(Productos!$C$2:$C$13,MATCH($H1346,Productos!$A$2:$A$13,0))</f>
        <v>Especial</v>
      </c>
      <c r="K1346" s="31" t="s">
        <v>246</v>
      </c>
      <c r="L1346" s="46" t="n">
        <v>118</v>
      </c>
      <c r="M1346" s="50" t="n">
        <f aca="false">INDEX(Productos!$F$2:$F$13,MATCH($H1346,Productos!$A$2:$A$13,0))</f>
        <v>54</v>
      </c>
      <c r="N1346" s="51" t="n">
        <v>0.125</v>
      </c>
      <c r="O1346" s="52" t="n">
        <f aca="false">M1346*(1-N1346)</f>
        <v>47.25</v>
      </c>
      <c r="P1346" s="21" t="n">
        <f aca="false">L1346*O1346</f>
        <v>5575.5</v>
      </c>
      <c r="Q1346" s="50" t="n">
        <f aca="false">INDEX(Productos!$E$2:$E$13,MATCH($H1346,Productos!$A$2:$A$13,0))*INDEX(Parametros!$B$26:$B$43,MATCH($C1346,Parametros!$A$26:$A$43,0))</f>
        <v>28.671</v>
      </c>
      <c r="R1346" s="21" t="n">
        <f aca="false">L1346*Q1346</f>
        <v>3383.178</v>
      </c>
      <c r="S1346" s="18" t="n">
        <f aca="false">L1346*INDEX(Parametros!$B$20:$B$22,MATCH($E1346,Parametros!$A$20:$A$22,0))</f>
        <v>100.3</v>
      </c>
      <c r="T1346" s="18" t="n">
        <f aca="false">P1346*INDEX(Parametros!$B$13:$B$16,MATCH($F1346,Parametros!$A$13:$A$16,0))</f>
        <v>223.02</v>
      </c>
      <c r="U1346" s="21" t="n">
        <f aca="false">P1346-R1346-S1346-T1346</f>
        <v>1869.002</v>
      </c>
      <c r="V1346" s="19" t="n">
        <f aca="false">IFERROR(U1346/P1346,0)</f>
        <v>0.335216931216931</v>
      </c>
      <c r="W1346" s="48" t="n">
        <f aca="false">B1346+INDEX(Parametros!$C$13:$C$16,MATCH($F1346,Parametros!$A$13:$A$16,0))</f>
        <v>46194</v>
      </c>
      <c r="X1346" s="31" t="s">
        <v>67</v>
      </c>
      <c r="Y1346" s="53" t="n">
        <f aca="false">IF(COUNTIF($A$2:$A1346,A1346)=1,1,0)</f>
        <v>1</v>
      </c>
    </row>
    <row r="1347" customFormat="false" ht="15" hidden="false" customHeight="false" outlineLevel="0" collapsed="false">
      <c r="A1347" s="31" t="s">
        <v>963</v>
      </c>
      <c r="B1347" s="36" t="n">
        <v>46119</v>
      </c>
      <c r="C1347" s="49" t="n">
        <f aca="false">DATE(YEAR(B1347),MONTH(B1347),1)</f>
        <v>46113</v>
      </c>
      <c r="D1347" s="31" t="s">
        <v>197</v>
      </c>
      <c r="E1347" s="31" t="s">
        <v>41</v>
      </c>
      <c r="F1347" s="31" t="s">
        <v>46</v>
      </c>
      <c r="G1347" s="31" t="s">
        <v>58</v>
      </c>
      <c r="H1347" s="31" t="s">
        <v>181</v>
      </c>
      <c r="I1347" s="32" t="str">
        <f aca="false">INDEX(Productos!$B$2:$B$13,MATCH($H1347,Productos!$A$2:$A$13,0))</f>
        <v>Autotaladrante 5,5x55 punta broca</v>
      </c>
      <c r="J1347" s="32" t="str">
        <f aca="false">INDEX(Productos!$C$2:$C$13,MATCH($H1347,Productos!$A$2:$A$13,0))</f>
        <v>Autotaladrante</v>
      </c>
      <c r="K1347" s="31" t="s">
        <v>246</v>
      </c>
      <c r="L1347" s="46" t="n">
        <v>254</v>
      </c>
      <c r="M1347" s="50" t="n">
        <f aca="false">INDEX(Productos!$F$2:$F$13,MATCH($H1347,Productos!$A$2:$A$13,0))</f>
        <v>39</v>
      </c>
      <c r="N1347" s="51" t="n">
        <v>0.148</v>
      </c>
      <c r="O1347" s="52" t="n">
        <f aca="false">M1347*(1-N1347)</f>
        <v>33.228</v>
      </c>
      <c r="P1347" s="21" t="n">
        <f aca="false">L1347*O1347</f>
        <v>8439.912</v>
      </c>
      <c r="Q1347" s="50" t="n">
        <f aca="false">INDEX(Productos!$E$2:$E$13,MATCH($H1347,Productos!$A$2:$A$13,0))*INDEX(Parametros!$B$26:$B$43,MATCH($C1347,Parametros!$A$26:$A$43,0))</f>
        <v>20.4218</v>
      </c>
      <c r="R1347" s="21" t="n">
        <f aca="false">L1347*Q1347</f>
        <v>5187.1372</v>
      </c>
      <c r="S1347" s="18" t="n">
        <f aca="false">L1347*INDEX(Parametros!$B$20:$B$22,MATCH($E1347,Parametros!$A$20:$A$22,0))</f>
        <v>215.9</v>
      </c>
      <c r="T1347" s="18" t="n">
        <f aca="false">P1347*INDEX(Parametros!$B$13:$B$16,MATCH($F1347,Parametros!$A$13:$A$16,0))</f>
        <v>337.59648</v>
      </c>
      <c r="U1347" s="21" t="n">
        <f aca="false">P1347-R1347-S1347-T1347</f>
        <v>2699.27832</v>
      </c>
      <c r="V1347" s="19" t="n">
        <f aca="false">IFERROR(U1347/P1347,0)</f>
        <v>0.319823040808956</v>
      </c>
      <c r="W1347" s="48" t="n">
        <f aca="false">B1347+INDEX(Parametros!$C$13:$C$16,MATCH($F1347,Parametros!$A$13:$A$16,0))</f>
        <v>46194</v>
      </c>
      <c r="X1347" s="31" t="s">
        <v>67</v>
      </c>
      <c r="Y1347" s="53" t="n">
        <f aca="false">IF(COUNTIF($A$2:$A1347,A1347)=1,1,0)</f>
        <v>0</v>
      </c>
    </row>
    <row r="1348" customFormat="false" ht="15" hidden="false" customHeight="false" outlineLevel="0" collapsed="false">
      <c r="A1348" s="31" t="s">
        <v>963</v>
      </c>
      <c r="B1348" s="36" t="n">
        <v>46119</v>
      </c>
      <c r="C1348" s="49" t="n">
        <f aca="false">DATE(YEAR(B1348),MONTH(B1348),1)</f>
        <v>46113</v>
      </c>
      <c r="D1348" s="31" t="s">
        <v>197</v>
      </c>
      <c r="E1348" s="31" t="s">
        <v>41</v>
      </c>
      <c r="F1348" s="31" t="s">
        <v>46</v>
      </c>
      <c r="G1348" s="31" t="s">
        <v>58</v>
      </c>
      <c r="H1348" s="31" t="s">
        <v>171</v>
      </c>
      <c r="I1348" s="32" t="str">
        <f aca="false">INDEX(Productos!$B$2:$B$13,MATCH($H1348,Productos!$A$2:$A$13,0))</f>
        <v>Tornillo DIN 7991 M8x30 avellanado inox A2</v>
      </c>
      <c r="J1348" s="32" t="str">
        <f aca="false">INDEX(Productos!$C$2:$C$13,MATCH($H1348,Productos!$A$2:$A$13,0))</f>
        <v>Inoxidable</v>
      </c>
      <c r="K1348" s="31" t="s">
        <v>246</v>
      </c>
      <c r="L1348" s="46" t="n">
        <v>74</v>
      </c>
      <c r="M1348" s="50" t="n">
        <f aca="false">INDEX(Productos!$F$2:$F$13,MATCH($H1348,Productos!$A$2:$A$13,0))</f>
        <v>88</v>
      </c>
      <c r="N1348" s="51" t="n">
        <v>0.131</v>
      </c>
      <c r="O1348" s="52" t="n">
        <f aca="false">M1348*(1-N1348)</f>
        <v>76.472</v>
      </c>
      <c r="P1348" s="21" t="n">
        <f aca="false">L1348*O1348</f>
        <v>5658.928</v>
      </c>
      <c r="Q1348" s="50" t="n">
        <f aca="false">INDEX(Productos!$E$2:$E$13,MATCH($H1348,Productos!$A$2:$A$13,0))*INDEX(Parametros!$B$26:$B$43,MATCH($C1348,Parametros!$A$26:$A$43,0))</f>
        <v>46.779</v>
      </c>
      <c r="R1348" s="21" t="n">
        <f aca="false">L1348*Q1348</f>
        <v>3461.646</v>
      </c>
      <c r="S1348" s="18" t="n">
        <f aca="false">L1348*INDEX(Parametros!$B$20:$B$22,MATCH($E1348,Parametros!$A$20:$A$22,0))</f>
        <v>62.9</v>
      </c>
      <c r="T1348" s="18" t="n">
        <f aca="false">P1348*INDEX(Parametros!$B$13:$B$16,MATCH($F1348,Parametros!$A$13:$A$16,0))</f>
        <v>226.35712</v>
      </c>
      <c r="U1348" s="21" t="n">
        <f aca="false">P1348-R1348-S1348-T1348</f>
        <v>1908.02488</v>
      </c>
      <c r="V1348" s="19" t="n">
        <f aca="false">IFERROR(U1348/P1348,0)</f>
        <v>0.337170729155769</v>
      </c>
      <c r="W1348" s="48" t="n">
        <f aca="false">B1348+INDEX(Parametros!$C$13:$C$16,MATCH($F1348,Parametros!$A$13:$A$16,0))</f>
        <v>46194</v>
      </c>
      <c r="X1348" s="31" t="s">
        <v>67</v>
      </c>
      <c r="Y1348" s="53" t="n">
        <f aca="false">IF(COUNTIF($A$2:$A1348,A1348)=1,1,0)</f>
        <v>0</v>
      </c>
    </row>
    <row r="1349" customFormat="false" ht="15" hidden="false" customHeight="false" outlineLevel="0" collapsed="false">
      <c r="A1349" s="31" t="s">
        <v>964</v>
      </c>
      <c r="B1349" s="36" t="n">
        <v>46120</v>
      </c>
      <c r="C1349" s="49" t="n">
        <f aca="false">DATE(YEAR(B1349),MONTH(B1349),1)</f>
        <v>46113</v>
      </c>
      <c r="D1349" s="31" t="s">
        <v>210</v>
      </c>
      <c r="E1349" s="31" t="s">
        <v>41</v>
      </c>
      <c r="F1349" s="31" t="s">
        <v>48</v>
      </c>
      <c r="G1349" s="31" t="s">
        <v>60</v>
      </c>
      <c r="H1349" s="31" t="s">
        <v>169</v>
      </c>
      <c r="I1349" s="32" t="str">
        <f aca="false">INDEX(Productos!$B$2:$B$13,MATCH($H1349,Productos!$A$2:$A$13,0))</f>
        <v>Tornillo DIN 912 M10x60 Allen inox A2</v>
      </c>
      <c r="J1349" s="32" t="str">
        <f aca="false">INDEX(Productos!$C$2:$C$13,MATCH($H1349,Productos!$A$2:$A$13,0))</f>
        <v>Inoxidable</v>
      </c>
      <c r="K1349" s="31" t="s">
        <v>246</v>
      </c>
      <c r="L1349" s="46" t="n">
        <v>4</v>
      </c>
      <c r="M1349" s="50" t="n">
        <f aca="false">INDEX(Productos!$F$2:$F$13,MATCH($H1349,Productos!$A$2:$A$13,0))</f>
        <v>79</v>
      </c>
      <c r="N1349" s="51" t="n">
        <v>0.041</v>
      </c>
      <c r="O1349" s="52" t="n">
        <f aca="false">M1349*(1-N1349)</f>
        <v>75.761</v>
      </c>
      <c r="P1349" s="21" t="n">
        <f aca="false">L1349*O1349</f>
        <v>303.044</v>
      </c>
      <c r="Q1349" s="50" t="n">
        <f aca="false">INDEX(Productos!$E$2:$E$13,MATCH($H1349,Productos!$A$2:$A$13,0))*INDEX(Parametros!$B$26:$B$43,MATCH($C1349,Parametros!$A$26:$A$43,0))</f>
        <v>42.252</v>
      </c>
      <c r="R1349" s="21" t="n">
        <f aca="false">L1349*Q1349</f>
        <v>169.008</v>
      </c>
      <c r="S1349" s="18" t="n">
        <f aca="false">L1349*INDEX(Parametros!$B$20:$B$22,MATCH($E1349,Parametros!$A$20:$A$22,0))</f>
        <v>3.4</v>
      </c>
      <c r="T1349" s="18" t="n">
        <f aca="false">P1349*INDEX(Parametros!$B$13:$B$16,MATCH($F1349,Parametros!$A$13:$A$16,0))</f>
        <v>3.03044</v>
      </c>
      <c r="U1349" s="21" t="n">
        <f aca="false">P1349-R1349-S1349-T1349</f>
        <v>127.60556</v>
      </c>
      <c r="V1349" s="19" t="n">
        <f aca="false">IFERROR(U1349/P1349,0)</f>
        <v>0.421079315214952</v>
      </c>
      <c r="W1349" s="48" t="n">
        <f aca="false">B1349+INDEX(Parametros!$C$13:$C$16,MATCH($F1349,Parametros!$A$13:$A$16,0))</f>
        <v>46120</v>
      </c>
      <c r="X1349" s="31" t="s">
        <v>69</v>
      </c>
      <c r="Y1349" s="53" t="n">
        <f aca="false">IF(COUNTIF($A$2:$A1349,A1349)=1,1,0)</f>
        <v>1</v>
      </c>
    </row>
    <row r="1350" customFormat="false" ht="15" hidden="false" customHeight="false" outlineLevel="0" collapsed="false">
      <c r="A1350" s="31" t="s">
        <v>964</v>
      </c>
      <c r="B1350" s="36" t="n">
        <v>46120</v>
      </c>
      <c r="C1350" s="49" t="n">
        <f aca="false">DATE(YEAR(B1350),MONTH(B1350),1)</f>
        <v>46113</v>
      </c>
      <c r="D1350" s="31" t="s">
        <v>210</v>
      </c>
      <c r="E1350" s="31" t="s">
        <v>41</v>
      </c>
      <c r="F1350" s="31" t="s">
        <v>48</v>
      </c>
      <c r="G1350" s="31" t="s">
        <v>60</v>
      </c>
      <c r="H1350" s="31" t="s">
        <v>179</v>
      </c>
      <c r="I1350" s="32" t="str">
        <f aca="false">INDEX(Productos!$B$2:$B$13,MATCH($H1350,Productos!$A$2:$A$13,0))</f>
        <v>Autotaladrante DIN 7504 4,8x38 zincado</v>
      </c>
      <c r="J1350" s="32" t="str">
        <f aca="false">INDEX(Productos!$C$2:$C$13,MATCH($H1350,Productos!$A$2:$A$13,0))</f>
        <v>Autotaladrante</v>
      </c>
      <c r="K1350" s="31" t="s">
        <v>246</v>
      </c>
      <c r="L1350" s="46" t="n">
        <v>6</v>
      </c>
      <c r="M1350" s="50" t="n">
        <f aca="false">INDEX(Productos!$F$2:$F$13,MATCH($H1350,Productos!$A$2:$A$13,0))</f>
        <v>29.5</v>
      </c>
      <c r="N1350" s="51" t="n">
        <v>0.012</v>
      </c>
      <c r="O1350" s="52" t="n">
        <f aca="false">M1350*(1-N1350)</f>
        <v>29.146</v>
      </c>
      <c r="P1350" s="21" t="n">
        <f aca="false">L1350*O1350</f>
        <v>174.876</v>
      </c>
      <c r="Q1350" s="50" t="n">
        <f aca="false">INDEX(Productos!$E$2:$E$13,MATCH($H1350,Productos!$A$2:$A$13,0))*INDEX(Parametros!$B$26:$B$43,MATCH($C1350,Parametros!$A$26:$A$43,0))</f>
        <v>15.2912</v>
      </c>
      <c r="R1350" s="21" t="n">
        <f aca="false">L1350*Q1350</f>
        <v>91.7472</v>
      </c>
      <c r="S1350" s="18" t="n">
        <f aca="false">L1350*INDEX(Parametros!$B$20:$B$22,MATCH($E1350,Parametros!$A$20:$A$22,0))</f>
        <v>5.1</v>
      </c>
      <c r="T1350" s="18" t="n">
        <f aca="false">P1350*INDEX(Parametros!$B$13:$B$16,MATCH($F1350,Parametros!$A$13:$A$16,0))</f>
        <v>1.74876</v>
      </c>
      <c r="U1350" s="21" t="n">
        <f aca="false">P1350-R1350-S1350-T1350</f>
        <v>76.28004</v>
      </c>
      <c r="V1350" s="19" t="n">
        <f aca="false">IFERROR(U1350/P1350,0)</f>
        <v>0.436195018184314</v>
      </c>
      <c r="W1350" s="48" t="n">
        <f aca="false">B1350+INDEX(Parametros!$C$13:$C$16,MATCH($F1350,Parametros!$A$13:$A$16,0))</f>
        <v>46120</v>
      </c>
      <c r="X1350" s="31" t="s">
        <v>67</v>
      </c>
      <c r="Y1350" s="53" t="n">
        <f aca="false">IF(COUNTIF($A$2:$A1350,A1350)=1,1,0)</f>
        <v>0</v>
      </c>
    </row>
    <row r="1351" customFormat="false" ht="15" hidden="false" customHeight="false" outlineLevel="0" collapsed="false">
      <c r="A1351" s="31" t="s">
        <v>965</v>
      </c>
      <c r="B1351" s="36" t="n">
        <v>46120</v>
      </c>
      <c r="C1351" s="49" t="n">
        <f aca="false">DATE(YEAR(B1351),MONTH(B1351),1)</f>
        <v>46113</v>
      </c>
      <c r="D1351" s="31" t="s">
        <v>206</v>
      </c>
      <c r="E1351" s="31" t="s">
        <v>41</v>
      </c>
      <c r="F1351" s="31" t="s">
        <v>46</v>
      </c>
      <c r="G1351" s="31" t="s">
        <v>58</v>
      </c>
      <c r="H1351" s="31" t="s">
        <v>183</v>
      </c>
      <c r="I1351" s="32" t="str">
        <f aca="false">INDEX(Productos!$B$2:$B$13,MATCH($H1351,Productos!$A$2:$A$13,0))</f>
        <v>Tornillo estructural M16x90 clase 10.9</v>
      </c>
      <c r="J1351" s="32" t="str">
        <f aca="false">INDEX(Productos!$C$2:$C$13,MATCH($H1351,Productos!$A$2:$A$13,0))</f>
        <v>Especial</v>
      </c>
      <c r="K1351" s="31" t="s">
        <v>246</v>
      </c>
      <c r="L1351" s="46" t="n">
        <v>20</v>
      </c>
      <c r="M1351" s="50" t="n">
        <f aca="false">INDEX(Productos!$F$2:$F$13,MATCH($H1351,Productos!$A$2:$A$13,0))</f>
        <v>112</v>
      </c>
      <c r="N1351" s="51" t="n">
        <v>0.107</v>
      </c>
      <c r="O1351" s="52" t="n">
        <f aca="false">M1351*(1-N1351)</f>
        <v>100.016</v>
      </c>
      <c r="P1351" s="21" t="n">
        <f aca="false">L1351*O1351</f>
        <v>2000.32</v>
      </c>
      <c r="Q1351" s="50" t="n">
        <f aca="false">INDEX(Productos!$E$2:$E$13,MATCH($H1351,Productos!$A$2:$A$13,0))*INDEX(Parametros!$B$26:$B$43,MATCH($C1351,Parametros!$A$26:$A$43,0))</f>
        <v>60.36</v>
      </c>
      <c r="R1351" s="21" t="n">
        <f aca="false">L1351*Q1351</f>
        <v>1207.2</v>
      </c>
      <c r="S1351" s="18" t="n">
        <f aca="false">L1351*INDEX(Parametros!$B$20:$B$22,MATCH($E1351,Parametros!$A$20:$A$22,0))</f>
        <v>17</v>
      </c>
      <c r="T1351" s="18" t="n">
        <f aca="false">P1351*INDEX(Parametros!$B$13:$B$16,MATCH($F1351,Parametros!$A$13:$A$16,0))</f>
        <v>80.0128</v>
      </c>
      <c r="U1351" s="21" t="n">
        <f aca="false">P1351-R1351-S1351-T1351</f>
        <v>696.1072</v>
      </c>
      <c r="V1351" s="19" t="n">
        <f aca="false">IFERROR(U1351/P1351,0)</f>
        <v>0.347997920332747</v>
      </c>
      <c r="W1351" s="48" t="n">
        <f aca="false">B1351+INDEX(Parametros!$C$13:$C$16,MATCH($F1351,Parametros!$A$13:$A$16,0))</f>
        <v>46195</v>
      </c>
      <c r="X1351" s="31" t="s">
        <v>69</v>
      </c>
      <c r="Y1351" s="53" t="n">
        <f aca="false">IF(COUNTIF($A$2:$A1351,A1351)=1,1,0)</f>
        <v>1</v>
      </c>
    </row>
    <row r="1352" customFormat="false" ht="15" hidden="false" customHeight="false" outlineLevel="0" collapsed="false">
      <c r="A1352" s="31" t="s">
        <v>966</v>
      </c>
      <c r="B1352" s="36" t="n">
        <v>46121</v>
      </c>
      <c r="C1352" s="49" t="n">
        <f aca="false">DATE(YEAR(B1352),MONTH(B1352),1)</f>
        <v>46113</v>
      </c>
      <c r="D1352" s="31" t="s">
        <v>212</v>
      </c>
      <c r="E1352" s="31" t="s">
        <v>42</v>
      </c>
      <c r="F1352" s="31" t="s">
        <v>45</v>
      </c>
      <c r="G1352" s="31" t="s">
        <v>61</v>
      </c>
      <c r="H1352" s="31" t="s">
        <v>165</v>
      </c>
      <c r="I1352" s="32" t="str">
        <f aca="false">INDEX(Productos!$B$2:$B$13,MATCH($H1352,Productos!$A$2:$A$13,0))</f>
        <v>Tornillo DIN 933 M8x40 rosca completa zincado</v>
      </c>
      <c r="J1352" s="32" t="str">
        <f aca="false">INDEX(Productos!$C$2:$C$13,MATCH($H1352,Productos!$A$2:$A$13,0))</f>
        <v>Métrica</v>
      </c>
      <c r="K1352" s="31" t="s">
        <v>246</v>
      </c>
      <c r="L1352" s="46" t="n">
        <v>47</v>
      </c>
      <c r="M1352" s="50" t="n">
        <f aca="false">INDEX(Productos!$F$2:$F$13,MATCH($H1352,Productos!$A$2:$A$13,0))</f>
        <v>37.5</v>
      </c>
      <c r="N1352" s="51" t="n">
        <v>0.17</v>
      </c>
      <c r="O1352" s="52" t="n">
        <f aca="false">M1352*(1-N1352)</f>
        <v>31.125</v>
      </c>
      <c r="P1352" s="21" t="n">
        <f aca="false">L1352*O1352</f>
        <v>1462.875</v>
      </c>
      <c r="Q1352" s="50" t="n">
        <f aca="false">INDEX(Productos!$E$2:$E$13,MATCH($H1352,Productos!$A$2:$A$13,0))*INDEX(Parametros!$B$26:$B$43,MATCH($C1352,Parametros!$A$26:$A$43,0))</f>
        <v>19.5164</v>
      </c>
      <c r="R1352" s="21" t="n">
        <f aca="false">L1352*Q1352</f>
        <v>917.2708</v>
      </c>
      <c r="S1352" s="18" t="n">
        <f aca="false">L1352*INDEX(Parametros!$B$20:$B$22,MATCH($E1352,Parametros!$A$20:$A$22,0))</f>
        <v>112.8</v>
      </c>
      <c r="T1352" s="18" t="n">
        <f aca="false">P1352*INDEX(Parametros!$B$13:$B$16,MATCH($F1352,Parametros!$A$13:$A$16,0))</f>
        <v>43.88625</v>
      </c>
      <c r="U1352" s="21" t="n">
        <f aca="false">P1352-R1352-S1352-T1352</f>
        <v>388.91795</v>
      </c>
      <c r="V1352" s="19" t="n">
        <f aca="false">IFERROR(U1352/P1352,0)</f>
        <v>0.265858634538153</v>
      </c>
      <c r="W1352" s="48" t="n">
        <f aca="false">B1352+INDEX(Parametros!$C$13:$C$16,MATCH($F1352,Parametros!$A$13:$A$16,0))</f>
        <v>46181</v>
      </c>
      <c r="X1352" s="31" t="s">
        <v>67</v>
      </c>
      <c r="Y1352" s="53" t="n">
        <f aca="false">IF(COUNTIF($A$2:$A1352,A1352)=1,1,0)</f>
        <v>1</v>
      </c>
    </row>
    <row r="1353" customFormat="false" ht="15" hidden="false" customHeight="false" outlineLevel="0" collapsed="false">
      <c r="A1353" s="31" t="s">
        <v>966</v>
      </c>
      <c r="B1353" s="36" t="n">
        <v>46121</v>
      </c>
      <c r="C1353" s="49" t="n">
        <f aca="false">DATE(YEAR(B1353),MONTH(B1353),1)</f>
        <v>46113</v>
      </c>
      <c r="D1353" s="31" t="s">
        <v>212</v>
      </c>
      <c r="E1353" s="31" t="s">
        <v>42</v>
      </c>
      <c r="F1353" s="31" t="s">
        <v>45</v>
      </c>
      <c r="G1353" s="31" t="s">
        <v>61</v>
      </c>
      <c r="H1353" s="31" t="s">
        <v>181</v>
      </c>
      <c r="I1353" s="32" t="str">
        <f aca="false">INDEX(Productos!$B$2:$B$13,MATCH($H1353,Productos!$A$2:$A$13,0))</f>
        <v>Autotaladrante 5,5x55 punta broca</v>
      </c>
      <c r="J1353" s="32" t="str">
        <f aca="false">INDEX(Productos!$C$2:$C$13,MATCH($H1353,Productos!$A$2:$A$13,0))</f>
        <v>Autotaladrante</v>
      </c>
      <c r="K1353" s="31" t="s">
        <v>246</v>
      </c>
      <c r="L1353" s="46" t="n">
        <v>169</v>
      </c>
      <c r="M1353" s="50" t="n">
        <f aca="false">INDEX(Productos!$F$2:$F$13,MATCH($H1353,Productos!$A$2:$A$13,0))</f>
        <v>39</v>
      </c>
      <c r="N1353" s="51" t="n">
        <v>0.15</v>
      </c>
      <c r="O1353" s="52" t="n">
        <f aca="false">M1353*(1-N1353)</f>
        <v>33.15</v>
      </c>
      <c r="P1353" s="21" t="n">
        <f aca="false">L1353*O1353</f>
        <v>5602.35</v>
      </c>
      <c r="Q1353" s="50" t="n">
        <f aca="false">INDEX(Productos!$E$2:$E$13,MATCH($H1353,Productos!$A$2:$A$13,0))*INDEX(Parametros!$B$26:$B$43,MATCH($C1353,Parametros!$A$26:$A$43,0))</f>
        <v>20.4218</v>
      </c>
      <c r="R1353" s="21" t="n">
        <f aca="false">L1353*Q1353</f>
        <v>3451.2842</v>
      </c>
      <c r="S1353" s="18" t="n">
        <f aca="false">L1353*INDEX(Parametros!$B$20:$B$22,MATCH($E1353,Parametros!$A$20:$A$22,0))</f>
        <v>405.6</v>
      </c>
      <c r="T1353" s="18" t="n">
        <f aca="false">P1353*INDEX(Parametros!$B$13:$B$16,MATCH($F1353,Parametros!$A$13:$A$16,0))</f>
        <v>168.0705</v>
      </c>
      <c r="U1353" s="21" t="n">
        <f aca="false">P1353-R1353-S1353-T1353</f>
        <v>1577.3953</v>
      </c>
      <c r="V1353" s="19" t="n">
        <f aca="false">IFERROR(U1353/P1353,0)</f>
        <v>0.281559577677225</v>
      </c>
      <c r="W1353" s="48" t="n">
        <f aca="false">B1353+INDEX(Parametros!$C$13:$C$16,MATCH($F1353,Parametros!$A$13:$A$16,0))</f>
        <v>46181</v>
      </c>
      <c r="X1353" s="31" t="s">
        <v>67</v>
      </c>
      <c r="Y1353" s="53" t="n">
        <f aca="false">IF(COUNTIF($A$2:$A1353,A1353)=1,1,0)</f>
        <v>0</v>
      </c>
    </row>
    <row r="1354" customFormat="false" ht="15" hidden="false" customHeight="false" outlineLevel="0" collapsed="false">
      <c r="A1354" s="31" t="s">
        <v>966</v>
      </c>
      <c r="B1354" s="36" t="n">
        <v>46121</v>
      </c>
      <c r="C1354" s="49" t="n">
        <f aca="false">DATE(YEAR(B1354),MONTH(B1354),1)</f>
        <v>46113</v>
      </c>
      <c r="D1354" s="31" t="s">
        <v>212</v>
      </c>
      <c r="E1354" s="31" t="s">
        <v>42</v>
      </c>
      <c r="F1354" s="31" t="s">
        <v>45</v>
      </c>
      <c r="G1354" s="31" t="s">
        <v>61</v>
      </c>
      <c r="H1354" s="31" t="s">
        <v>185</v>
      </c>
      <c r="I1354" s="32" t="str">
        <f aca="false">INDEX(Productos!$B$2:$B$13,MATCH($H1354,Productos!$A$2:$A$13,0))</f>
        <v>Varilla roscada M10 x 1 m zincada</v>
      </c>
      <c r="J1354" s="32" t="str">
        <f aca="false">INDEX(Productos!$C$2:$C$13,MATCH($H1354,Productos!$A$2:$A$13,0))</f>
        <v>Especial</v>
      </c>
      <c r="K1354" s="31" t="s">
        <v>246</v>
      </c>
      <c r="L1354" s="46" t="n">
        <v>89</v>
      </c>
      <c r="M1354" s="50" t="n">
        <f aca="false">INDEX(Productos!$F$2:$F$13,MATCH($H1354,Productos!$A$2:$A$13,0))</f>
        <v>54</v>
      </c>
      <c r="N1354" s="51" t="n">
        <v>0.184</v>
      </c>
      <c r="O1354" s="52" t="n">
        <f aca="false">M1354*(1-N1354)</f>
        <v>44.064</v>
      </c>
      <c r="P1354" s="21" t="n">
        <f aca="false">L1354*O1354</f>
        <v>3921.696</v>
      </c>
      <c r="Q1354" s="50" t="n">
        <f aca="false">INDEX(Productos!$E$2:$E$13,MATCH($H1354,Productos!$A$2:$A$13,0))*INDEX(Parametros!$B$26:$B$43,MATCH($C1354,Parametros!$A$26:$A$43,0))</f>
        <v>28.671</v>
      </c>
      <c r="R1354" s="21" t="n">
        <f aca="false">L1354*Q1354</f>
        <v>2551.719</v>
      </c>
      <c r="S1354" s="18" t="n">
        <f aca="false">L1354*INDEX(Parametros!$B$20:$B$22,MATCH($E1354,Parametros!$A$20:$A$22,0))</f>
        <v>213.6</v>
      </c>
      <c r="T1354" s="18" t="n">
        <f aca="false">P1354*INDEX(Parametros!$B$13:$B$16,MATCH($F1354,Parametros!$A$13:$A$16,0))</f>
        <v>117.65088</v>
      </c>
      <c r="U1354" s="21" t="n">
        <f aca="false">P1354-R1354-S1354-T1354</f>
        <v>1038.72612</v>
      </c>
      <c r="V1354" s="19" t="n">
        <f aca="false">IFERROR(U1354/P1354,0)</f>
        <v>0.264866557734205</v>
      </c>
      <c r="W1354" s="48" t="n">
        <f aca="false">B1354+INDEX(Parametros!$C$13:$C$16,MATCH($F1354,Parametros!$A$13:$A$16,0))</f>
        <v>46181</v>
      </c>
      <c r="X1354" s="31" t="s">
        <v>67</v>
      </c>
      <c r="Y1354" s="53" t="n">
        <f aca="false">IF(COUNTIF($A$2:$A1354,A1354)=1,1,0)</f>
        <v>0</v>
      </c>
    </row>
    <row r="1355" customFormat="false" ht="15" hidden="false" customHeight="false" outlineLevel="0" collapsed="false">
      <c r="A1355" s="31" t="s">
        <v>967</v>
      </c>
      <c r="B1355" s="36" t="n">
        <v>46121</v>
      </c>
      <c r="C1355" s="49" t="n">
        <f aca="false">DATE(YEAR(B1355),MONTH(B1355),1)</f>
        <v>46113</v>
      </c>
      <c r="D1355" s="31" t="s">
        <v>203</v>
      </c>
      <c r="E1355" s="31" t="s">
        <v>41</v>
      </c>
      <c r="F1355" s="31" t="s">
        <v>46</v>
      </c>
      <c r="G1355" s="31" t="s">
        <v>58</v>
      </c>
      <c r="H1355" s="31" t="s">
        <v>171</v>
      </c>
      <c r="I1355" s="32" t="str">
        <f aca="false">INDEX(Productos!$B$2:$B$13,MATCH($H1355,Productos!$A$2:$A$13,0))</f>
        <v>Tornillo DIN 7991 M8x30 avellanado inox A2</v>
      </c>
      <c r="J1355" s="32" t="str">
        <f aca="false">INDEX(Productos!$C$2:$C$13,MATCH($H1355,Productos!$A$2:$A$13,0))</f>
        <v>Inoxidable</v>
      </c>
      <c r="K1355" s="31" t="s">
        <v>246</v>
      </c>
      <c r="L1355" s="46" t="n">
        <v>136</v>
      </c>
      <c r="M1355" s="50" t="n">
        <f aca="false">INDEX(Productos!$F$2:$F$13,MATCH($H1355,Productos!$A$2:$A$13,0))</f>
        <v>88</v>
      </c>
      <c r="N1355" s="51" t="n">
        <v>0.085</v>
      </c>
      <c r="O1355" s="52" t="n">
        <f aca="false">M1355*(1-N1355)</f>
        <v>80.52</v>
      </c>
      <c r="P1355" s="21" t="n">
        <f aca="false">L1355*O1355</f>
        <v>10950.72</v>
      </c>
      <c r="Q1355" s="50" t="n">
        <f aca="false">INDEX(Productos!$E$2:$E$13,MATCH($H1355,Productos!$A$2:$A$13,0))*INDEX(Parametros!$B$26:$B$43,MATCH($C1355,Parametros!$A$26:$A$43,0))</f>
        <v>46.779</v>
      </c>
      <c r="R1355" s="21" t="n">
        <f aca="false">L1355*Q1355</f>
        <v>6361.944</v>
      </c>
      <c r="S1355" s="18" t="n">
        <f aca="false">L1355*INDEX(Parametros!$B$20:$B$22,MATCH($E1355,Parametros!$A$20:$A$22,0))</f>
        <v>115.6</v>
      </c>
      <c r="T1355" s="18" t="n">
        <f aca="false">P1355*INDEX(Parametros!$B$13:$B$16,MATCH($F1355,Parametros!$A$13:$A$16,0))</f>
        <v>438.0288</v>
      </c>
      <c r="U1355" s="21" t="n">
        <f aca="false">P1355-R1355-S1355-T1355</f>
        <v>4035.1472</v>
      </c>
      <c r="V1355" s="19" t="n">
        <f aca="false">IFERROR(U1355/P1355,0)</f>
        <v>0.368482364629906</v>
      </c>
      <c r="W1355" s="48" t="n">
        <f aca="false">B1355+INDEX(Parametros!$C$13:$C$16,MATCH($F1355,Parametros!$A$13:$A$16,0))</f>
        <v>46196</v>
      </c>
      <c r="X1355" s="31" t="s">
        <v>67</v>
      </c>
      <c r="Y1355" s="53" t="n">
        <f aca="false">IF(COUNTIF($A$2:$A1355,A1355)=1,1,0)</f>
        <v>1</v>
      </c>
    </row>
    <row r="1356" customFormat="false" ht="15" hidden="false" customHeight="false" outlineLevel="0" collapsed="false">
      <c r="A1356" s="31" t="s">
        <v>968</v>
      </c>
      <c r="B1356" s="36" t="n">
        <v>46122</v>
      </c>
      <c r="C1356" s="49" t="n">
        <f aca="false">DATE(YEAR(B1356),MONTH(B1356),1)</f>
        <v>46113</v>
      </c>
      <c r="D1356" s="31" t="s">
        <v>192</v>
      </c>
      <c r="E1356" s="31" t="s">
        <v>41</v>
      </c>
      <c r="F1356" s="31" t="s">
        <v>45</v>
      </c>
      <c r="G1356" s="31" t="s">
        <v>58</v>
      </c>
      <c r="H1356" s="31" t="s">
        <v>165</v>
      </c>
      <c r="I1356" s="32" t="str">
        <f aca="false">INDEX(Productos!$B$2:$B$13,MATCH($H1356,Productos!$A$2:$A$13,0))</f>
        <v>Tornillo DIN 933 M8x40 rosca completa zincado</v>
      </c>
      <c r="J1356" s="32" t="str">
        <f aca="false">INDEX(Productos!$C$2:$C$13,MATCH($H1356,Productos!$A$2:$A$13,0))</f>
        <v>Métrica</v>
      </c>
      <c r="K1356" s="31" t="s">
        <v>246</v>
      </c>
      <c r="L1356" s="46" t="n">
        <v>25</v>
      </c>
      <c r="M1356" s="50" t="n">
        <f aca="false">INDEX(Productos!$F$2:$F$13,MATCH($H1356,Productos!$A$2:$A$13,0))</f>
        <v>37.5</v>
      </c>
      <c r="N1356" s="51" t="n">
        <v>0.211</v>
      </c>
      <c r="O1356" s="52" t="n">
        <f aca="false">M1356*(1-N1356)</f>
        <v>29.5875</v>
      </c>
      <c r="P1356" s="21" t="n">
        <f aca="false">L1356*O1356</f>
        <v>739.6875</v>
      </c>
      <c r="Q1356" s="50" t="n">
        <f aca="false">INDEX(Productos!$E$2:$E$13,MATCH($H1356,Productos!$A$2:$A$13,0))*INDEX(Parametros!$B$26:$B$43,MATCH($C1356,Parametros!$A$26:$A$43,0))</f>
        <v>19.5164</v>
      </c>
      <c r="R1356" s="21" t="n">
        <f aca="false">L1356*Q1356</f>
        <v>487.91</v>
      </c>
      <c r="S1356" s="18" t="n">
        <f aca="false">L1356*INDEX(Parametros!$B$20:$B$22,MATCH($E1356,Parametros!$A$20:$A$22,0))</f>
        <v>21.25</v>
      </c>
      <c r="T1356" s="18" t="n">
        <f aca="false">P1356*INDEX(Parametros!$B$13:$B$16,MATCH($F1356,Parametros!$A$13:$A$16,0))</f>
        <v>22.190625</v>
      </c>
      <c r="U1356" s="21" t="n">
        <f aca="false">P1356-R1356-S1356-T1356</f>
        <v>208.336875</v>
      </c>
      <c r="V1356" s="19" t="n">
        <f aca="false">IFERROR(U1356/P1356,0)</f>
        <v>0.28165525982256</v>
      </c>
      <c r="W1356" s="48" t="n">
        <f aca="false">B1356+INDEX(Parametros!$C$13:$C$16,MATCH($F1356,Parametros!$A$13:$A$16,0))</f>
        <v>46182</v>
      </c>
      <c r="X1356" s="31" t="s">
        <v>67</v>
      </c>
      <c r="Y1356" s="53" t="n">
        <f aca="false">IF(COUNTIF($A$2:$A1356,A1356)=1,1,0)</f>
        <v>1</v>
      </c>
    </row>
    <row r="1357" customFormat="false" ht="15" hidden="false" customHeight="false" outlineLevel="0" collapsed="false">
      <c r="A1357" s="31" t="s">
        <v>969</v>
      </c>
      <c r="B1357" s="36" t="n">
        <v>46122</v>
      </c>
      <c r="C1357" s="49" t="n">
        <f aca="false">DATE(YEAR(B1357),MONTH(B1357),1)</f>
        <v>46113</v>
      </c>
      <c r="D1357" s="31" t="s">
        <v>220</v>
      </c>
      <c r="E1357" s="31" t="s">
        <v>42</v>
      </c>
      <c r="F1357" s="31" t="s">
        <v>46</v>
      </c>
      <c r="G1357" s="31" t="s">
        <v>61</v>
      </c>
      <c r="H1357" s="31" t="s">
        <v>173</v>
      </c>
      <c r="I1357" s="32" t="str">
        <f aca="false">INDEX(Productos!$B$2:$B$13,MATCH($H1357,Productos!$A$2:$A$13,0))</f>
        <v>Tornillo DIN 933 M12x70 clase 8.8</v>
      </c>
      <c r="J1357" s="32" t="str">
        <f aca="false">INDEX(Productos!$C$2:$C$13,MATCH($H1357,Productos!$A$2:$A$13,0))</f>
        <v>Métrica</v>
      </c>
      <c r="K1357" s="31" t="s">
        <v>246</v>
      </c>
      <c r="L1357" s="46" t="n">
        <v>54</v>
      </c>
      <c r="M1357" s="50" t="n">
        <f aca="false">INDEX(Productos!$F$2:$F$13,MATCH($H1357,Productos!$A$2:$A$13,0))</f>
        <v>64</v>
      </c>
      <c r="N1357" s="51" t="n">
        <v>0.124</v>
      </c>
      <c r="O1357" s="52" t="n">
        <f aca="false">M1357*(1-N1357)</f>
        <v>56.064</v>
      </c>
      <c r="P1357" s="21" t="n">
        <f aca="false">L1357*O1357</f>
        <v>3027.456</v>
      </c>
      <c r="Q1357" s="50" t="n">
        <f aca="false">INDEX(Productos!$E$2:$E$13,MATCH($H1357,Productos!$A$2:$A$13,0))*INDEX(Parametros!$B$26:$B$43,MATCH($C1357,Parametros!$A$26:$A$43,0))</f>
        <v>33.701</v>
      </c>
      <c r="R1357" s="21" t="n">
        <f aca="false">L1357*Q1357</f>
        <v>1819.854</v>
      </c>
      <c r="S1357" s="18" t="n">
        <f aca="false">L1357*INDEX(Parametros!$B$20:$B$22,MATCH($E1357,Parametros!$A$20:$A$22,0))</f>
        <v>129.6</v>
      </c>
      <c r="T1357" s="18" t="n">
        <f aca="false">P1357*INDEX(Parametros!$B$13:$B$16,MATCH($F1357,Parametros!$A$13:$A$16,0))</f>
        <v>121.09824</v>
      </c>
      <c r="U1357" s="21" t="n">
        <f aca="false">P1357-R1357-S1357-T1357</f>
        <v>956.90376</v>
      </c>
      <c r="V1357" s="19" t="n">
        <f aca="false">IFERROR(U1357/P1357,0)</f>
        <v>0.31607519977169</v>
      </c>
      <c r="W1357" s="48" t="n">
        <f aca="false">B1357+INDEX(Parametros!$C$13:$C$16,MATCH($F1357,Parametros!$A$13:$A$16,0))</f>
        <v>46197</v>
      </c>
      <c r="X1357" s="31" t="s">
        <v>67</v>
      </c>
      <c r="Y1357" s="53" t="n">
        <f aca="false">IF(COUNTIF($A$2:$A1357,A1357)=1,1,0)</f>
        <v>1</v>
      </c>
    </row>
    <row r="1358" customFormat="false" ht="15" hidden="false" customHeight="false" outlineLevel="0" collapsed="false">
      <c r="A1358" s="31" t="s">
        <v>970</v>
      </c>
      <c r="B1358" s="36" t="n">
        <v>46125</v>
      </c>
      <c r="C1358" s="49" t="n">
        <f aca="false">DATE(YEAR(B1358),MONTH(B1358),1)</f>
        <v>46113</v>
      </c>
      <c r="D1358" s="31" t="s">
        <v>224</v>
      </c>
      <c r="E1358" s="31" t="s">
        <v>43</v>
      </c>
      <c r="F1358" s="31" t="s">
        <v>45</v>
      </c>
      <c r="G1358" s="31" t="s">
        <v>59</v>
      </c>
      <c r="H1358" s="31" t="s">
        <v>163</v>
      </c>
      <c r="I1358" s="32" t="str">
        <f aca="false">INDEX(Productos!$B$2:$B$13,MATCH($H1358,Productos!$A$2:$A$13,0))</f>
        <v>Tornillo DIN 933 M6x30 rosca completa zincado</v>
      </c>
      <c r="J1358" s="32" t="str">
        <f aca="false">INDEX(Productos!$C$2:$C$13,MATCH($H1358,Productos!$A$2:$A$13,0))</f>
        <v>Métrica</v>
      </c>
      <c r="K1358" s="31" t="s">
        <v>246</v>
      </c>
      <c r="L1358" s="46" t="n">
        <v>73</v>
      </c>
      <c r="M1358" s="50" t="n">
        <f aca="false">INDEX(Productos!$F$2:$F$13,MATCH($H1358,Productos!$A$2:$A$13,0))</f>
        <v>32</v>
      </c>
      <c r="N1358" s="51" t="n">
        <v>0.198</v>
      </c>
      <c r="O1358" s="52" t="n">
        <f aca="false">M1358*(1-N1358)</f>
        <v>25.664</v>
      </c>
      <c r="P1358" s="21" t="n">
        <f aca="false">L1358*O1358</f>
        <v>1873.472</v>
      </c>
      <c r="Q1358" s="50" t="n">
        <f aca="false">INDEX(Productos!$E$2:$E$13,MATCH($H1358,Productos!$A$2:$A$13,0))*INDEX(Parametros!$B$26:$B$43,MATCH($C1358,Parametros!$A$26:$A$43,0))</f>
        <v>16.6996</v>
      </c>
      <c r="R1358" s="21" t="n">
        <f aca="false">L1358*Q1358</f>
        <v>1219.0708</v>
      </c>
      <c r="S1358" s="18" t="n">
        <f aca="false">L1358*INDEX(Parametros!$B$20:$B$22,MATCH($E1358,Parametros!$A$20:$A$22,0))</f>
        <v>138.7</v>
      </c>
      <c r="T1358" s="18" t="n">
        <f aca="false">P1358*INDEX(Parametros!$B$13:$B$16,MATCH($F1358,Parametros!$A$13:$A$16,0))</f>
        <v>56.20416</v>
      </c>
      <c r="U1358" s="21" t="n">
        <f aca="false">P1358-R1358-S1358-T1358</f>
        <v>459.49704</v>
      </c>
      <c r="V1358" s="19" t="n">
        <f aca="false">IFERROR(U1358/P1358,0)</f>
        <v>0.245264962593516</v>
      </c>
      <c r="W1358" s="48" t="n">
        <f aca="false">B1358+INDEX(Parametros!$C$13:$C$16,MATCH($F1358,Parametros!$A$13:$A$16,0))</f>
        <v>46185</v>
      </c>
      <c r="X1358" s="31" t="s">
        <v>67</v>
      </c>
      <c r="Y1358" s="53" t="n">
        <f aca="false">IF(COUNTIF($A$2:$A1358,A1358)=1,1,0)</f>
        <v>1</v>
      </c>
    </row>
    <row r="1359" customFormat="false" ht="15" hidden="false" customHeight="false" outlineLevel="0" collapsed="false">
      <c r="A1359" s="31" t="s">
        <v>971</v>
      </c>
      <c r="B1359" s="36" t="n">
        <v>46125</v>
      </c>
      <c r="C1359" s="49" t="n">
        <f aca="false">DATE(YEAR(B1359),MONTH(B1359),1)</f>
        <v>46113</v>
      </c>
      <c r="D1359" s="31" t="s">
        <v>210</v>
      </c>
      <c r="E1359" s="31" t="s">
        <v>41</v>
      </c>
      <c r="F1359" s="31" t="s">
        <v>48</v>
      </c>
      <c r="G1359" s="31" t="s">
        <v>60</v>
      </c>
      <c r="H1359" s="31" t="s">
        <v>173</v>
      </c>
      <c r="I1359" s="32" t="str">
        <f aca="false">INDEX(Productos!$B$2:$B$13,MATCH($H1359,Productos!$A$2:$A$13,0))</f>
        <v>Tornillo DIN 933 M12x70 clase 8.8</v>
      </c>
      <c r="J1359" s="32" t="str">
        <f aca="false">INDEX(Productos!$C$2:$C$13,MATCH($H1359,Productos!$A$2:$A$13,0))</f>
        <v>Métrica</v>
      </c>
      <c r="K1359" s="31" t="s">
        <v>246</v>
      </c>
      <c r="L1359" s="46" t="n">
        <v>55</v>
      </c>
      <c r="M1359" s="50" t="n">
        <f aca="false">INDEX(Productos!$F$2:$F$13,MATCH($H1359,Productos!$A$2:$A$13,0))</f>
        <v>64</v>
      </c>
      <c r="N1359" s="51" t="n">
        <v>0.016</v>
      </c>
      <c r="O1359" s="52" t="n">
        <f aca="false">M1359*(1-N1359)</f>
        <v>62.976</v>
      </c>
      <c r="P1359" s="21" t="n">
        <f aca="false">L1359*O1359</f>
        <v>3463.68</v>
      </c>
      <c r="Q1359" s="50" t="n">
        <f aca="false">INDEX(Productos!$E$2:$E$13,MATCH($H1359,Productos!$A$2:$A$13,0))*INDEX(Parametros!$B$26:$B$43,MATCH($C1359,Parametros!$A$26:$A$43,0))</f>
        <v>33.701</v>
      </c>
      <c r="R1359" s="21" t="n">
        <f aca="false">L1359*Q1359</f>
        <v>1853.555</v>
      </c>
      <c r="S1359" s="18" t="n">
        <f aca="false">L1359*INDEX(Parametros!$B$20:$B$22,MATCH($E1359,Parametros!$A$20:$A$22,0))</f>
        <v>46.75</v>
      </c>
      <c r="T1359" s="18" t="n">
        <f aca="false">P1359*INDEX(Parametros!$B$13:$B$16,MATCH($F1359,Parametros!$A$13:$A$16,0))</f>
        <v>34.6368</v>
      </c>
      <c r="U1359" s="21" t="n">
        <f aca="false">P1359-R1359-S1359-T1359</f>
        <v>1528.7382</v>
      </c>
      <c r="V1359" s="19" t="n">
        <f aca="false">IFERROR(U1359/P1359,0)</f>
        <v>0.441362423780488</v>
      </c>
      <c r="W1359" s="48" t="n">
        <f aca="false">B1359+INDEX(Parametros!$C$13:$C$16,MATCH($F1359,Parametros!$A$13:$A$16,0))</f>
        <v>46125</v>
      </c>
      <c r="X1359" s="31" t="s">
        <v>67</v>
      </c>
      <c r="Y1359" s="53" t="n">
        <f aca="false">IF(COUNTIF($A$2:$A1359,A1359)=1,1,0)</f>
        <v>1</v>
      </c>
    </row>
    <row r="1360" customFormat="false" ht="15" hidden="false" customHeight="false" outlineLevel="0" collapsed="false">
      <c r="A1360" s="31" t="s">
        <v>972</v>
      </c>
      <c r="B1360" s="36" t="n">
        <v>46125</v>
      </c>
      <c r="C1360" s="49" t="n">
        <f aca="false">DATE(YEAR(B1360),MONTH(B1360),1)</f>
        <v>46113</v>
      </c>
      <c r="D1360" s="31" t="s">
        <v>220</v>
      </c>
      <c r="E1360" s="31" t="s">
        <v>42</v>
      </c>
      <c r="F1360" s="31" t="s">
        <v>46</v>
      </c>
      <c r="G1360" s="31" t="s">
        <v>61</v>
      </c>
      <c r="H1360" s="31" t="s">
        <v>181</v>
      </c>
      <c r="I1360" s="32" t="str">
        <f aca="false">INDEX(Productos!$B$2:$B$13,MATCH($H1360,Productos!$A$2:$A$13,0))</f>
        <v>Autotaladrante 5,5x55 punta broca</v>
      </c>
      <c r="J1360" s="32" t="str">
        <f aca="false">INDEX(Productos!$C$2:$C$13,MATCH($H1360,Productos!$A$2:$A$13,0))</f>
        <v>Autotaladrante</v>
      </c>
      <c r="K1360" s="31" t="s">
        <v>246</v>
      </c>
      <c r="L1360" s="46" t="n">
        <v>92</v>
      </c>
      <c r="M1360" s="50" t="n">
        <f aca="false">INDEX(Productos!$F$2:$F$13,MATCH($H1360,Productos!$A$2:$A$13,0))</f>
        <v>39</v>
      </c>
      <c r="N1360" s="51" t="n">
        <v>0.1</v>
      </c>
      <c r="O1360" s="52" t="n">
        <f aca="false">M1360*(1-N1360)</f>
        <v>35.1</v>
      </c>
      <c r="P1360" s="21" t="n">
        <f aca="false">L1360*O1360</f>
        <v>3229.2</v>
      </c>
      <c r="Q1360" s="50" t="n">
        <f aca="false">INDEX(Productos!$E$2:$E$13,MATCH($H1360,Productos!$A$2:$A$13,0))*INDEX(Parametros!$B$26:$B$43,MATCH($C1360,Parametros!$A$26:$A$43,0))</f>
        <v>20.4218</v>
      </c>
      <c r="R1360" s="21" t="n">
        <f aca="false">L1360*Q1360</f>
        <v>1878.8056</v>
      </c>
      <c r="S1360" s="18" t="n">
        <f aca="false">L1360*INDEX(Parametros!$B$20:$B$22,MATCH($E1360,Parametros!$A$20:$A$22,0))</f>
        <v>220.8</v>
      </c>
      <c r="T1360" s="18" t="n">
        <f aca="false">P1360*INDEX(Parametros!$B$13:$B$16,MATCH($F1360,Parametros!$A$13:$A$16,0))</f>
        <v>129.168</v>
      </c>
      <c r="U1360" s="21" t="n">
        <f aca="false">P1360-R1360-S1360-T1360</f>
        <v>1000.4264</v>
      </c>
      <c r="V1360" s="19" t="n">
        <f aca="false">IFERROR(U1360/P1360,0)</f>
        <v>0.309806267806268</v>
      </c>
      <c r="W1360" s="48" t="n">
        <f aca="false">B1360+INDEX(Parametros!$C$13:$C$16,MATCH($F1360,Parametros!$A$13:$A$16,0))</f>
        <v>46200</v>
      </c>
      <c r="X1360" s="31" t="s">
        <v>69</v>
      </c>
      <c r="Y1360" s="53" t="n">
        <f aca="false">IF(COUNTIF($A$2:$A1360,A1360)=1,1,0)</f>
        <v>1</v>
      </c>
    </row>
    <row r="1361" customFormat="false" ht="15" hidden="false" customHeight="false" outlineLevel="0" collapsed="false">
      <c r="A1361" s="31" t="s">
        <v>973</v>
      </c>
      <c r="B1361" s="36" t="n">
        <v>46125</v>
      </c>
      <c r="C1361" s="49" t="n">
        <f aca="false">DATE(YEAR(B1361),MONTH(B1361),1)</f>
        <v>46113</v>
      </c>
      <c r="D1361" s="31" t="s">
        <v>216</v>
      </c>
      <c r="E1361" s="31" t="s">
        <v>42</v>
      </c>
      <c r="F1361" s="31" t="s">
        <v>45</v>
      </c>
      <c r="G1361" s="31" t="s">
        <v>61</v>
      </c>
      <c r="H1361" s="31" t="s">
        <v>179</v>
      </c>
      <c r="I1361" s="32" t="str">
        <f aca="false">INDEX(Productos!$B$2:$B$13,MATCH($H1361,Productos!$A$2:$A$13,0))</f>
        <v>Autotaladrante DIN 7504 4,8x38 zincado</v>
      </c>
      <c r="J1361" s="32" t="str">
        <f aca="false">INDEX(Productos!$C$2:$C$13,MATCH($H1361,Productos!$A$2:$A$13,0))</f>
        <v>Autotaladrante</v>
      </c>
      <c r="K1361" s="31" t="s">
        <v>275</v>
      </c>
      <c r="L1361" s="46" t="n">
        <v>-18</v>
      </c>
      <c r="M1361" s="50" t="n">
        <f aca="false">INDEX(Productos!$F$2:$F$13,MATCH($H1361,Productos!$A$2:$A$13,0))</f>
        <v>29.5</v>
      </c>
      <c r="N1361" s="51" t="n">
        <v>0.186</v>
      </c>
      <c r="O1361" s="52" t="n">
        <f aca="false">M1361*(1-N1361)</f>
        <v>24.013</v>
      </c>
      <c r="P1361" s="21" t="n">
        <f aca="false">L1361*O1361</f>
        <v>-432.234</v>
      </c>
      <c r="Q1361" s="50" t="n">
        <f aca="false">INDEX(Productos!$E$2:$E$13,MATCH($H1361,Productos!$A$2:$A$13,0))*INDEX(Parametros!$B$26:$B$43,MATCH($C1361,Parametros!$A$26:$A$43,0))</f>
        <v>15.2912</v>
      </c>
      <c r="R1361" s="21" t="n">
        <f aca="false">L1361*Q1361</f>
        <v>-275.2416</v>
      </c>
      <c r="S1361" s="18" t="n">
        <f aca="false">L1361*INDEX(Parametros!$B$20:$B$22,MATCH($E1361,Parametros!$A$20:$A$22,0))</f>
        <v>-43.2</v>
      </c>
      <c r="T1361" s="18" t="n">
        <f aca="false">P1361*INDEX(Parametros!$B$13:$B$16,MATCH($F1361,Parametros!$A$13:$A$16,0))</f>
        <v>-12.96702</v>
      </c>
      <c r="U1361" s="21" t="n">
        <f aca="false">P1361-R1361-S1361-T1361</f>
        <v>-100.82538</v>
      </c>
      <c r="V1361" s="19" t="n">
        <f aca="false">IFERROR(U1361/P1361,0)</f>
        <v>0.233265731062341</v>
      </c>
      <c r="W1361" s="48" t="n">
        <f aca="false">B1361+INDEX(Parametros!$C$13:$C$16,MATCH($F1361,Parametros!$A$13:$A$16,0))</f>
        <v>46185</v>
      </c>
      <c r="X1361" s="31" t="s">
        <v>67</v>
      </c>
      <c r="Y1361" s="53" t="n">
        <f aca="false">IF(COUNTIF($A$2:$A1361,A1361)=1,1,0)</f>
        <v>1</v>
      </c>
    </row>
    <row r="1362" customFormat="false" ht="15" hidden="false" customHeight="false" outlineLevel="0" collapsed="false">
      <c r="A1362" s="31" t="s">
        <v>974</v>
      </c>
      <c r="B1362" s="36" t="n">
        <v>46125</v>
      </c>
      <c r="C1362" s="49" t="n">
        <f aca="false">DATE(YEAR(B1362),MONTH(B1362),1)</f>
        <v>46113</v>
      </c>
      <c r="D1362" s="31" t="s">
        <v>206</v>
      </c>
      <c r="E1362" s="31" t="s">
        <v>41</v>
      </c>
      <c r="F1362" s="31" t="s">
        <v>46</v>
      </c>
      <c r="G1362" s="31" t="s">
        <v>58</v>
      </c>
      <c r="H1362" s="31" t="s">
        <v>169</v>
      </c>
      <c r="I1362" s="32" t="str">
        <f aca="false">INDEX(Productos!$B$2:$B$13,MATCH($H1362,Productos!$A$2:$A$13,0))</f>
        <v>Tornillo DIN 912 M10x60 Allen inox A2</v>
      </c>
      <c r="J1362" s="32" t="str">
        <f aca="false">INDEX(Productos!$C$2:$C$13,MATCH($H1362,Productos!$A$2:$A$13,0))</f>
        <v>Inoxidable</v>
      </c>
      <c r="K1362" s="31" t="s">
        <v>246</v>
      </c>
      <c r="L1362" s="46" t="n">
        <v>35</v>
      </c>
      <c r="M1362" s="50" t="n">
        <f aca="false">INDEX(Productos!$F$2:$F$13,MATCH($H1362,Productos!$A$2:$A$13,0))</f>
        <v>79</v>
      </c>
      <c r="N1362" s="51" t="n">
        <v>0.159</v>
      </c>
      <c r="O1362" s="52" t="n">
        <f aca="false">M1362*(1-N1362)</f>
        <v>66.439</v>
      </c>
      <c r="P1362" s="21" t="n">
        <f aca="false">L1362*O1362</f>
        <v>2325.365</v>
      </c>
      <c r="Q1362" s="50" t="n">
        <f aca="false">INDEX(Productos!$E$2:$E$13,MATCH($H1362,Productos!$A$2:$A$13,0))*INDEX(Parametros!$B$26:$B$43,MATCH($C1362,Parametros!$A$26:$A$43,0))</f>
        <v>42.252</v>
      </c>
      <c r="R1362" s="21" t="n">
        <f aca="false">L1362*Q1362</f>
        <v>1478.82</v>
      </c>
      <c r="S1362" s="18" t="n">
        <f aca="false">L1362*INDEX(Parametros!$B$20:$B$22,MATCH($E1362,Parametros!$A$20:$A$22,0))</f>
        <v>29.75</v>
      </c>
      <c r="T1362" s="18" t="n">
        <f aca="false">P1362*INDEX(Parametros!$B$13:$B$16,MATCH($F1362,Parametros!$A$13:$A$16,0))</f>
        <v>93.0146</v>
      </c>
      <c r="U1362" s="21" t="n">
        <f aca="false">P1362-R1362-S1362-T1362</f>
        <v>723.7804</v>
      </c>
      <c r="V1362" s="19" t="n">
        <f aca="false">IFERROR(U1362/P1362,0)</f>
        <v>0.31125453423441</v>
      </c>
      <c r="W1362" s="48" t="n">
        <f aca="false">B1362+INDEX(Parametros!$C$13:$C$16,MATCH($F1362,Parametros!$A$13:$A$16,0))</f>
        <v>46200</v>
      </c>
      <c r="X1362" s="31" t="s">
        <v>67</v>
      </c>
      <c r="Y1362" s="53" t="n">
        <f aca="false">IF(COUNTIF($A$2:$A1362,A1362)=1,1,0)</f>
        <v>1</v>
      </c>
    </row>
    <row r="1363" customFormat="false" ht="15" hidden="false" customHeight="false" outlineLevel="0" collapsed="false">
      <c r="A1363" s="31" t="s">
        <v>975</v>
      </c>
      <c r="B1363" s="36" t="n">
        <v>46125</v>
      </c>
      <c r="C1363" s="49" t="n">
        <f aca="false">DATE(YEAR(B1363),MONTH(B1363),1)</f>
        <v>46113</v>
      </c>
      <c r="D1363" s="31" t="s">
        <v>202</v>
      </c>
      <c r="E1363" s="31" t="s">
        <v>41</v>
      </c>
      <c r="F1363" s="31" t="s">
        <v>46</v>
      </c>
      <c r="G1363" s="31" t="s">
        <v>62</v>
      </c>
      <c r="H1363" s="31" t="s">
        <v>177</v>
      </c>
      <c r="I1363" s="32" t="str">
        <f aca="false">INDEX(Productos!$B$2:$B$13,MATCH($H1363,Productos!$A$2:$A$13,0))</f>
        <v>Tirafondo madera 6x100 cabeza plana Torx</v>
      </c>
      <c r="J1363" s="32" t="str">
        <f aca="false">INDEX(Productos!$C$2:$C$13,MATCH($H1363,Productos!$A$2:$A$13,0))</f>
        <v>Madera</v>
      </c>
      <c r="K1363" s="31" t="s">
        <v>246</v>
      </c>
      <c r="L1363" s="46" t="n">
        <v>41</v>
      </c>
      <c r="M1363" s="50" t="n">
        <f aca="false">INDEX(Productos!$F$2:$F$13,MATCH($H1363,Productos!$A$2:$A$13,0))</f>
        <v>34</v>
      </c>
      <c r="N1363" s="51" t="n">
        <v>0.175</v>
      </c>
      <c r="O1363" s="52" t="n">
        <f aca="false">M1363*(1-N1363)</f>
        <v>28.05</v>
      </c>
      <c r="P1363" s="21" t="n">
        <f aca="false">L1363*O1363</f>
        <v>1150.05</v>
      </c>
      <c r="Q1363" s="50" t="n">
        <f aca="false">INDEX(Productos!$E$2:$E$13,MATCH($H1363,Productos!$A$2:$A$13,0))*INDEX(Parametros!$B$26:$B$43,MATCH($C1363,Parametros!$A$26:$A$43,0))</f>
        <v>17.9068</v>
      </c>
      <c r="R1363" s="21" t="n">
        <f aca="false">L1363*Q1363</f>
        <v>734.1788</v>
      </c>
      <c r="S1363" s="18" t="n">
        <f aca="false">L1363*INDEX(Parametros!$B$20:$B$22,MATCH($E1363,Parametros!$A$20:$A$22,0))</f>
        <v>34.85</v>
      </c>
      <c r="T1363" s="18" t="n">
        <f aca="false">P1363*INDEX(Parametros!$B$13:$B$16,MATCH($F1363,Parametros!$A$13:$A$16,0))</f>
        <v>46.002</v>
      </c>
      <c r="U1363" s="21" t="n">
        <f aca="false">P1363-R1363-S1363-T1363</f>
        <v>335.0192</v>
      </c>
      <c r="V1363" s="19" t="n">
        <f aca="false">IFERROR(U1363/P1363,0)</f>
        <v>0.291308377896613</v>
      </c>
      <c r="W1363" s="48" t="n">
        <f aca="false">B1363+INDEX(Parametros!$C$13:$C$16,MATCH($F1363,Parametros!$A$13:$A$16,0))</f>
        <v>46200</v>
      </c>
      <c r="X1363" s="31" t="s">
        <v>67</v>
      </c>
      <c r="Y1363" s="53" t="n">
        <f aca="false">IF(COUNTIF($A$2:$A1363,A1363)=1,1,0)</f>
        <v>1</v>
      </c>
    </row>
    <row r="1364" customFormat="false" ht="15" hidden="false" customHeight="false" outlineLevel="0" collapsed="false">
      <c r="A1364" s="31" t="s">
        <v>976</v>
      </c>
      <c r="B1364" s="36" t="n">
        <v>46125</v>
      </c>
      <c r="C1364" s="49" t="n">
        <f aca="false">DATE(YEAR(B1364),MONTH(B1364),1)</f>
        <v>46113</v>
      </c>
      <c r="D1364" s="31" t="s">
        <v>196</v>
      </c>
      <c r="E1364" s="31" t="s">
        <v>41</v>
      </c>
      <c r="F1364" s="31" t="s">
        <v>47</v>
      </c>
      <c r="G1364" s="31" t="s">
        <v>58</v>
      </c>
      <c r="H1364" s="31" t="s">
        <v>171</v>
      </c>
      <c r="I1364" s="32" t="str">
        <f aca="false">INDEX(Productos!$B$2:$B$13,MATCH($H1364,Productos!$A$2:$A$13,0))</f>
        <v>Tornillo DIN 7991 M8x30 avellanado inox A2</v>
      </c>
      <c r="J1364" s="32" t="str">
        <f aca="false">INDEX(Productos!$C$2:$C$13,MATCH($H1364,Productos!$A$2:$A$13,0))</f>
        <v>Inoxidable</v>
      </c>
      <c r="K1364" s="31" t="s">
        <v>246</v>
      </c>
      <c r="L1364" s="46" t="n">
        <v>70</v>
      </c>
      <c r="M1364" s="50" t="n">
        <f aca="false">INDEX(Productos!$F$2:$F$13,MATCH($H1364,Productos!$A$2:$A$13,0))</f>
        <v>88</v>
      </c>
      <c r="N1364" s="51" t="n">
        <v>0.031</v>
      </c>
      <c r="O1364" s="52" t="n">
        <f aca="false">M1364*(1-N1364)</f>
        <v>85.272</v>
      </c>
      <c r="P1364" s="21" t="n">
        <f aca="false">L1364*O1364</f>
        <v>5969.04</v>
      </c>
      <c r="Q1364" s="50" t="n">
        <f aca="false">INDEX(Productos!$E$2:$E$13,MATCH($H1364,Productos!$A$2:$A$13,0))*INDEX(Parametros!$B$26:$B$43,MATCH($C1364,Parametros!$A$26:$A$43,0))</f>
        <v>46.779</v>
      </c>
      <c r="R1364" s="21" t="n">
        <f aca="false">L1364*Q1364</f>
        <v>3274.53</v>
      </c>
      <c r="S1364" s="18" t="n">
        <f aca="false">L1364*INDEX(Parametros!$B$20:$B$22,MATCH($E1364,Parametros!$A$20:$A$22,0))</f>
        <v>59.5</v>
      </c>
      <c r="T1364" s="18" t="n">
        <f aca="false">P1364*INDEX(Parametros!$B$13:$B$16,MATCH($F1364,Parametros!$A$13:$A$16,0))</f>
        <v>208.9164</v>
      </c>
      <c r="U1364" s="21" t="n">
        <f aca="false">P1364-R1364-S1364-T1364</f>
        <v>2426.0936</v>
      </c>
      <c r="V1364" s="19" t="n">
        <f aca="false">IFERROR(U1364/P1364,0)</f>
        <v>0.406446195703162</v>
      </c>
      <c r="W1364" s="48" t="n">
        <f aca="false">B1364+INDEX(Parametros!$C$13:$C$16,MATCH($F1364,Parametros!$A$13:$A$16,0))</f>
        <v>46170</v>
      </c>
      <c r="X1364" s="31" t="s">
        <v>67</v>
      </c>
      <c r="Y1364" s="53" t="n">
        <f aca="false">IF(COUNTIF($A$2:$A1364,A1364)=1,1,0)</f>
        <v>1</v>
      </c>
    </row>
    <row r="1365" customFormat="false" ht="15" hidden="false" customHeight="false" outlineLevel="0" collapsed="false">
      <c r="A1365" s="31" t="s">
        <v>976</v>
      </c>
      <c r="B1365" s="36" t="n">
        <v>46125</v>
      </c>
      <c r="C1365" s="49" t="n">
        <f aca="false">DATE(YEAR(B1365),MONTH(B1365),1)</f>
        <v>46113</v>
      </c>
      <c r="D1365" s="31" t="s">
        <v>196</v>
      </c>
      <c r="E1365" s="31" t="s">
        <v>41</v>
      </c>
      <c r="F1365" s="31" t="s">
        <v>47</v>
      </c>
      <c r="G1365" s="31" t="s">
        <v>58</v>
      </c>
      <c r="H1365" s="31" t="s">
        <v>185</v>
      </c>
      <c r="I1365" s="32" t="str">
        <f aca="false">INDEX(Productos!$B$2:$B$13,MATCH($H1365,Productos!$A$2:$A$13,0))</f>
        <v>Varilla roscada M10 x 1 m zincada</v>
      </c>
      <c r="J1365" s="32" t="str">
        <f aca="false">INDEX(Productos!$C$2:$C$13,MATCH($H1365,Productos!$A$2:$A$13,0))</f>
        <v>Especial</v>
      </c>
      <c r="K1365" s="31" t="s">
        <v>246</v>
      </c>
      <c r="L1365" s="46" t="n">
        <v>153</v>
      </c>
      <c r="M1365" s="50" t="n">
        <f aca="false">INDEX(Productos!$F$2:$F$13,MATCH($H1365,Productos!$A$2:$A$13,0))</f>
        <v>54</v>
      </c>
      <c r="N1365" s="51" t="n">
        <v>0.054</v>
      </c>
      <c r="O1365" s="52" t="n">
        <f aca="false">M1365*(1-N1365)</f>
        <v>51.084</v>
      </c>
      <c r="P1365" s="21" t="n">
        <f aca="false">L1365*O1365</f>
        <v>7815.852</v>
      </c>
      <c r="Q1365" s="50" t="n">
        <f aca="false">INDEX(Productos!$E$2:$E$13,MATCH($H1365,Productos!$A$2:$A$13,0))*INDEX(Parametros!$B$26:$B$43,MATCH($C1365,Parametros!$A$26:$A$43,0))</f>
        <v>28.671</v>
      </c>
      <c r="R1365" s="21" t="n">
        <f aca="false">L1365*Q1365</f>
        <v>4386.663</v>
      </c>
      <c r="S1365" s="18" t="n">
        <f aca="false">L1365*INDEX(Parametros!$B$20:$B$22,MATCH($E1365,Parametros!$A$20:$A$22,0))</f>
        <v>130.05</v>
      </c>
      <c r="T1365" s="18" t="n">
        <f aca="false">P1365*INDEX(Parametros!$B$13:$B$16,MATCH($F1365,Parametros!$A$13:$A$16,0))</f>
        <v>273.55482</v>
      </c>
      <c r="U1365" s="21" t="n">
        <f aca="false">P1365-R1365-S1365-T1365</f>
        <v>3025.58418</v>
      </c>
      <c r="V1365" s="19" t="n">
        <f aca="false">IFERROR(U1365/P1365,0)</f>
        <v>0.387108683736591</v>
      </c>
      <c r="W1365" s="48" t="n">
        <f aca="false">B1365+INDEX(Parametros!$C$13:$C$16,MATCH($F1365,Parametros!$A$13:$A$16,0))</f>
        <v>46170</v>
      </c>
      <c r="X1365" s="31" t="s">
        <v>67</v>
      </c>
      <c r="Y1365" s="53" t="n">
        <f aca="false">IF(COUNTIF($A$2:$A1365,A1365)=1,1,0)</f>
        <v>0</v>
      </c>
    </row>
    <row r="1366" customFormat="false" ht="15" hidden="false" customHeight="false" outlineLevel="0" collapsed="false">
      <c r="A1366" s="31" t="s">
        <v>977</v>
      </c>
      <c r="B1366" s="36" t="n">
        <v>46125</v>
      </c>
      <c r="C1366" s="49" t="n">
        <f aca="false">DATE(YEAR(B1366),MONTH(B1366),1)</f>
        <v>46113</v>
      </c>
      <c r="D1366" s="31" t="s">
        <v>193</v>
      </c>
      <c r="E1366" s="31" t="s">
        <v>41</v>
      </c>
      <c r="F1366" s="31" t="s">
        <v>45</v>
      </c>
      <c r="G1366" s="31" t="s">
        <v>62</v>
      </c>
      <c r="H1366" s="31" t="s">
        <v>181</v>
      </c>
      <c r="I1366" s="32" t="str">
        <f aca="false">INDEX(Productos!$B$2:$B$13,MATCH($H1366,Productos!$A$2:$A$13,0))</f>
        <v>Autotaladrante 5,5x55 punta broca</v>
      </c>
      <c r="J1366" s="32" t="str">
        <f aca="false">INDEX(Productos!$C$2:$C$13,MATCH($H1366,Productos!$A$2:$A$13,0))</f>
        <v>Autotaladrante</v>
      </c>
      <c r="K1366" s="31" t="s">
        <v>246</v>
      </c>
      <c r="L1366" s="46" t="n">
        <v>43</v>
      </c>
      <c r="M1366" s="50" t="n">
        <f aca="false">INDEX(Productos!$F$2:$F$13,MATCH($H1366,Productos!$A$2:$A$13,0))</f>
        <v>39</v>
      </c>
      <c r="N1366" s="51" t="n">
        <v>0.133</v>
      </c>
      <c r="O1366" s="52" t="n">
        <f aca="false">M1366*(1-N1366)</f>
        <v>33.813</v>
      </c>
      <c r="P1366" s="21" t="n">
        <f aca="false">L1366*O1366</f>
        <v>1453.959</v>
      </c>
      <c r="Q1366" s="50" t="n">
        <f aca="false">INDEX(Productos!$E$2:$E$13,MATCH($H1366,Productos!$A$2:$A$13,0))*INDEX(Parametros!$B$26:$B$43,MATCH($C1366,Parametros!$A$26:$A$43,0))</f>
        <v>20.4218</v>
      </c>
      <c r="R1366" s="21" t="n">
        <f aca="false">L1366*Q1366</f>
        <v>878.1374</v>
      </c>
      <c r="S1366" s="18" t="n">
        <f aca="false">L1366*INDEX(Parametros!$B$20:$B$22,MATCH($E1366,Parametros!$A$20:$A$22,0))</f>
        <v>36.55</v>
      </c>
      <c r="T1366" s="18" t="n">
        <f aca="false">P1366*INDEX(Parametros!$B$13:$B$16,MATCH($F1366,Parametros!$A$13:$A$16,0))</f>
        <v>43.61877</v>
      </c>
      <c r="U1366" s="21" t="n">
        <f aca="false">P1366-R1366-S1366-T1366</f>
        <v>495.65283</v>
      </c>
      <c r="V1366" s="19" t="n">
        <f aca="false">IFERROR(U1366/P1366,0)</f>
        <v>0.340898766746518</v>
      </c>
      <c r="W1366" s="48" t="n">
        <f aca="false">B1366+INDEX(Parametros!$C$13:$C$16,MATCH($F1366,Parametros!$A$13:$A$16,0))</f>
        <v>46185</v>
      </c>
      <c r="X1366" s="31" t="s">
        <v>67</v>
      </c>
      <c r="Y1366" s="53" t="n">
        <f aca="false">IF(COUNTIF($A$2:$A1366,A1366)=1,1,0)</f>
        <v>1</v>
      </c>
    </row>
    <row r="1367" customFormat="false" ht="15" hidden="false" customHeight="false" outlineLevel="0" collapsed="false">
      <c r="A1367" s="31" t="s">
        <v>977</v>
      </c>
      <c r="B1367" s="36" t="n">
        <v>46125</v>
      </c>
      <c r="C1367" s="49" t="n">
        <f aca="false">DATE(YEAR(B1367),MONTH(B1367),1)</f>
        <v>46113</v>
      </c>
      <c r="D1367" s="31" t="s">
        <v>193</v>
      </c>
      <c r="E1367" s="31" t="s">
        <v>41</v>
      </c>
      <c r="F1367" s="31" t="s">
        <v>45</v>
      </c>
      <c r="G1367" s="31" t="s">
        <v>62</v>
      </c>
      <c r="H1367" s="31" t="s">
        <v>177</v>
      </c>
      <c r="I1367" s="32" t="str">
        <f aca="false">INDEX(Productos!$B$2:$B$13,MATCH($H1367,Productos!$A$2:$A$13,0))</f>
        <v>Tirafondo madera 6x100 cabeza plana Torx</v>
      </c>
      <c r="J1367" s="32" t="str">
        <f aca="false">INDEX(Productos!$C$2:$C$13,MATCH($H1367,Productos!$A$2:$A$13,0))</f>
        <v>Madera</v>
      </c>
      <c r="K1367" s="31" t="s">
        <v>246</v>
      </c>
      <c r="L1367" s="46" t="n">
        <v>28</v>
      </c>
      <c r="M1367" s="50" t="n">
        <f aca="false">INDEX(Productos!$F$2:$F$13,MATCH($H1367,Productos!$A$2:$A$13,0))</f>
        <v>34</v>
      </c>
      <c r="N1367" s="51" t="n">
        <v>0.19</v>
      </c>
      <c r="O1367" s="52" t="n">
        <f aca="false">M1367*(1-N1367)</f>
        <v>27.54</v>
      </c>
      <c r="P1367" s="21" t="n">
        <f aca="false">L1367*O1367</f>
        <v>771.12</v>
      </c>
      <c r="Q1367" s="50" t="n">
        <f aca="false">INDEX(Productos!$E$2:$E$13,MATCH($H1367,Productos!$A$2:$A$13,0))*INDEX(Parametros!$B$26:$B$43,MATCH($C1367,Parametros!$A$26:$A$43,0))</f>
        <v>17.9068</v>
      </c>
      <c r="R1367" s="21" t="n">
        <f aca="false">L1367*Q1367</f>
        <v>501.3904</v>
      </c>
      <c r="S1367" s="18" t="n">
        <f aca="false">L1367*INDEX(Parametros!$B$20:$B$22,MATCH($E1367,Parametros!$A$20:$A$22,0))</f>
        <v>23.8</v>
      </c>
      <c r="T1367" s="18" t="n">
        <f aca="false">P1367*INDEX(Parametros!$B$13:$B$16,MATCH($F1367,Parametros!$A$13:$A$16,0))</f>
        <v>23.1336</v>
      </c>
      <c r="U1367" s="21" t="n">
        <f aca="false">P1367-R1367-S1367-T1367</f>
        <v>222.796</v>
      </c>
      <c r="V1367" s="19" t="n">
        <f aca="false">IFERROR(U1367/P1367,0)</f>
        <v>0.288925199709514</v>
      </c>
      <c r="W1367" s="48" t="n">
        <f aca="false">B1367+INDEX(Parametros!$C$13:$C$16,MATCH($F1367,Parametros!$A$13:$A$16,0))</f>
        <v>46185</v>
      </c>
      <c r="X1367" s="31" t="s">
        <v>67</v>
      </c>
      <c r="Y1367" s="53" t="n">
        <f aca="false">IF(COUNTIF($A$2:$A1367,A1367)=1,1,0)</f>
        <v>0</v>
      </c>
    </row>
    <row r="1368" customFormat="false" ht="15" hidden="false" customHeight="false" outlineLevel="0" collapsed="false">
      <c r="A1368" s="31" t="s">
        <v>978</v>
      </c>
      <c r="B1368" s="36" t="n">
        <v>46125</v>
      </c>
      <c r="C1368" s="49" t="n">
        <f aca="false">DATE(YEAR(B1368),MONTH(B1368),1)</f>
        <v>46113</v>
      </c>
      <c r="D1368" s="31" t="s">
        <v>210</v>
      </c>
      <c r="E1368" s="31" t="s">
        <v>41</v>
      </c>
      <c r="F1368" s="31" t="s">
        <v>48</v>
      </c>
      <c r="G1368" s="31" t="s">
        <v>60</v>
      </c>
      <c r="H1368" s="31" t="s">
        <v>163</v>
      </c>
      <c r="I1368" s="32" t="str">
        <f aca="false">INDEX(Productos!$B$2:$B$13,MATCH($H1368,Productos!$A$2:$A$13,0))</f>
        <v>Tornillo DIN 933 M6x30 rosca completa zincado</v>
      </c>
      <c r="J1368" s="32" t="str">
        <f aca="false">INDEX(Productos!$C$2:$C$13,MATCH($H1368,Productos!$A$2:$A$13,0))</f>
        <v>Métrica</v>
      </c>
      <c r="K1368" s="31" t="s">
        <v>246</v>
      </c>
      <c r="L1368" s="46" t="n">
        <v>4</v>
      </c>
      <c r="M1368" s="50" t="n">
        <f aca="false">INDEX(Productos!$F$2:$F$13,MATCH($H1368,Productos!$A$2:$A$13,0))</f>
        <v>32</v>
      </c>
      <c r="N1368" s="51" t="n">
        <v>0.005</v>
      </c>
      <c r="O1368" s="52" t="n">
        <f aca="false">M1368*(1-N1368)</f>
        <v>31.84</v>
      </c>
      <c r="P1368" s="21" t="n">
        <f aca="false">L1368*O1368</f>
        <v>127.36</v>
      </c>
      <c r="Q1368" s="50" t="n">
        <f aca="false">INDEX(Productos!$E$2:$E$13,MATCH($H1368,Productos!$A$2:$A$13,0))*INDEX(Parametros!$B$26:$B$43,MATCH($C1368,Parametros!$A$26:$A$43,0))</f>
        <v>16.6996</v>
      </c>
      <c r="R1368" s="21" t="n">
        <f aca="false">L1368*Q1368</f>
        <v>66.7984</v>
      </c>
      <c r="S1368" s="18" t="n">
        <f aca="false">L1368*INDEX(Parametros!$B$20:$B$22,MATCH($E1368,Parametros!$A$20:$A$22,0))</f>
        <v>3.4</v>
      </c>
      <c r="T1368" s="18" t="n">
        <f aca="false">P1368*INDEX(Parametros!$B$13:$B$16,MATCH($F1368,Parametros!$A$13:$A$16,0))</f>
        <v>1.2736</v>
      </c>
      <c r="U1368" s="21" t="n">
        <f aca="false">P1368-R1368-S1368-T1368</f>
        <v>55.888</v>
      </c>
      <c r="V1368" s="19" t="n">
        <f aca="false">IFERROR(U1368/P1368,0)</f>
        <v>0.438819095477387</v>
      </c>
      <c r="W1368" s="48" t="n">
        <f aca="false">B1368+INDEX(Parametros!$C$13:$C$16,MATCH($F1368,Parametros!$A$13:$A$16,0))</f>
        <v>46125</v>
      </c>
      <c r="X1368" s="31" t="s">
        <v>67</v>
      </c>
      <c r="Y1368" s="53" t="n">
        <f aca="false">IF(COUNTIF($A$2:$A1368,A1368)=1,1,0)</f>
        <v>1</v>
      </c>
    </row>
    <row r="1369" customFormat="false" ht="15" hidden="false" customHeight="false" outlineLevel="0" collapsed="false">
      <c r="A1369" s="31" t="s">
        <v>978</v>
      </c>
      <c r="B1369" s="36" t="n">
        <v>46125</v>
      </c>
      <c r="C1369" s="49" t="n">
        <f aca="false">DATE(YEAR(B1369),MONTH(B1369),1)</f>
        <v>46113</v>
      </c>
      <c r="D1369" s="31" t="s">
        <v>210</v>
      </c>
      <c r="E1369" s="31" t="s">
        <v>41</v>
      </c>
      <c r="F1369" s="31" t="s">
        <v>48</v>
      </c>
      <c r="G1369" s="31" t="s">
        <v>60</v>
      </c>
      <c r="H1369" s="31" t="s">
        <v>175</v>
      </c>
      <c r="I1369" s="32" t="str">
        <f aca="false">INDEX(Productos!$B$2:$B$13,MATCH($H1369,Productos!$A$2:$A$13,0))</f>
        <v>Tirafondo madera 5x60 cabeza plana Torx</v>
      </c>
      <c r="J1369" s="32" t="str">
        <f aca="false">INDEX(Productos!$C$2:$C$13,MATCH($H1369,Productos!$A$2:$A$13,0))</f>
        <v>Madera</v>
      </c>
      <c r="K1369" s="31" t="s">
        <v>246</v>
      </c>
      <c r="L1369" s="46" t="n">
        <v>17</v>
      </c>
      <c r="M1369" s="50" t="n">
        <f aca="false">INDEX(Productos!$F$2:$F$13,MATCH($H1369,Productos!$A$2:$A$13,0))</f>
        <v>26</v>
      </c>
      <c r="N1369" s="51" t="n">
        <v>0.006</v>
      </c>
      <c r="O1369" s="52" t="n">
        <f aca="false">M1369*(1-N1369)</f>
        <v>25.844</v>
      </c>
      <c r="P1369" s="21" t="n">
        <f aca="false">L1369*O1369</f>
        <v>439.348</v>
      </c>
      <c r="Q1369" s="50" t="n">
        <f aca="false">INDEX(Productos!$E$2:$E$13,MATCH($H1369,Productos!$A$2:$A$13,0))*INDEX(Parametros!$B$26:$B$43,MATCH($C1369,Parametros!$A$26:$A$43,0))</f>
        <v>13.4804</v>
      </c>
      <c r="R1369" s="21" t="n">
        <f aca="false">L1369*Q1369</f>
        <v>229.1668</v>
      </c>
      <c r="S1369" s="18" t="n">
        <f aca="false">L1369*INDEX(Parametros!$B$20:$B$22,MATCH($E1369,Parametros!$A$20:$A$22,0))</f>
        <v>14.45</v>
      </c>
      <c r="T1369" s="18" t="n">
        <f aca="false">P1369*INDEX(Parametros!$B$13:$B$16,MATCH($F1369,Parametros!$A$13:$A$16,0))</f>
        <v>4.39348</v>
      </c>
      <c r="U1369" s="21" t="n">
        <f aca="false">P1369-R1369-S1369-T1369</f>
        <v>191.33772</v>
      </c>
      <c r="V1369" s="19" t="n">
        <f aca="false">IFERROR(U1369/P1369,0)</f>
        <v>0.435503791982665</v>
      </c>
      <c r="W1369" s="48" t="n">
        <f aca="false">B1369+INDEX(Parametros!$C$13:$C$16,MATCH($F1369,Parametros!$A$13:$A$16,0))</f>
        <v>46125</v>
      </c>
      <c r="X1369" s="31" t="s">
        <v>67</v>
      </c>
      <c r="Y1369" s="53" t="n">
        <f aca="false">IF(COUNTIF($A$2:$A1369,A1369)=1,1,0)</f>
        <v>0</v>
      </c>
    </row>
    <row r="1370" customFormat="false" ht="15" hidden="false" customHeight="false" outlineLevel="0" collapsed="false">
      <c r="A1370" s="31" t="s">
        <v>978</v>
      </c>
      <c r="B1370" s="36" t="n">
        <v>46125</v>
      </c>
      <c r="C1370" s="49" t="n">
        <f aca="false">DATE(YEAR(B1370),MONTH(B1370),1)</f>
        <v>46113</v>
      </c>
      <c r="D1370" s="31" t="s">
        <v>210</v>
      </c>
      <c r="E1370" s="31" t="s">
        <v>41</v>
      </c>
      <c r="F1370" s="31" t="s">
        <v>48</v>
      </c>
      <c r="G1370" s="31" t="s">
        <v>60</v>
      </c>
      <c r="H1370" s="31" t="s">
        <v>181</v>
      </c>
      <c r="I1370" s="32" t="str">
        <f aca="false">INDEX(Productos!$B$2:$B$13,MATCH($H1370,Productos!$A$2:$A$13,0))</f>
        <v>Autotaladrante 5,5x55 punta broca</v>
      </c>
      <c r="J1370" s="32" t="str">
        <f aca="false">INDEX(Productos!$C$2:$C$13,MATCH($H1370,Productos!$A$2:$A$13,0))</f>
        <v>Autotaladrante</v>
      </c>
      <c r="K1370" s="31" t="s">
        <v>246</v>
      </c>
      <c r="L1370" s="46" t="n">
        <v>7</v>
      </c>
      <c r="M1370" s="50" t="n">
        <f aca="false">INDEX(Productos!$F$2:$F$13,MATCH($H1370,Productos!$A$2:$A$13,0))</f>
        <v>39</v>
      </c>
      <c r="N1370" s="51" t="n">
        <v>0.007</v>
      </c>
      <c r="O1370" s="52" t="n">
        <f aca="false">M1370*(1-N1370)</f>
        <v>38.727</v>
      </c>
      <c r="P1370" s="21" t="n">
        <f aca="false">L1370*O1370</f>
        <v>271.089</v>
      </c>
      <c r="Q1370" s="50" t="n">
        <f aca="false">INDEX(Productos!$E$2:$E$13,MATCH($H1370,Productos!$A$2:$A$13,0))*INDEX(Parametros!$B$26:$B$43,MATCH($C1370,Parametros!$A$26:$A$43,0))</f>
        <v>20.4218</v>
      </c>
      <c r="R1370" s="21" t="n">
        <f aca="false">L1370*Q1370</f>
        <v>142.9526</v>
      </c>
      <c r="S1370" s="18" t="n">
        <f aca="false">L1370*INDEX(Parametros!$B$20:$B$22,MATCH($E1370,Parametros!$A$20:$A$22,0))</f>
        <v>5.95</v>
      </c>
      <c r="T1370" s="18" t="n">
        <f aca="false">P1370*INDEX(Parametros!$B$13:$B$16,MATCH($F1370,Parametros!$A$13:$A$16,0))</f>
        <v>2.71089</v>
      </c>
      <c r="U1370" s="21" t="n">
        <f aca="false">P1370-R1370-S1370-T1370</f>
        <v>119.47551</v>
      </c>
      <c r="V1370" s="19" t="n">
        <f aca="false">IFERROR(U1370/P1370,0)</f>
        <v>0.440724300875358</v>
      </c>
      <c r="W1370" s="48" t="n">
        <f aca="false">B1370+INDEX(Parametros!$C$13:$C$16,MATCH($F1370,Parametros!$A$13:$A$16,0))</f>
        <v>46125</v>
      </c>
      <c r="X1370" s="31" t="s">
        <v>67</v>
      </c>
      <c r="Y1370" s="53" t="n">
        <f aca="false">IF(COUNTIF($A$2:$A1370,A1370)=1,1,0)</f>
        <v>0</v>
      </c>
    </row>
    <row r="1371" customFormat="false" ht="15" hidden="false" customHeight="false" outlineLevel="0" collapsed="false">
      <c r="A1371" s="31" t="s">
        <v>979</v>
      </c>
      <c r="B1371" s="36" t="n">
        <v>46126</v>
      </c>
      <c r="C1371" s="49" t="n">
        <f aca="false">DATE(YEAR(B1371),MONTH(B1371),1)</f>
        <v>46113</v>
      </c>
      <c r="D1371" s="31" t="s">
        <v>220</v>
      </c>
      <c r="E1371" s="31" t="s">
        <v>42</v>
      </c>
      <c r="F1371" s="31" t="s">
        <v>46</v>
      </c>
      <c r="G1371" s="31" t="s">
        <v>61</v>
      </c>
      <c r="H1371" s="31" t="s">
        <v>165</v>
      </c>
      <c r="I1371" s="32" t="str">
        <f aca="false">INDEX(Productos!$B$2:$B$13,MATCH($H1371,Productos!$A$2:$A$13,0))</f>
        <v>Tornillo DIN 933 M8x40 rosca completa zincado</v>
      </c>
      <c r="J1371" s="32" t="str">
        <f aca="false">INDEX(Productos!$C$2:$C$13,MATCH($H1371,Productos!$A$2:$A$13,0))</f>
        <v>Métrica</v>
      </c>
      <c r="K1371" s="31" t="s">
        <v>246</v>
      </c>
      <c r="L1371" s="46" t="n">
        <v>259</v>
      </c>
      <c r="M1371" s="50" t="n">
        <f aca="false">INDEX(Productos!$F$2:$F$13,MATCH($H1371,Productos!$A$2:$A$13,0))</f>
        <v>37.5</v>
      </c>
      <c r="N1371" s="51" t="n">
        <v>0.081</v>
      </c>
      <c r="O1371" s="52" t="n">
        <f aca="false">M1371*(1-N1371)</f>
        <v>34.4625</v>
      </c>
      <c r="P1371" s="21" t="n">
        <f aca="false">L1371*O1371</f>
        <v>8925.7875</v>
      </c>
      <c r="Q1371" s="50" t="n">
        <f aca="false">INDEX(Productos!$E$2:$E$13,MATCH($H1371,Productos!$A$2:$A$13,0))*INDEX(Parametros!$B$26:$B$43,MATCH($C1371,Parametros!$A$26:$A$43,0))</f>
        <v>19.5164</v>
      </c>
      <c r="R1371" s="21" t="n">
        <f aca="false">L1371*Q1371</f>
        <v>5054.7476</v>
      </c>
      <c r="S1371" s="18" t="n">
        <f aca="false">L1371*INDEX(Parametros!$B$20:$B$22,MATCH($E1371,Parametros!$A$20:$A$22,0))</f>
        <v>621.6</v>
      </c>
      <c r="T1371" s="18" t="n">
        <f aca="false">P1371*INDEX(Parametros!$B$13:$B$16,MATCH($F1371,Parametros!$A$13:$A$16,0))</f>
        <v>357.0315</v>
      </c>
      <c r="U1371" s="21" t="n">
        <f aca="false">P1371-R1371-S1371-T1371</f>
        <v>2892.4084</v>
      </c>
      <c r="V1371" s="19" t="n">
        <f aca="false">IFERROR(U1371/P1371,0)</f>
        <v>0.324050779833152</v>
      </c>
      <c r="W1371" s="48" t="n">
        <f aca="false">B1371+INDEX(Parametros!$C$13:$C$16,MATCH($F1371,Parametros!$A$13:$A$16,0))</f>
        <v>46201</v>
      </c>
      <c r="X1371" s="31" t="s">
        <v>69</v>
      </c>
      <c r="Y1371" s="53" t="n">
        <f aca="false">IF(COUNTIF($A$2:$A1371,A1371)=1,1,0)</f>
        <v>1</v>
      </c>
    </row>
    <row r="1372" customFormat="false" ht="15" hidden="false" customHeight="false" outlineLevel="0" collapsed="false">
      <c r="A1372" s="31" t="s">
        <v>979</v>
      </c>
      <c r="B1372" s="36" t="n">
        <v>46126</v>
      </c>
      <c r="C1372" s="49" t="n">
        <f aca="false">DATE(YEAR(B1372),MONTH(B1372),1)</f>
        <v>46113</v>
      </c>
      <c r="D1372" s="31" t="s">
        <v>220</v>
      </c>
      <c r="E1372" s="31" t="s">
        <v>42</v>
      </c>
      <c r="F1372" s="31" t="s">
        <v>46</v>
      </c>
      <c r="G1372" s="31" t="s">
        <v>61</v>
      </c>
      <c r="H1372" s="31" t="s">
        <v>181</v>
      </c>
      <c r="I1372" s="32" t="str">
        <f aca="false">INDEX(Productos!$B$2:$B$13,MATCH($H1372,Productos!$A$2:$A$13,0))</f>
        <v>Autotaladrante 5,5x55 punta broca</v>
      </c>
      <c r="J1372" s="32" t="str">
        <f aca="false">INDEX(Productos!$C$2:$C$13,MATCH($H1372,Productos!$A$2:$A$13,0))</f>
        <v>Autotaladrante</v>
      </c>
      <c r="K1372" s="31" t="s">
        <v>246</v>
      </c>
      <c r="L1372" s="46" t="n">
        <v>38</v>
      </c>
      <c r="M1372" s="50" t="n">
        <f aca="false">INDEX(Productos!$F$2:$F$13,MATCH($H1372,Productos!$A$2:$A$13,0))</f>
        <v>39</v>
      </c>
      <c r="N1372" s="51" t="n">
        <v>0.116</v>
      </c>
      <c r="O1372" s="52" t="n">
        <f aca="false">M1372*(1-N1372)</f>
        <v>34.476</v>
      </c>
      <c r="P1372" s="21" t="n">
        <f aca="false">L1372*O1372</f>
        <v>1310.088</v>
      </c>
      <c r="Q1372" s="50" t="n">
        <f aca="false">INDEX(Productos!$E$2:$E$13,MATCH($H1372,Productos!$A$2:$A$13,0))*INDEX(Parametros!$B$26:$B$43,MATCH($C1372,Parametros!$A$26:$A$43,0))</f>
        <v>20.4218</v>
      </c>
      <c r="R1372" s="21" t="n">
        <f aca="false">L1372*Q1372</f>
        <v>776.0284</v>
      </c>
      <c r="S1372" s="18" t="n">
        <f aca="false">L1372*INDEX(Parametros!$B$20:$B$22,MATCH($E1372,Parametros!$A$20:$A$22,0))</f>
        <v>91.2</v>
      </c>
      <c r="T1372" s="18" t="n">
        <f aca="false">P1372*INDEX(Parametros!$B$13:$B$16,MATCH($F1372,Parametros!$A$13:$A$16,0))</f>
        <v>52.40352</v>
      </c>
      <c r="U1372" s="21" t="n">
        <f aca="false">P1372-R1372-S1372-T1372</f>
        <v>390.45608</v>
      </c>
      <c r="V1372" s="19" t="n">
        <f aca="false">IFERROR(U1372/P1372,0)</f>
        <v>0.29803805545887</v>
      </c>
      <c r="W1372" s="48" t="n">
        <f aca="false">B1372+INDEX(Parametros!$C$13:$C$16,MATCH($F1372,Parametros!$A$13:$A$16,0))</f>
        <v>46201</v>
      </c>
      <c r="X1372" s="31" t="s">
        <v>67</v>
      </c>
      <c r="Y1372" s="53" t="n">
        <f aca="false">IF(COUNTIF($A$2:$A1372,A1372)=1,1,0)</f>
        <v>0</v>
      </c>
    </row>
    <row r="1373" customFormat="false" ht="15" hidden="false" customHeight="false" outlineLevel="0" collapsed="false">
      <c r="A1373" s="31" t="s">
        <v>980</v>
      </c>
      <c r="B1373" s="36" t="n">
        <v>46126</v>
      </c>
      <c r="C1373" s="49" t="n">
        <f aca="false">DATE(YEAR(B1373),MONTH(B1373),1)</f>
        <v>46113</v>
      </c>
      <c r="D1373" s="31" t="s">
        <v>212</v>
      </c>
      <c r="E1373" s="31" t="s">
        <v>42</v>
      </c>
      <c r="F1373" s="31" t="s">
        <v>45</v>
      </c>
      <c r="G1373" s="31" t="s">
        <v>61</v>
      </c>
      <c r="H1373" s="31" t="s">
        <v>169</v>
      </c>
      <c r="I1373" s="32" t="str">
        <f aca="false">INDEX(Productos!$B$2:$B$13,MATCH($H1373,Productos!$A$2:$A$13,0))</f>
        <v>Tornillo DIN 912 M10x60 Allen inox A2</v>
      </c>
      <c r="J1373" s="32" t="str">
        <f aca="false">INDEX(Productos!$C$2:$C$13,MATCH($H1373,Productos!$A$2:$A$13,0))</f>
        <v>Inoxidable</v>
      </c>
      <c r="K1373" s="31" t="s">
        <v>246</v>
      </c>
      <c r="L1373" s="46" t="n">
        <v>142</v>
      </c>
      <c r="M1373" s="50" t="n">
        <f aca="false">INDEX(Productos!$F$2:$F$13,MATCH($H1373,Productos!$A$2:$A$13,0))</f>
        <v>79</v>
      </c>
      <c r="N1373" s="51" t="n">
        <v>0.135</v>
      </c>
      <c r="O1373" s="52" t="n">
        <f aca="false">M1373*(1-N1373)</f>
        <v>68.335</v>
      </c>
      <c r="P1373" s="21" t="n">
        <f aca="false">L1373*O1373</f>
        <v>9703.57</v>
      </c>
      <c r="Q1373" s="50" t="n">
        <f aca="false">INDEX(Productos!$E$2:$E$13,MATCH($H1373,Productos!$A$2:$A$13,0))*INDEX(Parametros!$B$26:$B$43,MATCH($C1373,Parametros!$A$26:$A$43,0))</f>
        <v>42.252</v>
      </c>
      <c r="R1373" s="21" t="n">
        <f aca="false">L1373*Q1373</f>
        <v>5999.784</v>
      </c>
      <c r="S1373" s="18" t="n">
        <f aca="false">L1373*INDEX(Parametros!$B$20:$B$22,MATCH($E1373,Parametros!$A$20:$A$22,0))</f>
        <v>340.8</v>
      </c>
      <c r="T1373" s="18" t="n">
        <f aca="false">P1373*INDEX(Parametros!$B$13:$B$16,MATCH($F1373,Parametros!$A$13:$A$16,0))</f>
        <v>291.1071</v>
      </c>
      <c r="U1373" s="21" t="n">
        <f aca="false">P1373-R1373-S1373-T1373</f>
        <v>3071.8789</v>
      </c>
      <c r="V1373" s="19" t="n">
        <f aca="false">IFERROR(U1373/P1373,0)</f>
        <v>0.316572034828419</v>
      </c>
      <c r="W1373" s="48" t="n">
        <f aca="false">B1373+INDEX(Parametros!$C$13:$C$16,MATCH($F1373,Parametros!$A$13:$A$16,0))</f>
        <v>46186</v>
      </c>
      <c r="X1373" s="31" t="s">
        <v>67</v>
      </c>
      <c r="Y1373" s="53" t="n">
        <f aca="false">IF(COUNTIF($A$2:$A1373,A1373)=1,1,0)</f>
        <v>1</v>
      </c>
    </row>
    <row r="1374" customFormat="false" ht="15" hidden="false" customHeight="false" outlineLevel="0" collapsed="false">
      <c r="A1374" s="31" t="s">
        <v>981</v>
      </c>
      <c r="B1374" s="36" t="n">
        <v>46127</v>
      </c>
      <c r="C1374" s="49" t="n">
        <f aca="false">DATE(YEAR(B1374),MONTH(B1374),1)</f>
        <v>46113</v>
      </c>
      <c r="D1374" s="31" t="s">
        <v>196</v>
      </c>
      <c r="E1374" s="31" t="s">
        <v>41</v>
      </c>
      <c r="F1374" s="31" t="s">
        <v>47</v>
      </c>
      <c r="G1374" s="31" t="s">
        <v>58</v>
      </c>
      <c r="H1374" s="31" t="s">
        <v>175</v>
      </c>
      <c r="I1374" s="32" t="str">
        <f aca="false">INDEX(Productos!$B$2:$B$13,MATCH($H1374,Productos!$A$2:$A$13,0))</f>
        <v>Tirafondo madera 5x60 cabeza plana Torx</v>
      </c>
      <c r="J1374" s="32" t="str">
        <f aca="false">INDEX(Productos!$C$2:$C$13,MATCH($H1374,Productos!$A$2:$A$13,0))</f>
        <v>Madera</v>
      </c>
      <c r="K1374" s="31" t="s">
        <v>246</v>
      </c>
      <c r="L1374" s="46" t="n">
        <v>12</v>
      </c>
      <c r="M1374" s="50" t="n">
        <f aca="false">INDEX(Productos!$F$2:$F$13,MATCH($H1374,Productos!$A$2:$A$13,0))</f>
        <v>26</v>
      </c>
      <c r="N1374" s="51" t="n">
        <v>0.063</v>
      </c>
      <c r="O1374" s="52" t="n">
        <f aca="false">M1374*(1-N1374)</f>
        <v>24.362</v>
      </c>
      <c r="P1374" s="21" t="n">
        <f aca="false">L1374*O1374</f>
        <v>292.344</v>
      </c>
      <c r="Q1374" s="50" t="n">
        <f aca="false">INDEX(Productos!$E$2:$E$13,MATCH($H1374,Productos!$A$2:$A$13,0))*INDEX(Parametros!$B$26:$B$43,MATCH($C1374,Parametros!$A$26:$A$43,0))</f>
        <v>13.4804</v>
      </c>
      <c r="R1374" s="21" t="n">
        <f aca="false">L1374*Q1374</f>
        <v>161.7648</v>
      </c>
      <c r="S1374" s="18" t="n">
        <f aca="false">L1374*INDEX(Parametros!$B$20:$B$22,MATCH($E1374,Parametros!$A$20:$A$22,0))</f>
        <v>10.2</v>
      </c>
      <c r="T1374" s="18" t="n">
        <f aca="false">P1374*INDEX(Parametros!$B$13:$B$16,MATCH($F1374,Parametros!$A$13:$A$16,0))</f>
        <v>10.23204</v>
      </c>
      <c r="U1374" s="21" t="n">
        <f aca="false">P1374-R1374-S1374-T1374</f>
        <v>110.14716</v>
      </c>
      <c r="V1374" s="19" t="n">
        <f aca="false">IFERROR(U1374/P1374,0)</f>
        <v>0.376772432476808</v>
      </c>
      <c r="W1374" s="48" t="n">
        <f aca="false">B1374+INDEX(Parametros!$C$13:$C$16,MATCH($F1374,Parametros!$A$13:$A$16,0))</f>
        <v>46172</v>
      </c>
      <c r="X1374" s="31" t="s">
        <v>67</v>
      </c>
      <c r="Y1374" s="53" t="n">
        <f aca="false">IF(COUNTIF($A$2:$A1374,A1374)=1,1,0)</f>
        <v>1</v>
      </c>
    </row>
    <row r="1375" customFormat="false" ht="15" hidden="false" customHeight="false" outlineLevel="0" collapsed="false">
      <c r="A1375" s="31" t="s">
        <v>981</v>
      </c>
      <c r="B1375" s="36" t="n">
        <v>46127</v>
      </c>
      <c r="C1375" s="49" t="n">
        <f aca="false">DATE(YEAR(B1375),MONTH(B1375),1)</f>
        <v>46113</v>
      </c>
      <c r="D1375" s="31" t="s">
        <v>196</v>
      </c>
      <c r="E1375" s="31" t="s">
        <v>41</v>
      </c>
      <c r="F1375" s="31" t="s">
        <v>47</v>
      </c>
      <c r="G1375" s="31" t="s">
        <v>58</v>
      </c>
      <c r="H1375" s="31" t="s">
        <v>165</v>
      </c>
      <c r="I1375" s="32" t="str">
        <f aca="false">INDEX(Productos!$B$2:$B$13,MATCH($H1375,Productos!$A$2:$A$13,0))</f>
        <v>Tornillo DIN 933 M8x40 rosca completa zincado</v>
      </c>
      <c r="J1375" s="32" t="str">
        <f aca="false">INDEX(Productos!$C$2:$C$13,MATCH($H1375,Productos!$A$2:$A$13,0))</f>
        <v>Métrica</v>
      </c>
      <c r="K1375" s="31" t="s">
        <v>246</v>
      </c>
      <c r="L1375" s="46" t="n">
        <v>16</v>
      </c>
      <c r="M1375" s="50" t="n">
        <f aca="false">INDEX(Productos!$F$2:$F$13,MATCH($H1375,Productos!$A$2:$A$13,0))</f>
        <v>37.5</v>
      </c>
      <c r="N1375" s="51" t="n">
        <v>0.081</v>
      </c>
      <c r="O1375" s="52" t="n">
        <f aca="false">M1375*(1-N1375)</f>
        <v>34.4625</v>
      </c>
      <c r="P1375" s="21" t="n">
        <f aca="false">L1375*O1375</f>
        <v>551.4</v>
      </c>
      <c r="Q1375" s="50" t="n">
        <f aca="false">INDEX(Productos!$E$2:$E$13,MATCH($H1375,Productos!$A$2:$A$13,0))*INDEX(Parametros!$B$26:$B$43,MATCH($C1375,Parametros!$A$26:$A$43,0))</f>
        <v>19.5164</v>
      </c>
      <c r="R1375" s="21" t="n">
        <f aca="false">L1375*Q1375</f>
        <v>312.2624</v>
      </c>
      <c r="S1375" s="18" t="n">
        <f aca="false">L1375*INDEX(Parametros!$B$20:$B$22,MATCH($E1375,Parametros!$A$20:$A$22,0))</f>
        <v>13.6</v>
      </c>
      <c r="T1375" s="18" t="n">
        <f aca="false">P1375*INDEX(Parametros!$B$13:$B$16,MATCH($F1375,Parametros!$A$13:$A$16,0))</f>
        <v>19.299</v>
      </c>
      <c r="U1375" s="21" t="n">
        <f aca="false">P1375-R1375-S1375-T1375</f>
        <v>206.2386</v>
      </c>
      <c r="V1375" s="19" t="n">
        <f aca="false">IFERROR(U1375/P1375,0)</f>
        <v>0.374027203482046</v>
      </c>
      <c r="W1375" s="48" t="n">
        <f aca="false">B1375+INDEX(Parametros!$C$13:$C$16,MATCH($F1375,Parametros!$A$13:$A$16,0))</f>
        <v>46172</v>
      </c>
      <c r="X1375" s="31" t="s">
        <v>67</v>
      </c>
      <c r="Y1375" s="53" t="n">
        <f aca="false">IF(COUNTIF($A$2:$A1375,A1375)=1,1,0)</f>
        <v>0</v>
      </c>
    </row>
    <row r="1376" customFormat="false" ht="15" hidden="false" customHeight="false" outlineLevel="0" collapsed="false">
      <c r="A1376" s="31" t="s">
        <v>981</v>
      </c>
      <c r="B1376" s="36" t="n">
        <v>46127</v>
      </c>
      <c r="C1376" s="49" t="n">
        <f aca="false">DATE(YEAR(B1376),MONTH(B1376),1)</f>
        <v>46113</v>
      </c>
      <c r="D1376" s="31" t="s">
        <v>196</v>
      </c>
      <c r="E1376" s="31" t="s">
        <v>41</v>
      </c>
      <c r="F1376" s="31" t="s">
        <v>47</v>
      </c>
      <c r="G1376" s="31" t="s">
        <v>58</v>
      </c>
      <c r="H1376" s="31" t="s">
        <v>179</v>
      </c>
      <c r="I1376" s="32" t="str">
        <f aca="false">INDEX(Productos!$B$2:$B$13,MATCH($H1376,Productos!$A$2:$A$13,0))</f>
        <v>Autotaladrante DIN 7504 4,8x38 zincado</v>
      </c>
      <c r="J1376" s="32" t="str">
        <f aca="false">INDEX(Productos!$C$2:$C$13,MATCH($H1376,Productos!$A$2:$A$13,0))</f>
        <v>Autotaladrante</v>
      </c>
      <c r="K1376" s="31" t="s">
        <v>246</v>
      </c>
      <c r="L1376" s="46" t="n">
        <v>76</v>
      </c>
      <c r="M1376" s="50" t="n">
        <f aca="false">INDEX(Productos!$F$2:$F$13,MATCH($H1376,Productos!$A$2:$A$13,0))</f>
        <v>29.5</v>
      </c>
      <c r="N1376" s="51" t="n">
        <v>0.079</v>
      </c>
      <c r="O1376" s="52" t="n">
        <f aca="false">M1376*(1-N1376)</f>
        <v>27.1695</v>
      </c>
      <c r="P1376" s="21" t="n">
        <f aca="false">L1376*O1376</f>
        <v>2064.882</v>
      </c>
      <c r="Q1376" s="50" t="n">
        <f aca="false">INDEX(Productos!$E$2:$E$13,MATCH($H1376,Productos!$A$2:$A$13,0))*INDEX(Parametros!$B$26:$B$43,MATCH($C1376,Parametros!$A$26:$A$43,0))</f>
        <v>15.2912</v>
      </c>
      <c r="R1376" s="21" t="n">
        <f aca="false">L1376*Q1376</f>
        <v>1162.1312</v>
      </c>
      <c r="S1376" s="18" t="n">
        <f aca="false">L1376*INDEX(Parametros!$B$20:$B$22,MATCH($E1376,Parametros!$A$20:$A$22,0))</f>
        <v>64.6</v>
      </c>
      <c r="T1376" s="18" t="n">
        <f aca="false">P1376*INDEX(Parametros!$B$13:$B$16,MATCH($F1376,Parametros!$A$13:$A$16,0))</f>
        <v>72.27087</v>
      </c>
      <c r="U1376" s="21" t="n">
        <f aca="false">P1376-R1376-S1376-T1376</f>
        <v>765.87993</v>
      </c>
      <c r="V1376" s="19" t="n">
        <f aca="false">IFERROR(U1376/P1376,0)</f>
        <v>0.370907359355159</v>
      </c>
      <c r="W1376" s="48" t="n">
        <f aca="false">B1376+INDEX(Parametros!$C$13:$C$16,MATCH($F1376,Parametros!$A$13:$A$16,0))</f>
        <v>46172</v>
      </c>
      <c r="X1376" s="31" t="s">
        <v>67</v>
      </c>
      <c r="Y1376" s="53" t="n">
        <f aca="false">IF(COUNTIF($A$2:$A1376,A1376)=1,1,0)</f>
        <v>0</v>
      </c>
    </row>
    <row r="1377" customFormat="false" ht="15" hidden="false" customHeight="false" outlineLevel="0" collapsed="false">
      <c r="A1377" s="31" t="s">
        <v>982</v>
      </c>
      <c r="B1377" s="36" t="n">
        <v>46128</v>
      </c>
      <c r="C1377" s="49" t="n">
        <f aca="false">DATE(YEAR(B1377),MONTH(B1377),1)</f>
        <v>46113</v>
      </c>
      <c r="D1377" s="31" t="s">
        <v>200</v>
      </c>
      <c r="E1377" s="31" t="s">
        <v>41</v>
      </c>
      <c r="F1377" s="31" t="s">
        <v>45</v>
      </c>
      <c r="G1377" s="31" t="s">
        <v>62</v>
      </c>
      <c r="H1377" s="31" t="s">
        <v>181</v>
      </c>
      <c r="I1377" s="32" t="str">
        <f aca="false">INDEX(Productos!$B$2:$B$13,MATCH($H1377,Productos!$A$2:$A$13,0))</f>
        <v>Autotaladrante 5,5x55 punta broca</v>
      </c>
      <c r="J1377" s="32" t="str">
        <f aca="false">INDEX(Productos!$C$2:$C$13,MATCH($H1377,Productos!$A$2:$A$13,0))</f>
        <v>Autotaladrante</v>
      </c>
      <c r="K1377" s="31" t="s">
        <v>246</v>
      </c>
      <c r="L1377" s="46" t="n">
        <v>239</v>
      </c>
      <c r="M1377" s="50" t="n">
        <f aca="false">INDEX(Productos!$F$2:$F$13,MATCH($H1377,Productos!$A$2:$A$13,0))</f>
        <v>39</v>
      </c>
      <c r="N1377" s="51" t="n">
        <v>0.218</v>
      </c>
      <c r="O1377" s="52" t="n">
        <f aca="false">M1377*(1-N1377)</f>
        <v>30.498</v>
      </c>
      <c r="P1377" s="21" t="n">
        <f aca="false">L1377*O1377</f>
        <v>7289.022</v>
      </c>
      <c r="Q1377" s="50" t="n">
        <f aca="false">INDEX(Productos!$E$2:$E$13,MATCH($H1377,Productos!$A$2:$A$13,0))*INDEX(Parametros!$B$26:$B$43,MATCH($C1377,Parametros!$A$26:$A$43,0))</f>
        <v>20.4218</v>
      </c>
      <c r="R1377" s="21" t="n">
        <f aca="false">L1377*Q1377</f>
        <v>4880.8102</v>
      </c>
      <c r="S1377" s="18" t="n">
        <f aca="false">L1377*INDEX(Parametros!$B$20:$B$22,MATCH($E1377,Parametros!$A$20:$A$22,0))</f>
        <v>203.15</v>
      </c>
      <c r="T1377" s="18" t="n">
        <f aca="false">P1377*INDEX(Parametros!$B$13:$B$16,MATCH($F1377,Parametros!$A$13:$A$16,0))</f>
        <v>218.67066</v>
      </c>
      <c r="U1377" s="21" t="n">
        <f aca="false">P1377-R1377-S1377-T1377</f>
        <v>1986.39114</v>
      </c>
      <c r="V1377" s="19" t="n">
        <f aca="false">IFERROR(U1377/P1377,0)</f>
        <v>0.272518197914617</v>
      </c>
      <c r="W1377" s="48" t="n">
        <f aca="false">B1377+INDEX(Parametros!$C$13:$C$16,MATCH($F1377,Parametros!$A$13:$A$16,0))</f>
        <v>46188</v>
      </c>
      <c r="X1377" s="31" t="s">
        <v>67</v>
      </c>
      <c r="Y1377" s="53" t="n">
        <f aca="false">IF(COUNTIF($A$2:$A1377,A1377)=1,1,0)</f>
        <v>1</v>
      </c>
    </row>
    <row r="1378" customFormat="false" ht="15" hidden="false" customHeight="false" outlineLevel="0" collapsed="false">
      <c r="A1378" s="31" t="s">
        <v>982</v>
      </c>
      <c r="B1378" s="36" t="n">
        <v>46128</v>
      </c>
      <c r="C1378" s="49" t="n">
        <f aca="false">DATE(YEAR(B1378),MONTH(B1378),1)</f>
        <v>46113</v>
      </c>
      <c r="D1378" s="31" t="s">
        <v>200</v>
      </c>
      <c r="E1378" s="31" t="s">
        <v>41</v>
      </c>
      <c r="F1378" s="31" t="s">
        <v>45</v>
      </c>
      <c r="G1378" s="31" t="s">
        <v>62</v>
      </c>
      <c r="H1378" s="31" t="s">
        <v>185</v>
      </c>
      <c r="I1378" s="32" t="str">
        <f aca="false">INDEX(Productos!$B$2:$B$13,MATCH($H1378,Productos!$A$2:$A$13,0))</f>
        <v>Varilla roscada M10 x 1 m zincada</v>
      </c>
      <c r="J1378" s="32" t="str">
        <f aca="false">INDEX(Productos!$C$2:$C$13,MATCH($H1378,Productos!$A$2:$A$13,0))</f>
        <v>Especial</v>
      </c>
      <c r="K1378" s="31" t="s">
        <v>246</v>
      </c>
      <c r="L1378" s="46" t="n">
        <v>50</v>
      </c>
      <c r="M1378" s="50" t="n">
        <f aca="false">INDEX(Productos!$F$2:$F$13,MATCH($H1378,Productos!$A$2:$A$13,0))</f>
        <v>54</v>
      </c>
      <c r="N1378" s="51" t="n">
        <v>0.175</v>
      </c>
      <c r="O1378" s="52" t="n">
        <f aca="false">M1378*(1-N1378)</f>
        <v>44.55</v>
      </c>
      <c r="P1378" s="21" t="n">
        <f aca="false">L1378*O1378</f>
        <v>2227.5</v>
      </c>
      <c r="Q1378" s="50" t="n">
        <f aca="false">INDEX(Productos!$E$2:$E$13,MATCH($H1378,Productos!$A$2:$A$13,0))*INDEX(Parametros!$B$26:$B$43,MATCH($C1378,Parametros!$A$26:$A$43,0))</f>
        <v>28.671</v>
      </c>
      <c r="R1378" s="21" t="n">
        <f aca="false">L1378*Q1378</f>
        <v>1433.55</v>
      </c>
      <c r="S1378" s="18" t="n">
        <f aca="false">L1378*INDEX(Parametros!$B$20:$B$22,MATCH($E1378,Parametros!$A$20:$A$22,0))</f>
        <v>42.5</v>
      </c>
      <c r="T1378" s="18" t="n">
        <f aca="false">P1378*INDEX(Parametros!$B$13:$B$16,MATCH($F1378,Parametros!$A$13:$A$16,0))</f>
        <v>66.825</v>
      </c>
      <c r="U1378" s="21" t="n">
        <f aca="false">P1378-R1378-S1378-T1378</f>
        <v>684.625</v>
      </c>
      <c r="V1378" s="19" t="n">
        <f aca="false">IFERROR(U1378/P1378,0)</f>
        <v>0.307351290684624</v>
      </c>
      <c r="W1378" s="48" t="n">
        <f aca="false">B1378+INDEX(Parametros!$C$13:$C$16,MATCH($F1378,Parametros!$A$13:$A$16,0))</f>
        <v>46188</v>
      </c>
      <c r="X1378" s="31" t="s">
        <v>67</v>
      </c>
      <c r="Y1378" s="53" t="n">
        <f aca="false">IF(COUNTIF($A$2:$A1378,A1378)=1,1,0)</f>
        <v>0</v>
      </c>
    </row>
    <row r="1379" customFormat="false" ht="15" hidden="false" customHeight="false" outlineLevel="0" collapsed="false">
      <c r="A1379" s="31" t="s">
        <v>983</v>
      </c>
      <c r="B1379" s="36" t="n">
        <v>46129</v>
      </c>
      <c r="C1379" s="49" t="n">
        <f aca="false">DATE(YEAR(B1379),MONTH(B1379),1)</f>
        <v>46113</v>
      </c>
      <c r="D1379" s="31" t="s">
        <v>207</v>
      </c>
      <c r="E1379" s="31" t="s">
        <v>41</v>
      </c>
      <c r="F1379" s="31" t="s">
        <v>47</v>
      </c>
      <c r="G1379" s="31" t="s">
        <v>62</v>
      </c>
      <c r="H1379" s="31" t="s">
        <v>163</v>
      </c>
      <c r="I1379" s="32" t="str">
        <f aca="false">INDEX(Productos!$B$2:$B$13,MATCH($H1379,Productos!$A$2:$A$13,0))</f>
        <v>Tornillo DIN 933 M6x30 rosca completa zincado</v>
      </c>
      <c r="J1379" s="32" t="str">
        <f aca="false">INDEX(Productos!$C$2:$C$13,MATCH($H1379,Productos!$A$2:$A$13,0))</f>
        <v>Métrica</v>
      </c>
      <c r="K1379" s="31" t="s">
        <v>246</v>
      </c>
      <c r="L1379" s="46" t="n">
        <v>51</v>
      </c>
      <c r="M1379" s="50" t="n">
        <f aca="false">INDEX(Productos!$F$2:$F$13,MATCH($H1379,Productos!$A$2:$A$13,0))</f>
        <v>32</v>
      </c>
      <c r="N1379" s="51" t="n">
        <v>0.093</v>
      </c>
      <c r="O1379" s="52" t="n">
        <f aca="false">M1379*(1-N1379)</f>
        <v>29.024</v>
      </c>
      <c r="P1379" s="21" t="n">
        <f aca="false">L1379*O1379</f>
        <v>1480.224</v>
      </c>
      <c r="Q1379" s="50" t="n">
        <f aca="false">INDEX(Productos!$E$2:$E$13,MATCH($H1379,Productos!$A$2:$A$13,0))*INDEX(Parametros!$B$26:$B$43,MATCH($C1379,Parametros!$A$26:$A$43,0))</f>
        <v>16.6996</v>
      </c>
      <c r="R1379" s="21" t="n">
        <f aca="false">L1379*Q1379</f>
        <v>851.6796</v>
      </c>
      <c r="S1379" s="18" t="n">
        <f aca="false">L1379*INDEX(Parametros!$B$20:$B$22,MATCH($E1379,Parametros!$A$20:$A$22,0))</f>
        <v>43.35</v>
      </c>
      <c r="T1379" s="18" t="n">
        <f aca="false">P1379*INDEX(Parametros!$B$13:$B$16,MATCH($F1379,Parametros!$A$13:$A$16,0))</f>
        <v>51.80784</v>
      </c>
      <c r="U1379" s="21" t="n">
        <f aca="false">P1379-R1379-S1379-T1379</f>
        <v>533.38656</v>
      </c>
      <c r="V1379" s="19" t="n">
        <f aca="false">IFERROR(U1379/P1379,0)</f>
        <v>0.360341786108049</v>
      </c>
      <c r="W1379" s="48" t="n">
        <f aca="false">B1379+INDEX(Parametros!$C$13:$C$16,MATCH($F1379,Parametros!$A$13:$A$16,0))</f>
        <v>46174</v>
      </c>
      <c r="X1379" s="31" t="s">
        <v>67</v>
      </c>
      <c r="Y1379" s="53" t="n">
        <f aca="false">IF(COUNTIF($A$2:$A1379,A1379)=1,1,0)</f>
        <v>1</v>
      </c>
    </row>
    <row r="1380" customFormat="false" ht="15" hidden="false" customHeight="false" outlineLevel="0" collapsed="false">
      <c r="A1380" s="31" t="s">
        <v>984</v>
      </c>
      <c r="B1380" s="36" t="n">
        <v>46129</v>
      </c>
      <c r="C1380" s="49" t="n">
        <f aca="false">DATE(YEAR(B1380),MONTH(B1380),1)</f>
        <v>46113</v>
      </c>
      <c r="D1380" s="31" t="s">
        <v>201</v>
      </c>
      <c r="E1380" s="31" t="s">
        <v>41</v>
      </c>
      <c r="F1380" s="31" t="s">
        <v>46</v>
      </c>
      <c r="G1380" s="31" t="s">
        <v>62</v>
      </c>
      <c r="H1380" s="31" t="s">
        <v>169</v>
      </c>
      <c r="I1380" s="32" t="str">
        <f aca="false">INDEX(Productos!$B$2:$B$13,MATCH($H1380,Productos!$A$2:$A$13,0))</f>
        <v>Tornillo DIN 912 M10x60 Allen inox A2</v>
      </c>
      <c r="J1380" s="32" t="str">
        <f aca="false">INDEX(Productos!$C$2:$C$13,MATCH($H1380,Productos!$A$2:$A$13,0))</f>
        <v>Inoxidable</v>
      </c>
      <c r="K1380" s="31" t="s">
        <v>246</v>
      </c>
      <c r="L1380" s="46" t="n">
        <v>133</v>
      </c>
      <c r="M1380" s="50" t="n">
        <f aca="false">INDEX(Productos!$F$2:$F$13,MATCH($H1380,Productos!$A$2:$A$13,0))</f>
        <v>79</v>
      </c>
      <c r="N1380" s="51" t="n">
        <v>0.156</v>
      </c>
      <c r="O1380" s="52" t="n">
        <f aca="false">M1380*(1-N1380)</f>
        <v>66.676</v>
      </c>
      <c r="P1380" s="21" t="n">
        <f aca="false">L1380*O1380</f>
        <v>8867.908</v>
      </c>
      <c r="Q1380" s="50" t="n">
        <f aca="false">INDEX(Productos!$E$2:$E$13,MATCH($H1380,Productos!$A$2:$A$13,0))*INDEX(Parametros!$B$26:$B$43,MATCH($C1380,Parametros!$A$26:$A$43,0))</f>
        <v>42.252</v>
      </c>
      <c r="R1380" s="21" t="n">
        <f aca="false">L1380*Q1380</f>
        <v>5619.516</v>
      </c>
      <c r="S1380" s="18" t="n">
        <f aca="false">L1380*INDEX(Parametros!$B$20:$B$22,MATCH($E1380,Parametros!$A$20:$A$22,0))</f>
        <v>113.05</v>
      </c>
      <c r="T1380" s="18" t="n">
        <f aca="false">P1380*INDEX(Parametros!$B$13:$B$16,MATCH($F1380,Parametros!$A$13:$A$16,0))</f>
        <v>354.71632</v>
      </c>
      <c r="U1380" s="21" t="n">
        <f aca="false">P1380-R1380-S1380-T1380</f>
        <v>2780.62568</v>
      </c>
      <c r="V1380" s="19" t="n">
        <f aca="false">IFERROR(U1380/P1380,0)</f>
        <v>0.313560501529786</v>
      </c>
      <c r="W1380" s="48" t="n">
        <f aca="false">B1380+INDEX(Parametros!$C$13:$C$16,MATCH($F1380,Parametros!$A$13:$A$16,0))</f>
        <v>46204</v>
      </c>
      <c r="X1380" s="31" t="s">
        <v>67</v>
      </c>
      <c r="Y1380" s="53" t="n">
        <f aca="false">IF(COUNTIF($A$2:$A1380,A1380)=1,1,0)</f>
        <v>1</v>
      </c>
    </row>
    <row r="1381" customFormat="false" ht="15" hidden="false" customHeight="false" outlineLevel="0" collapsed="false">
      <c r="A1381" s="31" t="s">
        <v>985</v>
      </c>
      <c r="B1381" s="36" t="n">
        <v>46132</v>
      </c>
      <c r="C1381" s="49" t="n">
        <f aca="false">DATE(YEAR(B1381),MONTH(B1381),1)</f>
        <v>46113</v>
      </c>
      <c r="D1381" s="31" t="s">
        <v>207</v>
      </c>
      <c r="E1381" s="31" t="s">
        <v>41</v>
      </c>
      <c r="F1381" s="31" t="s">
        <v>47</v>
      </c>
      <c r="G1381" s="31" t="s">
        <v>62</v>
      </c>
      <c r="H1381" s="31" t="s">
        <v>165</v>
      </c>
      <c r="I1381" s="32" t="str">
        <f aca="false">INDEX(Productos!$B$2:$B$13,MATCH($H1381,Productos!$A$2:$A$13,0))</f>
        <v>Tornillo DIN 933 M8x40 rosca completa zincado</v>
      </c>
      <c r="J1381" s="32" t="str">
        <f aca="false">INDEX(Productos!$C$2:$C$13,MATCH($H1381,Productos!$A$2:$A$13,0))</f>
        <v>Métrica</v>
      </c>
      <c r="K1381" s="31" t="s">
        <v>275</v>
      </c>
      <c r="L1381" s="46" t="n">
        <v>-3</v>
      </c>
      <c r="M1381" s="50" t="n">
        <f aca="false">INDEX(Productos!$F$2:$F$13,MATCH($H1381,Productos!$A$2:$A$13,0))</f>
        <v>37.5</v>
      </c>
      <c r="N1381" s="51" t="n">
        <v>0.037</v>
      </c>
      <c r="O1381" s="52" t="n">
        <f aca="false">M1381*(1-N1381)</f>
        <v>36.1125</v>
      </c>
      <c r="P1381" s="21" t="n">
        <f aca="false">L1381*O1381</f>
        <v>-108.3375</v>
      </c>
      <c r="Q1381" s="50" t="n">
        <f aca="false">INDEX(Productos!$E$2:$E$13,MATCH($H1381,Productos!$A$2:$A$13,0))*INDEX(Parametros!$B$26:$B$43,MATCH($C1381,Parametros!$A$26:$A$43,0))</f>
        <v>19.5164</v>
      </c>
      <c r="R1381" s="21" t="n">
        <f aca="false">L1381*Q1381</f>
        <v>-58.5492</v>
      </c>
      <c r="S1381" s="18" t="n">
        <f aca="false">L1381*INDEX(Parametros!$B$20:$B$22,MATCH($E1381,Parametros!$A$20:$A$22,0))</f>
        <v>-2.55</v>
      </c>
      <c r="T1381" s="18" t="n">
        <f aca="false">P1381*INDEX(Parametros!$B$13:$B$16,MATCH($F1381,Parametros!$A$13:$A$16,0))</f>
        <v>-3.7918125</v>
      </c>
      <c r="U1381" s="21" t="n">
        <f aca="false">P1381-R1381-S1381-T1381</f>
        <v>-43.4464875</v>
      </c>
      <c r="V1381" s="19" t="n">
        <f aca="false">IFERROR(U1381/P1381,0)</f>
        <v>0.401029075804777</v>
      </c>
      <c r="W1381" s="48" t="n">
        <f aca="false">B1381+INDEX(Parametros!$C$13:$C$16,MATCH($F1381,Parametros!$A$13:$A$16,0))</f>
        <v>46177</v>
      </c>
      <c r="X1381" s="31" t="s">
        <v>67</v>
      </c>
      <c r="Y1381" s="53" t="n">
        <f aca="false">IF(COUNTIF($A$2:$A1381,A1381)=1,1,0)</f>
        <v>1</v>
      </c>
    </row>
    <row r="1382" customFormat="false" ht="15" hidden="false" customHeight="false" outlineLevel="0" collapsed="false">
      <c r="A1382" s="31" t="s">
        <v>985</v>
      </c>
      <c r="B1382" s="36" t="n">
        <v>46132</v>
      </c>
      <c r="C1382" s="49" t="n">
        <f aca="false">DATE(YEAR(B1382),MONTH(B1382),1)</f>
        <v>46113</v>
      </c>
      <c r="D1382" s="31" t="s">
        <v>207</v>
      </c>
      <c r="E1382" s="31" t="s">
        <v>41</v>
      </c>
      <c r="F1382" s="31" t="s">
        <v>47</v>
      </c>
      <c r="G1382" s="31" t="s">
        <v>62</v>
      </c>
      <c r="H1382" s="31" t="s">
        <v>185</v>
      </c>
      <c r="I1382" s="32" t="str">
        <f aca="false">INDEX(Productos!$B$2:$B$13,MATCH($H1382,Productos!$A$2:$A$13,0))</f>
        <v>Varilla roscada M10 x 1 m zincada</v>
      </c>
      <c r="J1382" s="32" t="str">
        <f aca="false">INDEX(Productos!$C$2:$C$13,MATCH($H1382,Productos!$A$2:$A$13,0))</f>
        <v>Especial</v>
      </c>
      <c r="K1382" s="31" t="s">
        <v>275</v>
      </c>
      <c r="L1382" s="46" t="n">
        <v>-15</v>
      </c>
      <c r="M1382" s="50" t="n">
        <f aca="false">INDEX(Productos!$F$2:$F$13,MATCH($H1382,Productos!$A$2:$A$13,0))</f>
        <v>54</v>
      </c>
      <c r="N1382" s="51" t="n">
        <v>0.084</v>
      </c>
      <c r="O1382" s="52" t="n">
        <f aca="false">M1382*(1-N1382)</f>
        <v>49.464</v>
      </c>
      <c r="P1382" s="21" t="n">
        <f aca="false">L1382*O1382</f>
        <v>-741.96</v>
      </c>
      <c r="Q1382" s="50" t="n">
        <f aca="false">INDEX(Productos!$E$2:$E$13,MATCH($H1382,Productos!$A$2:$A$13,0))*INDEX(Parametros!$B$26:$B$43,MATCH($C1382,Parametros!$A$26:$A$43,0))</f>
        <v>28.671</v>
      </c>
      <c r="R1382" s="21" t="n">
        <f aca="false">L1382*Q1382</f>
        <v>-430.065</v>
      </c>
      <c r="S1382" s="18" t="n">
        <f aca="false">L1382*INDEX(Parametros!$B$20:$B$22,MATCH($E1382,Parametros!$A$20:$A$22,0))</f>
        <v>-12.75</v>
      </c>
      <c r="T1382" s="18" t="n">
        <f aca="false">P1382*INDEX(Parametros!$B$13:$B$16,MATCH($F1382,Parametros!$A$13:$A$16,0))</f>
        <v>-25.9686</v>
      </c>
      <c r="U1382" s="21" t="n">
        <f aca="false">P1382-R1382-S1382-T1382</f>
        <v>-273.1764</v>
      </c>
      <c r="V1382" s="19" t="n">
        <f aca="false">IFERROR(U1382/P1382,0)</f>
        <v>0.368182112243248</v>
      </c>
      <c r="W1382" s="48" t="n">
        <f aca="false">B1382+INDEX(Parametros!$C$13:$C$16,MATCH($F1382,Parametros!$A$13:$A$16,0))</f>
        <v>46177</v>
      </c>
      <c r="X1382" s="31" t="s">
        <v>67</v>
      </c>
      <c r="Y1382" s="53" t="n">
        <f aca="false">IF(COUNTIF($A$2:$A1382,A1382)=1,1,0)</f>
        <v>0</v>
      </c>
    </row>
    <row r="1383" customFormat="false" ht="15" hidden="false" customHeight="false" outlineLevel="0" collapsed="false">
      <c r="A1383" s="31" t="s">
        <v>986</v>
      </c>
      <c r="B1383" s="36" t="n">
        <v>46132</v>
      </c>
      <c r="C1383" s="49" t="n">
        <f aca="false">DATE(YEAR(B1383),MONTH(B1383),1)</f>
        <v>46113</v>
      </c>
      <c r="D1383" s="31" t="s">
        <v>195</v>
      </c>
      <c r="E1383" s="31" t="s">
        <v>41</v>
      </c>
      <c r="F1383" s="31" t="s">
        <v>45</v>
      </c>
      <c r="G1383" s="31" t="s">
        <v>58</v>
      </c>
      <c r="H1383" s="31" t="s">
        <v>183</v>
      </c>
      <c r="I1383" s="32" t="str">
        <f aca="false">INDEX(Productos!$B$2:$B$13,MATCH($H1383,Productos!$A$2:$A$13,0))</f>
        <v>Tornillo estructural M16x90 clase 10.9</v>
      </c>
      <c r="J1383" s="32" t="str">
        <f aca="false">INDEX(Productos!$C$2:$C$13,MATCH($H1383,Productos!$A$2:$A$13,0))</f>
        <v>Especial</v>
      </c>
      <c r="K1383" s="31" t="s">
        <v>246</v>
      </c>
      <c r="L1383" s="46" t="n">
        <v>45</v>
      </c>
      <c r="M1383" s="50" t="n">
        <f aca="false">INDEX(Productos!$F$2:$F$13,MATCH($H1383,Productos!$A$2:$A$13,0))</f>
        <v>112</v>
      </c>
      <c r="N1383" s="51" t="n">
        <v>0.205</v>
      </c>
      <c r="O1383" s="52" t="n">
        <f aca="false">M1383*(1-N1383)</f>
        <v>89.04</v>
      </c>
      <c r="P1383" s="21" t="n">
        <f aca="false">L1383*O1383</f>
        <v>4006.8</v>
      </c>
      <c r="Q1383" s="50" t="n">
        <f aca="false">INDEX(Productos!$E$2:$E$13,MATCH($H1383,Productos!$A$2:$A$13,0))*INDEX(Parametros!$B$26:$B$43,MATCH($C1383,Parametros!$A$26:$A$43,0))</f>
        <v>60.36</v>
      </c>
      <c r="R1383" s="21" t="n">
        <f aca="false">L1383*Q1383</f>
        <v>2716.2</v>
      </c>
      <c r="S1383" s="18" t="n">
        <f aca="false">L1383*INDEX(Parametros!$B$20:$B$22,MATCH($E1383,Parametros!$A$20:$A$22,0))</f>
        <v>38.25</v>
      </c>
      <c r="T1383" s="18" t="n">
        <f aca="false">P1383*INDEX(Parametros!$B$13:$B$16,MATCH($F1383,Parametros!$A$13:$A$16,0))</f>
        <v>120.204</v>
      </c>
      <c r="U1383" s="21" t="n">
        <f aca="false">P1383-R1383-S1383-T1383</f>
        <v>1132.146</v>
      </c>
      <c r="V1383" s="19" t="n">
        <f aca="false">IFERROR(U1383/P1383,0)</f>
        <v>0.282556154537287</v>
      </c>
      <c r="W1383" s="48" t="n">
        <f aca="false">B1383+INDEX(Parametros!$C$13:$C$16,MATCH($F1383,Parametros!$A$13:$A$16,0))</f>
        <v>46192</v>
      </c>
      <c r="X1383" s="31" t="s">
        <v>67</v>
      </c>
      <c r="Y1383" s="53" t="n">
        <f aca="false">IF(COUNTIF($A$2:$A1383,A1383)=1,1,0)</f>
        <v>1</v>
      </c>
    </row>
    <row r="1384" customFormat="false" ht="15" hidden="false" customHeight="false" outlineLevel="0" collapsed="false">
      <c r="A1384" s="31" t="s">
        <v>987</v>
      </c>
      <c r="B1384" s="36" t="n">
        <v>46132</v>
      </c>
      <c r="C1384" s="49" t="n">
        <f aca="false">DATE(YEAR(B1384),MONTH(B1384),1)</f>
        <v>46113</v>
      </c>
      <c r="D1384" s="31" t="s">
        <v>201</v>
      </c>
      <c r="E1384" s="31" t="s">
        <v>41</v>
      </c>
      <c r="F1384" s="31" t="s">
        <v>46</v>
      </c>
      <c r="G1384" s="31" t="s">
        <v>62</v>
      </c>
      <c r="H1384" s="31" t="s">
        <v>183</v>
      </c>
      <c r="I1384" s="32" t="str">
        <f aca="false">INDEX(Productos!$B$2:$B$13,MATCH($H1384,Productos!$A$2:$A$13,0))</f>
        <v>Tornillo estructural M16x90 clase 10.9</v>
      </c>
      <c r="J1384" s="32" t="str">
        <f aca="false">INDEX(Productos!$C$2:$C$13,MATCH($H1384,Productos!$A$2:$A$13,0))</f>
        <v>Especial</v>
      </c>
      <c r="K1384" s="31" t="s">
        <v>246</v>
      </c>
      <c r="L1384" s="46" t="n">
        <v>87</v>
      </c>
      <c r="M1384" s="50" t="n">
        <f aca="false">INDEX(Productos!$F$2:$F$13,MATCH($H1384,Productos!$A$2:$A$13,0))</f>
        <v>112</v>
      </c>
      <c r="N1384" s="51" t="n">
        <v>0.081</v>
      </c>
      <c r="O1384" s="52" t="n">
        <f aca="false">M1384*(1-N1384)</f>
        <v>102.928</v>
      </c>
      <c r="P1384" s="21" t="n">
        <f aca="false">L1384*O1384</f>
        <v>8954.736</v>
      </c>
      <c r="Q1384" s="50" t="n">
        <f aca="false">INDEX(Productos!$E$2:$E$13,MATCH($H1384,Productos!$A$2:$A$13,0))*INDEX(Parametros!$B$26:$B$43,MATCH($C1384,Parametros!$A$26:$A$43,0))</f>
        <v>60.36</v>
      </c>
      <c r="R1384" s="21" t="n">
        <f aca="false">L1384*Q1384</f>
        <v>5251.32</v>
      </c>
      <c r="S1384" s="18" t="n">
        <f aca="false">L1384*INDEX(Parametros!$B$20:$B$22,MATCH($E1384,Parametros!$A$20:$A$22,0))</f>
        <v>73.95</v>
      </c>
      <c r="T1384" s="18" t="n">
        <f aca="false">P1384*INDEX(Parametros!$B$13:$B$16,MATCH($F1384,Parametros!$A$13:$A$16,0))</f>
        <v>358.18944</v>
      </c>
      <c r="U1384" s="21" t="n">
        <f aca="false">P1384-R1384-S1384-T1384</f>
        <v>3271.27656</v>
      </c>
      <c r="V1384" s="19" t="n">
        <f aca="false">IFERROR(U1384/P1384,0)</f>
        <v>0.365312451422353</v>
      </c>
      <c r="W1384" s="48" t="n">
        <f aca="false">B1384+INDEX(Parametros!$C$13:$C$16,MATCH($F1384,Parametros!$A$13:$A$16,0))</f>
        <v>46207</v>
      </c>
      <c r="X1384" s="31" t="s">
        <v>67</v>
      </c>
      <c r="Y1384" s="53" t="n">
        <f aca="false">IF(COUNTIF($A$2:$A1384,A1384)=1,1,0)</f>
        <v>1</v>
      </c>
    </row>
    <row r="1385" customFormat="false" ht="15" hidden="false" customHeight="false" outlineLevel="0" collapsed="false">
      <c r="A1385" s="31" t="s">
        <v>988</v>
      </c>
      <c r="B1385" s="36" t="n">
        <v>46132</v>
      </c>
      <c r="C1385" s="49" t="n">
        <f aca="false">DATE(YEAR(B1385),MONTH(B1385),1)</f>
        <v>46113</v>
      </c>
      <c r="D1385" s="31" t="s">
        <v>221</v>
      </c>
      <c r="E1385" s="31" t="s">
        <v>43</v>
      </c>
      <c r="F1385" s="31" t="s">
        <v>45</v>
      </c>
      <c r="G1385" s="31" t="s">
        <v>59</v>
      </c>
      <c r="H1385" s="31" t="s">
        <v>177</v>
      </c>
      <c r="I1385" s="32" t="str">
        <f aca="false">INDEX(Productos!$B$2:$B$13,MATCH($H1385,Productos!$A$2:$A$13,0))</f>
        <v>Tirafondo madera 6x100 cabeza plana Torx</v>
      </c>
      <c r="J1385" s="32" t="str">
        <f aca="false">INDEX(Productos!$C$2:$C$13,MATCH($H1385,Productos!$A$2:$A$13,0))</f>
        <v>Madera</v>
      </c>
      <c r="K1385" s="31" t="s">
        <v>246</v>
      </c>
      <c r="L1385" s="46" t="n">
        <v>139</v>
      </c>
      <c r="M1385" s="50" t="n">
        <f aca="false">INDEX(Productos!$F$2:$F$13,MATCH($H1385,Productos!$A$2:$A$13,0))</f>
        <v>34</v>
      </c>
      <c r="N1385" s="51" t="n">
        <v>0.2</v>
      </c>
      <c r="O1385" s="52" t="n">
        <f aca="false">M1385*(1-N1385)</f>
        <v>27.2</v>
      </c>
      <c r="P1385" s="21" t="n">
        <f aca="false">L1385*O1385</f>
        <v>3780.8</v>
      </c>
      <c r="Q1385" s="50" t="n">
        <f aca="false">INDEX(Productos!$E$2:$E$13,MATCH($H1385,Productos!$A$2:$A$13,0))*INDEX(Parametros!$B$26:$B$43,MATCH($C1385,Parametros!$A$26:$A$43,0))</f>
        <v>17.9068</v>
      </c>
      <c r="R1385" s="21" t="n">
        <f aca="false">L1385*Q1385</f>
        <v>2489.0452</v>
      </c>
      <c r="S1385" s="18" t="n">
        <f aca="false">L1385*INDEX(Parametros!$B$20:$B$22,MATCH($E1385,Parametros!$A$20:$A$22,0))</f>
        <v>264.1</v>
      </c>
      <c r="T1385" s="18" t="n">
        <f aca="false">P1385*INDEX(Parametros!$B$13:$B$16,MATCH($F1385,Parametros!$A$13:$A$16,0))</f>
        <v>113.424</v>
      </c>
      <c r="U1385" s="21" t="n">
        <f aca="false">P1385-R1385-S1385-T1385</f>
        <v>914.2308</v>
      </c>
      <c r="V1385" s="19" t="n">
        <f aca="false">IFERROR(U1385/P1385,0)</f>
        <v>0.241808823529412</v>
      </c>
      <c r="W1385" s="48" t="n">
        <f aca="false">B1385+INDEX(Parametros!$C$13:$C$16,MATCH($F1385,Parametros!$A$13:$A$16,0))</f>
        <v>46192</v>
      </c>
      <c r="X1385" s="31" t="s">
        <v>67</v>
      </c>
      <c r="Y1385" s="53" t="n">
        <f aca="false">IF(COUNTIF($A$2:$A1385,A1385)=1,1,0)</f>
        <v>1</v>
      </c>
    </row>
    <row r="1386" customFormat="false" ht="15" hidden="false" customHeight="false" outlineLevel="0" collapsed="false">
      <c r="A1386" s="31" t="s">
        <v>989</v>
      </c>
      <c r="B1386" s="36" t="n">
        <v>46132</v>
      </c>
      <c r="C1386" s="49" t="n">
        <f aca="false">DATE(YEAR(B1386),MONTH(B1386),1)</f>
        <v>46113</v>
      </c>
      <c r="D1386" s="31" t="s">
        <v>200</v>
      </c>
      <c r="E1386" s="31" t="s">
        <v>41</v>
      </c>
      <c r="F1386" s="31" t="s">
        <v>45</v>
      </c>
      <c r="G1386" s="31" t="s">
        <v>62</v>
      </c>
      <c r="H1386" s="31" t="s">
        <v>183</v>
      </c>
      <c r="I1386" s="32" t="str">
        <f aca="false">INDEX(Productos!$B$2:$B$13,MATCH($H1386,Productos!$A$2:$A$13,0))</f>
        <v>Tornillo estructural M16x90 clase 10.9</v>
      </c>
      <c r="J1386" s="32" t="str">
        <f aca="false">INDEX(Productos!$C$2:$C$13,MATCH($H1386,Productos!$A$2:$A$13,0))</f>
        <v>Especial</v>
      </c>
      <c r="K1386" s="31" t="s">
        <v>246</v>
      </c>
      <c r="L1386" s="46" t="n">
        <v>102</v>
      </c>
      <c r="M1386" s="50" t="n">
        <f aca="false">INDEX(Productos!$F$2:$F$13,MATCH($H1386,Productos!$A$2:$A$13,0))</f>
        <v>112</v>
      </c>
      <c r="N1386" s="51" t="n">
        <v>0.216</v>
      </c>
      <c r="O1386" s="52" t="n">
        <f aca="false">M1386*(1-N1386)</f>
        <v>87.808</v>
      </c>
      <c r="P1386" s="21" t="n">
        <f aca="false">L1386*O1386</f>
        <v>8956.416</v>
      </c>
      <c r="Q1386" s="50" t="n">
        <f aca="false">INDEX(Productos!$E$2:$E$13,MATCH($H1386,Productos!$A$2:$A$13,0))*INDEX(Parametros!$B$26:$B$43,MATCH($C1386,Parametros!$A$26:$A$43,0))</f>
        <v>60.36</v>
      </c>
      <c r="R1386" s="21" t="n">
        <f aca="false">L1386*Q1386</f>
        <v>6156.72</v>
      </c>
      <c r="S1386" s="18" t="n">
        <f aca="false">L1386*INDEX(Parametros!$B$20:$B$22,MATCH($E1386,Parametros!$A$20:$A$22,0))</f>
        <v>86.7</v>
      </c>
      <c r="T1386" s="18" t="n">
        <f aca="false">P1386*INDEX(Parametros!$B$13:$B$16,MATCH($F1386,Parametros!$A$13:$A$16,0))</f>
        <v>268.69248</v>
      </c>
      <c r="U1386" s="21" t="n">
        <f aca="false">P1386-R1386-S1386-T1386</f>
        <v>2444.30352</v>
      </c>
      <c r="V1386" s="19" t="n">
        <f aca="false">IFERROR(U1386/P1386,0)</f>
        <v>0.272910896501458</v>
      </c>
      <c r="W1386" s="48" t="n">
        <f aca="false">B1386+INDEX(Parametros!$C$13:$C$16,MATCH($F1386,Parametros!$A$13:$A$16,0))</f>
        <v>46192</v>
      </c>
      <c r="X1386" s="31" t="s">
        <v>67</v>
      </c>
      <c r="Y1386" s="53" t="n">
        <f aca="false">IF(COUNTIF($A$2:$A1386,A1386)=1,1,0)</f>
        <v>1</v>
      </c>
    </row>
    <row r="1387" customFormat="false" ht="15" hidden="false" customHeight="false" outlineLevel="0" collapsed="false">
      <c r="A1387" s="31" t="s">
        <v>990</v>
      </c>
      <c r="B1387" s="36" t="n">
        <v>46133</v>
      </c>
      <c r="C1387" s="49" t="n">
        <f aca="false">DATE(YEAR(B1387),MONTH(B1387),1)</f>
        <v>46113</v>
      </c>
      <c r="D1387" s="31" t="s">
        <v>206</v>
      </c>
      <c r="E1387" s="31" t="s">
        <v>41</v>
      </c>
      <c r="F1387" s="31" t="s">
        <v>46</v>
      </c>
      <c r="G1387" s="31" t="s">
        <v>58</v>
      </c>
      <c r="H1387" s="31" t="s">
        <v>185</v>
      </c>
      <c r="I1387" s="32" t="str">
        <f aca="false">INDEX(Productos!$B$2:$B$13,MATCH($H1387,Productos!$A$2:$A$13,0))</f>
        <v>Varilla roscada M10 x 1 m zincada</v>
      </c>
      <c r="J1387" s="32" t="str">
        <f aca="false">INDEX(Productos!$C$2:$C$13,MATCH($H1387,Productos!$A$2:$A$13,0))</f>
        <v>Especial</v>
      </c>
      <c r="K1387" s="31" t="s">
        <v>246</v>
      </c>
      <c r="L1387" s="46" t="n">
        <v>139</v>
      </c>
      <c r="M1387" s="50" t="n">
        <f aca="false">INDEX(Productos!$F$2:$F$13,MATCH($H1387,Productos!$A$2:$A$13,0))</f>
        <v>54</v>
      </c>
      <c r="N1387" s="51" t="n">
        <v>0.101</v>
      </c>
      <c r="O1387" s="52" t="n">
        <f aca="false">M1387*(1-N1387)</f>
        <v>48.546</v>
      </c>
      <c r="P1387" s="21" t="n">
        <f aca="false">L1387*O1387</f>
        <v>6747.894</v>
      </c>
      <c r="Q1387" s="50" t="n">
        <f aca="false">INDEX(Productos!$E$2:$E$13,MATCH($H1387,Productos!$A$2:$A$13,0))*INDEX(Parametros!$B$26:$B$43,MATCH($C1387,Parametros!$A$26:$A$43,0))</f>
        <v>28.671</v>
      </c>
      <c r="R1387" s="21" t="n">
        <f aca="false">L1387*Q1387</f>
        <v>3985.269</v>
      </c>
      <c r="S1387" s="18" t="n">
        <f aca="false">L1387*INDEX(Parametros!$B$20:$B$22,MATCH($E1387,Parametros!$A$20:$A$22,0))</f>
        <v>118.15</v>
      </c>
      <c r="T1387" s="18" t="n">
        <f aca="false">P1387*INDEX(Parametros!$B$13:$B$16,MATCH($F1387,Parametros!$A$13:$A$16,0))</f>
        <v>269.91576</v>
      </c>
      <c r="U1387" s="21" t="n">
        <f aca="false">P1387-R1387-S1387-T1387</f>
        <v>2374.55924</v>
      </c>
      <c r="V1387" s="19" t="n">
        <f aca="false">IFERROR(U1387/P1387,0)</f>
        <v>0.351896345733943</v>
      </c>
      <c r="W1387" s="48" t="n">
        <f aca="false">B1387+INDEX(Parametros!$C$13:$C$16,MATCH($F1387,Parametros!$A$13:$A$16,0))</f>
        <v>46208</v>
      </c>
      <c r="X1387" s="31" t="s">
        <v>67</v>
      </c>
      <c r="Y1387" s="53" t="n">
        <f aca="false">IF(COUNTIF($A$2:$A1387,A1387)=1,1,0)</f>
        <v>1</v>
      </c>
    </row>
    <row r="1388" customFormat="false" ht="15" hidden="false" customHeight="false" outlineLevel="0" collapsed="false">
      <c r="A1388" s="31" t="s">
        <v>991</v>
      </c>
      <c r="B1388" s="36" t="n">
        <v>46133</v>
      </c>
      <c r="C1388" s="49" t="n">
        <f aca="false">DATE(YEAR(B1388),MONTH(B1388),1)</f>
        <v>46113</v>
      </c>
      <c r="D1388" s="31" t="s">
        <v>194</v>
      </c>
      <c r="E1388" s="31" t="s">
        <v>41</v>
      </c>
      <c r="F1388" s="31" t="s">
        <v>46</v>
      </c>
      <c r="G1388" s="31" t="s">
        <v>58</v>
      </c>
      <c r="H1388" s="31" t="s">
        <v>169</v>
      </c>
      <c r="I1388" s="32" t="str">
        <f aca="false">INDEX(Productos!$B$2:$B$13,MATCH($H1388,Productos!$A$2:$A$13,0))</f>
        <v>Tornillo DIN 912 M10x60 Allen inox A2</v>
      </c>
      <c r="J1388" s="32" t="str">
        <f aca="false">INDEX(Productos!$C$2:$C$13,MATCH($H1388,Productos!$A$2:$A$13,0))</f>
        <v>Inoxidable</v>
      </c>
      <c r="K1388" s="31" t="s">
        <v>246</v>
      </c>
      <c r="L1388" s="46" t="n">
        <v>266</v>
      </c>
      <c r="M1388" s="50" t="n">
        <f aca="false">INDEX(Productos!$F$2:$F$13,MATCH($H1388,Productos!$A$2:$A$13,0))</f>
        <v>79</v>
      </c>
      <c r="N1388" s="51" t="n">
        <v>0.142</v>
      </c>
      <c r="O1388" s="52" t="n">
        <f aca="false">M1388*(1-N1388)</f>
        <v>67.782</v>
      </c>
      <c r="P1388" s="21" t="n">
        <f aca="false">L1388*O1388</f>
        <v>18030.012</v>
      </c>
      <c r="Q1388" s="50" t="n">
        <f aca="false">INDEX(Productos!$E$2:$E$13,MATCH($H1388,Productos!$A$2:$A$13,0))*INDEX(Parametros!$B$26:$B$43,MATCH($C1388,Parametros!$A$26:$A$43,0))</f>
        <v>42.252</v>
      </c>
      <c r="R1388" s="21" t="n">
        <f aca="false">L1388*Q1388</f>
        <v>11239.032</v>
      </c>
      <c r="S1388" s="18" t="n">
        <f aca="false">L1388*INDEX(Parametros!$B$20:$B$22,MATCH($E1388,Parametros!$A$20:$A$22,0))</f>
        <v>226.1</v>
      </c>
      <c r="T1388" s="18" t="n">
        <f aca="false">P1388*INDEX(Parametros!$B$13:$B$16,MATCH($F1388,Parametros!$A$13:$A$16,0))</f>
        <v>721.20048</v>
      </c>
      <c r="U1388" s="21" t="n">
        <f aca="false">P1388-R1388-S1388-T1388</f>
        <v>5843.67952</v>
      </c>
      <c r="V1388" s="19" t="n">
        <f aca="false">IFERROR(U1388/P1388,0)</f>
        <v>0.324108465374288</v>
      </c>
      <c r="W1388" s="48" t="n">
        <f aca="false">B1388+INDEX(Parametros!$C$13:$C$16,MATCH($F1388,Parametros!$A$13:$A$16,0))</f>
        <v>46208</v>
      </c>
      <c r="X1388" s="31" t="s">
        <v>67</v>
      </c>
      <c r="Y1388" s="53" t="n">
        <f aca="false">IF(COUNTIF($A$2:$A1388,A1388)=1,1,0)</f>
        <v>1</v>
      </c>
    </row>
    <row r="1389" customFormat="false" ht="15" hidden="false" customHeight="false" outlineLevel="0" collapsed="false">
      <c r="A1389" s="31" t="s">
        <v>991</v>
      </c>
      <c r="B1389" s="36" t="n">
        <v>46133</v>
      </c>
      <c r="C1389" s="49" t="n">
        <f aca="false">DATE(YEAR(B1389),MONTH(B1389),1)</f>
        <v>46113</v>
      </c>
      <c r="D1389" s="31" t="s">
        <v>194</v>
      </c>
      <c r="E1389" s="31" t="s">
        <v>41</v>
      </c>
      <c r="F1389" s="31" t="s">
        <v>46</v>
      </c>
      <c r="G1389" s="31" t="s">
        <v>58</v>
      </c>
      <c r="H1389" s="31" t="s">
        <v>181</v>
      </c>
      <c r="I1389" s="32" t="str">
        <f aca="false">INDEX(Productos!$B$2:$B$13,MATCH($H1389,Productos!$A$2:$A$13,0))</f>
        <v>Autotaladrante 5,5x55 punta broca</v>
      </c>
      <c r="J1389" s="32" t="str">
        <f aca="false">INDEX(Productos!$C$2:$C$13,MATCH($H1389,Productos!$A$2:$A$13,0))</f>
        <v>Autotaladrante</v>
      </c>
      <c r="K1389" s="31" t="s">
        <v>246</v>
      </c>
      <c r="L1389" s="46" t="n">
        <v>44</v>
      </c>
      <c r="M1389" s="50" t="n">
        <f aca="false">INDEX(Productos!$F$2:$F$13,MATCH($H1389,Productos!$A$2:$A$13,0))</f>
        <v>39</v>
      </c>
      <c r="N1389" s="51" t="n">
        <v>0.1</v>
      </c>
      <c r="O1389" s="52" t="n">
        <f aca="false">M1389*(1-N1389)</f>
        <v>35.1</v>
      </c>
      <c r="P1389" s="21" t="n">
        <f aca="false">L1389*O1389</f>
        <v>1544.4</v>
      </c>
      <c r="Q1389" s="50" t="n">
        <f aca="false">INDEX(Productos!$E$2:$E$13,MATCH($H1389,Productos!$A$2:$A$13,0))*INDEX(Parametros!$B$26:$B$43,MATCH($C1389,Parametros!$A$26:$A$43,0))</f>
        <v>20.4218</v>
      </c>
      <c r="R1389" s="21" t="n">
        <f aca="false">L1389*Q1389</f>
        <v>898.5592</v>
      </c>
      <c r="S1389" s="18" t="n">
        <f aca="false">L1389*INDEX(Parametros!$B$20:$B$22,MATCH($E1389,Parametros!$A$20:$A$22,0))</f>
        <v>37.4</v>
      </c>
      <c r="T1389" s="18" t="n">
        <f aca="false">P1389*INDEX(Parametros!$B$13:$B$16,MATCH($F1389,Parametros!$A$13:$A$16,0))</f>
        <v>61.776</v>
      </c>
      <c r="U1389" s="21" t="n">
        <f aca="false">P1389-R1389-S1389-T1389</f>
        <v>546.6648</v>
      </c>
      <c r="V1389" s="19" t="n">
        <f aca="false">IFERROR(U1389/P1389,0)</f>
        <v>0.353965811965812</v>
      </c>
      <c r="W1389" s="48" t="n">
        <f aca="false">B1389+INDEX(Parametros!$C$13:$C$16,MATCH($F1389,Parametros!$A$13:$A$16,0))</f>
        <v>46208</v>
      </c>
      <c r="X1389" s="31" t="s">
        <v>67</v>
      </c>
      <c r="Y1389" s="53" t="n">
        <f aca="false">IF(COUNTIF($A$2:$A1389,A1389)=1,1,0)</f>
        <v>0</v>
      </c>
    </row>
    <row r="1390" customFormat="false" ht="15" hidden="false" customHeight="false" outlineLevel="0" collapsed="false">
      <c r="A1390" s="31" t="s">
        <v>991</v>
      </c>
      <c r="B1390" s="36" t="n">
        <v>46133</v>
      </c>
      <c r="C1390" s="49" t="n">
        <f aca="false">DATE(YEAR(B1390),MONTH(B1390),1)</f>
        <v>46113</v>
      </c>
      <c r="D1390" s="31" t="s">
        <v>194</v>
      </c>
      <c r="E1390" s="31" t="s">
        <v>41</v>
      </c>
      <c r="F1390" s="31" t="s">
        <v>46</v>
      </c>
      <c r="G1390" s="31" t="s">
        <v>58</v>
      </c>
      <c r="H1390" s="31" t="s">
        <v>185</v>
      </c>
      <c r="I1390" s="32" t="str">
        <f aca="false">INDEX(Productos!$B$2:$B$13,MATCH($H1390,Productos!$A$2:$A$13,0))</f>
        <v>Varilla roscada M10 x 1 m zincada</v>
      </c>
      <c r="J1390" s="32" t="str">
        <f aca="false">INDEX(Productos!$C$2:$C$13,MATCH($H1390,Productos!$A$2:$A$13,0))</f>
        <v>Especial</v>
      </c>
      <c r="K1390" s="31" t="s">
        <v>246</v>
      </c>
      <c r="L1390" s="46" t="n">
        <v>281</v>
      </c>
      <c r="M1390" s="50" t="n">
        <f aca="false">INDEX(Productos!$F$2:$F$13,MATCH($H1390,Productos!$A$2:$A$13,0))</f>
        <v>54</v>
      </c>
      <c r="N1390" s="51" t="n">
        <v>0.102</v>
      </c>
      <c r="O1390" s="52" t="n">
        <f aca="false">M1390*(1-N1390)</f>
        <v>48.492</v>
      </c>
      <c r="P1390" s="21" t="n">
        <f aca="false">L1390*O1390</f>
        <v>13626.252</v>
      </c>
      <c r="Q1390" s="50" t="n">
        <f aca="false">INDEX(Productos!$E$2:$E$13,MATCH($H1390,Productos!$A$2:$A$13,0))*INDEX(Parametros!$B$26:$B$43,MATCH($C1390,Parametros!$A$26:$A$43,0))</f>
        <v>28.671</v>
      </c>
      <c r="R1390" s="21" t="n">
        <f aca="false">L1390*Q1390</f>
        <v>8056.551</v>
      </c>
      <c r="S1390" s="18" t="n">
        <f aca="false">L1390*INDEX(Parametros!$B$20:$B$22,MATCH($E1390,Parametros!$A$20:$A$22,0))</f>
        <v>238.85</v>
      </c>
      <c r="T1390" s="18" t="n">
        <f aca="false">P1390*INDEX(Parametros!$B$13:$B$16,MATCH($F1390,Parametros!$A$13:$A$16,0))</f>
        <v>545.05008</v>
      </c>
      <c r="U1390" s="21" t="n">
        <f aca="false">P1390-R1390-S1390-T1390</f>
        <v>4785.80092</v>
      </c>
      <c r="V1390" s="19" t="n">
        <f aca="false">IFERROR(U1390/P1390,0)</f>
        <v>0.3512191701724</v>
      </c>
      <c r="W1390" s="48" t="n">
        <f aca="false">B1390+INDEX(Parametros!$C$13:$C$16,MATCH($F1390,Parametros!$A$13:$A$16,0))</f>
        <v>46208</v>
      </c>
      <c r="X1390" s="31" t="s">
        <v>67</v>
      </c>
      <c r="Y1390" s="53" t="n">
        <f aca="false">IF(COUNTIF($A$2:$A1390,A1390)=1,1,0)</f>
        <v>0</v>
      </c>
    </row>
    <row r="1391" customFormat="false" ht="15" hidden="false" customHeight="false" outlineLevel="0" collapsed="false">
      <c r="A1391" s="31" t="s">
        <v>991</v>
      </c>
      <c r="B1391" s="36" t="n">
        <v>46133</v>
      </c>
      <c r="C1391" s="49" t="n">
        <f aca="false">DATE(YEAR(B1391),MONTH(B1391),1)</f>
        <v>46113</v>
      </c>
      <c r="D1391" s="31" t="s">
        <v>194</v>
      </c>
      <c r="E1391" s="31" t="s">
        <v>41</v>
      </c>
      <c r="F1391" s="31" t="s">
        <v>46</v>
      </c>
      <c r="G1391" s="31" t="s">
        <v>58</v>
      </c>
      <c r="H1391" s="31" t="s">
        <v>179</v>
      </c>
      <c r="I1391" s="32" t="str">
        <f aca="false">INDEX(Productos!$B$2:$B$13,MATCH($H1391,Productos!$A$2:$A$13,0))</f>
        <v>Autotaladrante DIN 7504 4,8x38 zincado</v>
      </c>
      <c r="J1391" s="32" t="str">
        <f aca="false">INDEX(Productos!$C$2:$C$13,MATCH($H1391,Productos!$A$2:$A$13,0))</f>
        <v>Autotaladrante</v>
      </c>
      <c r="K1391" s="31" t="s">
        <v>246</v>
      </c>
      <c r="L1391" s="46" t="n">
        <v>38</v>
      </c>
      <c r="M1391" s="50" t="n">
        <f aca="false">INDEX(Productos!$F$2:$F$13,MATCH($H1391,Productos!$A$2:$A$13,0))</f>
        <v>29.5</v>
      </c>
      <c r="N1391" s="51" t="n">
        <v>0.097</v>
      </c>
      <c r="O1391" s="52" t="n">
        <f aca="false">M1391*(1-N1391)</f>
        <v>26.6385</v>
      </c>
      <c r="P1391" s="21" t="n">
        <f aca="false">L1391*O1391</f>
        <v>1012.263</v>
      </c>
      <c r="Q1391" s="50" t="n">
        <f aca="false">INDEX(Productos!$E$2:$E$13,MATCH($H1391,Productos!$A$2:$A$13,0))*INDEX(Parametros!$B$26:$B$43,MATCH($C1391,Parametros!$A$26:$A$43,0))</f>
        <v>15.2912</v>
      </c>
      <c r="R1391" s="21" t="n">
        <f aca="false">L1391*Q1391</f>
        <v>581.0656</v>
      </c>
      <c r="S1391" s="18" t="n">
        <f aca="false">L1391*INDEX(Parametros!$B$20:$B$22,MATCH($E1391,Parametros!$A$20:$A$22,0))</f>
        <v>32.3</v>
      </c>
      <c r="T1391" s="18" t="n">
        <f aca="false">P1391*INDEX(Parametros!$B$13:$B$16,MATCH($F1391,Parametros!$A$13:$A$16,0))</f>
        <v>40.49052</v>
      </c>
      <c r="U1391" s="21" t="n">
        <f aca="false">P1391-R1391-S1391-T1391</f>
        <v>358.40688</v>
      </c>
      <c r="V1391" s="19" t="n">
        <f aca="false">IFERROR(U1391/P1391,0)</f>
        <v>0.354064981136325</v>
      </c>
      <c r="W1391" s="48" t="n">
        <f aca="false">B1391+INDEX(Parametros!$C$13:$C$16,MATCH($F1391,Parametros!$A$13:$A$16,0))</f>
        <v>46208</v>
      </c>
      <c r="X1391" s="31" t="s">
        <v>67</v>
      </c>
      <c r="Y1391" s="53" t="n">
        <f aca="false">IF(COUNTIF($A$2:$A1391,A1391)=1,1,0)</f>
        <v>0</v>
      </c>
    </row>
    <row r="1392" customFormat="false" ht="15" hidden="false" customHeight="false" outlineLevel="0" collapsed="false">
      <c r="A1392" s="31" t="s">
        <v>992</v>
      </c>
      <c r="B1392" s="36" t="n">
        <v>46134</v>
      </c>
      <c r="C1392" s="49" t="n">
        <f aca="false">DATE(YEAR(B1392),MONTH(B1392),1)</f>
        <v>46113</v>
      </c>
      <c r="D1392" s="31" t="s">
        <v>197</v>
      </c>
      <c r="E1392" s="31" t="s">
        <v>41</v>
      </c>
      <c r="F1392" s="31" t="s">
        <v>46</v>
      </c>
      <c r="G1392" s="31" t="s">
        <v>58</v>
      </c>
      <c r="H1392" s="31" t="s">
        <v>167</v>
      </c>
      <c r="I1392" s="32" t="str">
        <f aca="false">INDEX(Productos!$B$2:$B$13,MATCH($H1392,Productos!$A$2:$A$13,0))</f>
        <v>Tornillo DIN 912 M6x25 Allen zincado</v>
      </c>
      <c r="J1392" s="32" t="str">
        <f aca="false">INDEX(Productos!$C$2:$C$13,MATCH($H1392,Productos!$A$2:$A$13,0))</f>
        <v>Métrica</v>
      </c>
      <c r="K1392" s="31" t="s">
        <v>246</v>
      </c>
      <c r="L1392" s="46" t="n">
        <v>120</v>
      </c>
      <c r="M1392" s="50" t="n">
        <f aca="false">INDEX(Productos!$F$2:$F$13,MATCH($H1392,Productos!$A$2:$A$13,0))</f>
        <v>42</v>
      </c>
      <c r="N1392" s="51" t="n">
        <v>0.166</v>
      </c>
      <c r="O1392" s="52" t="n">
        <f aca="false">M1392*(1-N1392)</f>
        <v>35.028</v>
      </c>
      <c r="P1392" s="21" t="n">
        <f aca="false">L1392*O1392</f>
        <v>4203.36</v>
      </c>
      <c r="Q1392" s="50" t="n">
        <f aca="false">INDEX(Productos!$E$2:$E$13,MATCH($H1392,Productos!$A$2:$A$13,0))*INDEX(Parametros!$B$26:$B$43,MATCH($C1392,Parametros!$A$26:$A$43,0))</f>
        <v>21.9308</v>
      </c>
      <c r="R1392" s="21" t="n">
        <f aca="false">L1392*Q1392</f>
        <v>2631.696</v>
      </c>
      <c r="S1392" s="18" t="n">
        <f aca="false">L1392*INDEX(Parametros!$B$20:$B$22,MATCH($E1392,Parametros!$A$20:$A$22,0))</f>
        <v>102</v>
      </c>
      <c r="T1392" s="18" t="n">
        <f aca="false">P1392*INDEX(Parametros!$B$13:$B$16,MATCH($F1392,Parametros!$A$13:$A$16,0))</f>
        <v>168.1344</v>
      </c>
      <c r="U1392" s="21" t="n">
        <f aca="false">P1392-R1392-S1392-T1392</f>
        <v>1301.5296</v>
      </c>
      <c r="V1392" s="19" t="n">
        <f aca="false">IFERROR(U1392/P1392,0)</f>
        <v>0.309640287769784</v>
      </c>
      <c r="W1392" s="48" t="n">
        <f aca="false">B1392+INDEX(Parametros!$C$13:$C$16,MATCH($F1392,Parametros!$A$13:$A$16,0))</f>
        <v>46209</v>
      </c>
      <c r="X1392" s="31" t="s">
        <v>67</v>
      </c>
      <c r="Y1392" s="53" t="n">
        <f aca="false">IF(COUNTIF($A$2:$A1392,A1392)=1,1,0)</f>
        <v>1</v>
      </c>
    </row>
    <row r="1393" customFormat="false" ht="15" hidden="false" customHeight="false" outlineLevel="0" collapsed="false">
      <c r="A1393" s="31" t="s">
        <v>992</v>
      </c>
      <c r="B1393" s="36" t="n">
        <v>46134</v>
      </c>
      <c r="C1393" s="49" t="n">
        <f aca="false">DATE(YEAR(B1393),MONTH(B1393),1)</f>
        <v>46113</v>
      </c>
      <c r="D1393" s="31" t="s">
        <v>197</v>
      </c>
      <c r="E1393" s="31" t="s">
        <v>41</v>
      </c>
      <c r="F1393" s="31" t="s">
        <v>46</v>
      </c>
      <c r="G1393" s="31" t="s">
        <v>58</v>
      </c>
      <c r="H1393" s="31" t="s">
        <v>165</v>
      </c>
      <c r="I1393" s="32" t="str">
        <f aca="false">INDEX(Productos!$B$2:$B$13,MATCH($H1393,Productos!$A$2:$A$13,0))</f>
        <v>Tornillo DIN 933 M8x40 rosca completa zincado</v>
      </c>
      <c r="J1393" s="32" t="str">
        <f aca="false">INDEX(Productos!$C$2:$C$13,MATCH($H1393,Productos!$A$2:$A$13,0))</f>
        <v>Métrica</v>
      </c>
      <c r="K1393" s="31" t="s">
        <v>246</v>
      </c>
      <c r="L1393" s="46" t="n">
        <v>92</v>
      </c>
      <c r="M1393" s="50" t="n">
        <f aca="false">INDEX(Productos!$F$2:$F$13,MATCH($H1393,Productos!$A$2:$A$13,0))</f>
        <v>37.5</v>
      </c>
      <c r="N1393" s="51" t="n">
        <v>0.15</v>
      </c>
      <c r="O1393" s="52" t="n">
        <f aca="false">M1393*(1-N1393)</f>
        <v>31.875</v>
      </c>
      <c r="P1393" s="21" t="n">
        <f aca="false">L1393*O1393</f>
        <v>2932.5</v>
      </c>
      <c r="Q1393" s="50" t="n">
        <f aca="false">INDEX(Productos!$E$2:$E$13,MATCH($H1393,Productos!$A$2:$A$13,0))*INDEX(Parametros!$B$26:$B$43,MATCH($C1393,Parametros!$A$26:$A$43,0))</f>
        <v>19.5164</v>
      </c>
      <c r="R1393" s="21" t="n">
        <f aca="false">L1393*Q1393</f>
        <v>1795.5088</v>
      </c>
      <c r="S1393" s="18" t="n">
        <f aca="false">L1393*INDEX(Parametros!$B$20:$B$22,MATCH($E1393,Parametros!$A$20:$A$22,0))</f>
        <v>78.2</v>
      </c>
      <c r="T1393" s="18" t="n">
        <f aca="false">P1393*INDEX(Parametros!$B$13:$B$16,MATCH($F1393,Parametros!$A$13:$A$16,0))</f>
        <v>117.3</v>
      </c>
      <c r="U1393" s="21" t="n">
        <f aca="false">P1393-R1393-S1393-T1393</f>
        <v>941.4912</v>
      </c>
      <c r="V1393" s="19" t="n">
        <f aca="false">IFERROR(U1393/P1393,0)</f>
        <v>0.321054117647059</v>
      </c>
      <c r="W1393" s="48" t="n">
        <f aca="false">B1393+INDEX(Parametros!$C$13:$C$16,MATCH($F1393,Parametros!$A$13:$A$16,0))</f>
        <v>46209</v>
      </c>
      <c r="X1393" s="31" t="s">
        <v>67</v>
      </c>
      <c r="Y1393" s="53" t="n">
        <f aca="false">IF(COUNTIF($A$2:$A1393,A1393)=1,1,0)</f>
        <v>0</v>
      </c>
    </row>
    <row r="1394" customFormat="false" ht="15" hidden="false" customHeight="false" outlineLevel="0" collapsed="false">
      <c r="A1394" s="31" t="s">
        <v>993</v>
      </c>
      <c r="B1394" s="36" t="n">
        <v>46135</v>
      </c>
      <c r="C1394" s="49" t="n">
        <f aca="false">DATE(YEAR(B1394),MONTH(B1394),1)</f>
        <v>46113</v>
      </c>
      <c r="D1394" s="31" t="s">
        <v>205</v>
      </c>
      <c r="E1394" s="31" t="s">
        <v>41</v>
      </c>
      <c r="F1394" s="31" t="s">
        <v>45</v>
      </c>
      <c r="G1394" s="31" t="s">
        <v>62</v>
      </c>
      <c r="H1394" s="31" t="s">
        <v>181</v>
      </c>
      <c r="I1394" s="32" t="str">
        <f aca="false">INDEX(Productos!$B$2:$B$13,MATCH($H1394,Productos!$A$2:$A$13,0))</f>
        <v>Autotaladrante 5,5x55 punta broca</v>
      </c>
      <c r="J1394" s="32" t="str">
        <f aca="false">INDEX(Productos!$C$2:$C$13,MATCH($H1394,Productos!$A$2:$A$13,0))</f>
        <v>Autotaladrante</v>
      </c>
      <c r="K1394" s="31" t="s">
        <v>246</v>
      </c>
      <c r="L1394" s="46" t="n">
        <v>242</v>
      </c>
      <c r="M1394" s="50" t="n">
        <f aca="false">INDEX(Productos!$F$2:$F$13,MATCH($H1394,Productos!$A$2:$A$13,0))</f>
        <v>39</v>
      </c>
      <c r="N1394" s="51" t="n">
        <v>0.147</v>
      </c>
      <c r="O1394" s="52" t="n">
        <f aca="false">M1394*(1-N1394)</f>
        <v>33.267</v>
      </c>
      <c r="P1394" s="21" t="n">
        <f aca="false">L1394*O1394</f>
        <v>8050.614</v>
      </c>
      <c r="Q1394" s="50" t="n">
        <f aca="false">INDEX(Productos!$E$2:$E$13,MATCH($H1394,Productos!$A$2:$A$13,0))*INDEX(Parametros!$B$26:$B$43,MATCH($C1394,Parametros!$A$26:$A$43,0))</f>
        <v>20.4218</v>
      </c>
      <c r="R1394" s="21" t="n">
        <f aca="false">L1394*Q1394</f>
        <v>4942.0756</v>
      </c>
      <c r="S1394" s="18" t="n">
        <f aca="false">L1394*INDEX(Parametros!$B$20:$B$22,MATCH($E1394,Parametros!$A$20:$A$22,0))</f>
        <v>205.7</v>
      </c>
      <c r="T1394" s="18" t="n">
        <f aca="false">P1394*INDEX(Parametros!$B$13:$B$16,MATCH($F1394,Parametros!$A$13:$A$16,0))</f>
        <v>241.51842</v>
      </c>
      <c r="U1394" s="21" t="n">
        <f aca="false">P1394-R1394-S1394-T1394</f>
        <v>2661.31998</v>
      </c>
      <c r="V1394" s="19" t="n">
        <f aca="false">IFERROR(U1394/P1394,0)</f>
        <v>0.330573541347281</v>
      </c>
      <c r="W1394" s="48" t="n">
        <f aca="false">B1394+INDEX(Parametros!$C$13:$C$16,MATCH($F1394,Parametros!$A$13:$A$16,0))</f>
        <v>46195</v>
      </c>
      <c r="X1394" s="31" t="s">
        <v>67</v>
      </c>
      <c r="Y1394" s="53" t="n">
        <f aca="false">IF(COUNTIF($A$2:$A1394,A1394)=1,1,0)</f>
        <v>1</v>
      </c>
    </row>
    <row r="1395" customFormat="false" ht="15" hidden="false" customHeight="false" outlineLevel="0" collapsed="false">
      <c r="A1395" s="31" t="s">
        <v>994</v>
      </c>
      <c r="B1395" s="36" t="n">
        <v>46135</v>
      </c>
      <c r="C1395" s="49" t="n">
        <f aca="false">DATE(YEAR(B1395),MONTH(B1395),1)</f>
        <v>46113</v>
      </c>
      <c r="D1395" s="31" t="s">
        <v>211</v>
      </c>
      <c r="E1395" s="31" t="s">
        <v>41</v>
      </c>
      <c r="F1395" s="31" t="s">
        <v>48</v>
      </c>
      <c r="G1395" s="31" t="s">
        <v>60</v>
      </c>
      <c r="H1395" s="31" t="s">
        <v>163</v>
      </c>
      <c r="I1395" s="32" t="str">
        <f aca="false">INDEX(Productos!$B$2:$B$13,MATCH($H1395,Productos!$A$2:$A$13,0))</f>
        <v>Tornillo DIN 933 M6x30 rosca completa zincado</v>
      </c>
      <c r="J1395" s="32" t="str">
        <f aca="false">INDEX(Productos!$C$2:$C$13,MATCH($H1395,Productos!$A$2:$A$13,0))</f>
        <v>Métrica</v>
      </c>
      <c r="K1395" s="31" t="s">
        <v>275</v>
      </c>
      <c r="L1395" s="46" t="n">
        <v>-3</v>
      </c>
      <c r="M1395" s="50" t="n">
        <f aca="false">INDEX(Productos!$F$2:$F$13,MATCH($H1395,Productos!$A$2:$A$13,0))</f>
        <v>32</v>
      </c>
      <c r="N1395" s="51" t="n">
        <v>0.048</v>
      </c>
      <c r="O1395" s="52" t="n">
        <f aca="false">M1395*(1-N1395)</f>
        <v>30.464</v>
      </c>
      <c r="P1395" s="21" t="n">
        <f aca="false">L1395*O1395</f>
        <v>-91.392</v>
      </c>
      <c r="Q1395" s="50" t="n">
        <f aca="false">INDEX(Productos!$E$2:$E$13,MATCH($H1395,Productos!$A$2:$A$13,0))*INDEX(Parametros!$B$26:$B$43,MATCH($C1395,Parametros!$A$26:$A$43,0))</f>
        <v>16.6996</v>
      </c>
      <c r="R1395" s="21" t="n">
        <f aca="false">L1395*Q1395</f>
        <v>-50.0988</v>
      </c>
      <c r="S1395" s="18" t="n">
        <f aca="false">L1395*INDEX(Parametros!$B$20:$B$22,MATCH($E1395,Parametros!$A$20:$A$22,0))</f>
        <v>-2.55</v>
      </c>
      <c r="T1395" s="18" t="n">
        <f aca="false">P1395*INDEX(Parametros!$B$13:$B$16,MATCH($F1395,Parametros!$A$13:$A$16,0))</f>
        <v>-0.91392</v>
      </c>
      <c r="U1395" s="21" t="n">
        <f aca="false">P1395-R1395-S1395-T1395</f>
        <v>-37.82928</v>
      </c>
      <c r="V1395" s="19" t="n">
        <f aca="false">IFERROR(U1395/P1395,0)</f>
        <v>0.413923319327731</v>
      </c>
      <c r="W1395" s="48" t="n">
        <f aca="false">B1395+INDEX(Parametros!$C$13:$C$16,MATCH($F1395,Parametros!$A$13:$A$16,0))</f>
        <v>46135</v>
      </c>
      <c r="X1395" s="31" t="s">
        <v>67</v>
      </c>
      <c r="Y1395" s="53" t="n">
        <f aca="false">IF(COUNTIF($A$2:$A1395,A1395)=1,1,0)</f>
        <v>1</v>
      </c>
    </row>
    <row r="1396" customFormat="false" ht="15" hidden="false" customHeight="false" outlineLevel="0" collapsed="false">
      <c r="A1396" s="31" t="s">
        <v>994</v>
      </c>
      <c r="B1396" s="36" t="n">
        <v>46135</v>
      </c>
      <c r="C1396" s="49" t="n">
        <f aca="false">DATE(YEAR(B1396),MONTH(B1396),1)</f>
        <v>46113</v>
      </c>
      <c r="D1396" s="31" t="s">
        <v>211</v>
      </c>
      <c r="E1396" s="31" t="s">
        <v>41</v>
      </c>
      <c r="F1396" s="31" t="s">
        <v>48</v>
      </c>
      <c r="G1396" s="31" t="s">
        <v>60</v>
      </c>
      <c r="H1396" s="31" t="s">
        <v>169</v>
      </c>
      <c r="I1396" s="32" t="str">
        <f aca="false">INDEX(Productos!$B$2:$B$13,MATCH($H1396,Productos!$A$2:$A$13,0))</f>
        <v>Tornillo DIN 912 M10x60 Allen inox A2</v>
      </c>
      <c r="J1396" s="32" t="str">
        <f aca="false">INDEX(Productos!$C$2:$C$13,MATCH($H1396,Productos!$A$2:$A$13,0))</f>
        <v>Inoxidable</v>
      </c>
      <c r="K1396" s="31" t="s">
        <v>275</v>
      </c>
      <c r="L1396" s="46" t="n">
        <v>-4</v>
      </c>
      <c r="M1396" s="50" t="n">
        <f aca="false">INDEX(Productos!$F$2:$F$13,MATCH($H1396,Productos!$A$2:$A$13,0))</f>
        <v>79</v>
      </c>
      <c r="N1396" s="51" t="n">
        <v>0.017</v>
      </c>
      <c r="O1396" s="52" t="n">
        <f aca="false">M1396*(1-N1396)</f>
        <v>77.657</v>
      </c>
      <c r="P1396" s="21" t="n">
        <f aca="false">L1396*O1396</f>
        <v>-310.628</v>
      </c>
      <c r="Q1396" s="50" t="n">
        <f aca="false">INDEX(Productos!$E$2:$E$13,MATCH($H1396,Productos!$A$2:$A$13,0))*INDEX(Parametros!$B$26:$B$43,MATCH($C1396,Parametros!$A$26:$A$43,0))</f>
        <v>42.252</v>
      </c>
      <c r="R1396" s="21" t="n">
        <f aca="false">L1396*Q1396</f>
        <v>-169.008</v>
      </c>
      <c r="S1396" s="18" t="n">
        <f aca="false">L1396*INDEX(Parametros!$B$20:$B$22,MATCH($E1396,Parametros!$A$20:$A$22,0))</f>
        <v>-3.4</v>
      </c>
      <c r="T1396" s="18" t="n">
        <f aca="false">P1396*INDEX(Parametros!$B$13:$B$16,MATCH($F1396,Parametros!$A$13:$A$16,0))</f>
        <v>-3.10628</v>
      </c>
      <c r="U1396" s="21" t="n">
        <f aca="false">P1396-R1396-S1396-T1396</f>
        <v>-135.11372</v>
      </c>
      <c r="V1396" s="19" t="n">
        <f aca="false">IFERROR(U1396/P1396,0)</f>
        <v>0.434969545565757</v>
      </c>
      <c r="W1396" s="48" t="n">
        <f aca="false">B1396+INDEX(Parametros!$C$13:$C$16,MATCH($F1396,Parametros!$A$13:$A$16,0))</f>
        <v>46135</v>
      </c>
      <c r="X1396" s="31" t="s">
        <v>67</v>
      </c>
      <c r="Y1396" s="53" t="n">
        <f aca="false">IF(COUNTIF($A$2:$A1396,A1396)=1,1,0)</f>
        <v>0</v>
      </c>
    </row>
    <row r="1397" customFormat="false" ht="15" hidden="false" customHeight="false" outlineLevel="0" collapsed="false">
      <c r="A1397" s="31" t="s">
        <v>995</v>
      </c>
      <c r="B1397" s="36" t="n">
        <v>46136</v>
      </c>
      <c r="C1397" s="49" t="n">
        <f aca="false">DATE(YEAR(B1397),MONTH(B1397),1)</f>
        <v>46113</v>
      </c>
      <c r="D1397" s="31" t="s">
        <v>204</v>
      </c>
      <c r="E1397" s="31" t="s">
        <v>41</v>
      </c>
      <c r="F1397" s="31" t="s">
        <v>47</v>
      </c>
      <c r="G1397" s="31" t="s">
        <v>62</v>
      </c>
      <c r="H1397" s="31" t="s">
        <v>169</v>
      </c>
      <c r="I1397" s="32" t="str">
        <f aca="false">INDEX(Productos!$B$2:$B$13,MATCH($H1397,Productos!$A$2:$A$13,0))</f>
        <v>Tornillo DIN 912 M10x60 Allen inox A2</v>
      </c>
      <c r="J1397" s="32" t="str">
        <f aca="false">INDEX(Productos!$C$2:$C$13,MATCH($H1397,Productos!$A$2:$A$13,0))</f>
        <v>Inoxidable</v>
      </c>
      <c r="K1397" s="31" t="s">
        <v>246</v>
      </c>
      <c r="L1397" s="46" t="n">
        <v>16</v>
      </c>
      <c r="M1397" s="50" t="n">
        <f aca="false">INDEX(Productos!$F$2:$F$13,MATCH($H1397,Productos!$A$2:$A$13,0))</f>
        <v>79</v>
      </c>
      <c r="N1397" s="51" t="n">
        <v>0.047</v>
      </c>
      <c r="O1397" s="52" t="n">
        <f aca="false">M1397*(1-N1397)</f>
        <v>75.287</v>
      </c>
      <c r="P1397" s="21" t="n">
        <f aca="false">L1397*O1397</f>
        <v>1204.592</v>
      </c>
      <c r="Q1397" s="50" t="n">
        <f aca="false">INDEX(Productos!$E$2:$E$13,MATCH($H1397,Productos!$A$2:$A$13,0))*INDEX(Parametros!$B$26:$B$43,MATCH($C1397,Parametros!$A$26:$A$43,0))</f>
        <v>42.252</v>
      </c>
      <c r="R1397" s="21" t="n">
        <f aca="false">L1397*Q1397</f>
        <v>676.032</v>
      </c>
      <c r="S1397" s="18" t="n">
        <f aca="false">L1397*INDEX(Parametros!$B$20:$B$22,MATCH($E1397,Parametros!$A$20:$A$22,0))</f>
        <v>13.6</v>
      </c>
      <c r="T1397" s="18" t="n">
        <f aca="false">P1397*INDEX(Parametros!$B$13:$B$16,MATCH($F1397,Parametros!$A$13:$A$16,0))</f>
        <v>42.16072</v>
      </c>
      <c r="U1397" s="21" t="n">
        <f aca="false">P1397-R1397-S1397-T1397</f>
        <v>472.79928</v>
      </c>
      <c r="V1397" s="19" t="n">
        <f aca="false">IFERROR(U1397/P1397,0)</f>
        <v>0.39249744311767</v>
      </c>
      <c r="W1397" s="48" t="n">
        <f aca="false">B1397+INDEX(Parametros!$C$13:$C$16,MATCH($F1397,Parametros!$A$13:$A$16,0))</f>
        <v>46181</v>
      </c>
      <c r="X1397" s="31" t="s">
        <v>67</v>
      </c>
      <c r="Y1397" s="53" t="n">
        <f aca="false">IF(COUNTIF($A$2:$A1397,A1397)=1,1,0)</f>
        <v>1</v>
      </c>
    </row>
    <row r="1398" customFormat="false" ht="15" hidden="false" customHeight="false" outlineLevel="0" collapsed="false">
      <c r="A1398" s="31" t="s">
        <v>996</v>
      </c>
      <c r="B1398" s="36" t="n">
        <v>46136</v>
      </c>
      <c r="C1398" s="49" t="n">
        <f aca="false">DATE(YEAR(B1398),MONTH(B1398),1)</f>
        <v>46113</v>
      </c>
      <c r="D1398" s="31" t="s">
        <v>227</v>
      </c>
      <c r="E1398" s="31" t="s">
        <v>43</v>
      </c>
      <c r="F1398" s="31" t="s">
        <v>46</v>
      </c>
      <c r="G1398" s="31" t="s">
        <v>59</v>
      </c>
      <c r="H1398" s="31" t="s">
        <v>167</v>
      </c>
      <c r="I1398" s="32" t="str">
        <f aca="false">INDEX(Productos!$B$2:$B$13,MATCH($H1398,Productos!$A$2:$A$13,0))</f>
        <v>Tornillo DIN 912 M6x25 Allen zincado</v>
      </c>
      <c r="J1398" s="32" t="str">
        <f aca="false">INDEX(Productos!$C$2:$C$13,MATCH($H1398,Productos!$A$2:$A$13,0))</f>
        <v>Métrica</v>
      </c>
      <c r="K1398" s="31" t="s">
        <v>246</v>
      </c>
      <c r="L1398" s="46" t="n">
        <v>36</v>
      </c>
      <c r="M1398" s="50" t="n">
        <f aca="false">INDEX(Productos!$F$2:$F$13,MATCH($H1398,Productos!$A$2:$A$13,0))</f>
        <v>42</v>
      </c>
      <c r="N1398" s="51" t="n">
        <v>0.164</v>
      </c>
      <c r="O1398" s="52" t="n">
        <f aca="false">M1398*(1-N1398)</f>
        <v>35.112</v>
      </c>
      <c r="P1398" s="21" t="n">
        <f aca="false">L1398*O1398</f>
        <v>1264.032</v>
      </c>
      <c r="Q1398" s="50" t="n">
        <f aca="false">INDEX(Productos!$E$2:$E$13,MATCH($H1398,Productos!$A$2:$A$13,0))*INDEX(Parametros!$B$26:$B$43,MATCH($C1398,Parametros!$A$26:$A$43,0))</f>
        <v>21.9308</v>
      </c>
      <c r="R1398" s="21" t="n">
        <f aca="false">L1398*Q1398</f>
        <v>789.5088</v>
      </c>
      <c r="S1398" s="18" t="n">
        <f aca="false">L1398*INDEX(Parametros!$B$20:$B$22,MATCH($E1398,Parametros!$A$20:$A$22,0))</f>
        <v>68.4</v>
      </c>
      <c r="T1398" s="18" t="n">
        <f aca="false">P1398*INDEX(Parametros!$B$13:$B$16,MATCH($F1398,Parametros!$A$13:$A$16,0))</f>
        <v>50.56128</v>
      </c>
      <c r="U1398" s="21" t="n">
        <f aca="false">P1398-R1398-S1398-T1398</f>
        <v>355.56192</v>
      </c>
      <c r="V1398" s="19" t="n">
        <f aca="false">IFERROR(U1398/P1398,0)</f>
        <v>0.281291866028708</v>
      </c>
      <c r="W1398" s="48" t="n">
        <f aca="false">B1398+INDEX(Parametros!$C$13:$C$16,MATCH($F1398,Parametros!$A$13:$A$16,0))</f>
        <v>46211</v>
      </c>
      <c r="X1398" s="31" t="s">
        <v>67</v>
      </c>
      <c r="Y1398" s="53" t="n">
        <f aca="false">IF(COUNTIF($A$2:$A1398,A1398)=1,1,0)</f>
        <v>1</v>
      </c>
    </row>
    <row r="1399" customFormat="false" ht="15" hidden="false" customHeight="false" outlineLevel="0" collapsed="false">
      <c r="A1399" s="31" t="s">
        <v>996</v>
      </c>
      <c r="B1399" s="36" t="n">
        <v>46136</v>
      </c>
      <c r="C1399" s="49" t="n">
        <f aca="false">DATE(YEAR(B1399),MONTH(B1399),1)</f>
        <v>46113</v>
      </c>
      <c r="D1399" s="31" t="s">
        <v>227</v>
      </c>
      <c r="E1399" s="31" t="s">
        <v>43</v>
      </c>
      <c r="F1399" s="31" t="s">
        <v>46</v>
      </c>
      <c r="G1399" s="31" t="s">
        <v>59</v>
      </c>
      <c r="H1399" s="31" t="s">
        <v>175</v>
      </c>
      <c r="I1399" s="32" t="str">
        <f aca="false">INDEX(Productos!$B$2:$B$13,MATCH($H1399,Productos!$A$2:$A$13,0))</f>
        <v>Tirafondo madera 5x60 cabeza plana Torx</v>
      </c>
      <c r="J1399" s="32" t="str">
        <f aca="false">INDEX(Productos!$C$2:$C$13,MATCH($H1399,Productos!$A$2:$A$13,0))</f>
        <v>Madera</v>
      </c>
      <c r="K1399" s="31" t="s">
        <v>246</v>
      </c>
      <c r="L1399" s="46" t="n">
        <v>104</v>
      </c>
      <c r="M1399" s="50" t="n">
        <f aca="false">INDEX(Productos!$F$2:$F$13,MATCH($H1399,Productos!$A$2:$A$13,0))</f>
        <v>26</v>
      </c>
      <c r="N1399" s="51" t="n">
        <v>0.105</v>
      </c>
      <c r="O1399" s="52" t="n">
        <f aca="false">M1399*(1-N1399)</f>
        <v>23.27</v>
      </c>
      <c r="P1399" s="21" t="n">
        <f aca="false">L1399*O1399</f>
        <v>2420.08</v>
      </c>
      <c r="Q1399" s="50" t="n">
        <f aca="false">INDEX(Productos!$E$2:$E$13,MATCH($H1399,Productos!$A$2:$A$13,0))*INDEX(Parametros!$B$26:$B$43,MATCH($C1399,Parametros!$A$26:$A$43,0))</f>
        <v>13.4804</v>
      </c>
      <c r="R1399" s="21" t="n">
        <f aca="false">L1399*Q1399</f>
        <v>1401.9616</v>
      </c>
      <c r="S1399" s="18" t="n">
        <f aca="false">L1399*INDEX(Parametros!$B$20:$B$22,MATCH($E1399,Parametros!$A$20:$A$22,0))</f>
        <v>197.6</v>
      </c>
      <c r="T1399" s="18" t="n">
        <f aca="false">P1399*INDEX(Parametros!$B$13:$B$16,MATCH($F1399,Parametros!$A$13:$A$16,0))</f>
        <v>96.8032</v>
      </c>
      <c r="U1399" s="21" t="n">
        <f aca="false">P1399-R1399-S1399-T1399</f>
        <v>723.7152</v>
      </c>
      <c r="V1399" s="19" t="n">
        <f aca="false">IFERROR(U1399/P1399,0)</f>
        <v>0.29904598195101</v>
      </c>
      <c r="W1399" s="48" t="n">
        <f aca="false">B1399+INDEX(Parametros!$C$13:$C$16,MATCH($F1399,Parametros!$A$13:$A$16,0))</f>
        <v>46211</v>
      </c>
      <c r="X1399" s="31" t="s">
        <v>67</v>
      </c>
      <c r="Y1399" s="53" t="n">
        <f aca="false">IF(COUNTIF($A$2:$A1399,A1399)=1,1,0)</f>
        <v>0</v>
      </c>
    </row>
    <row r="1400" customFormat="false" ht="15" hidden="false" customHeight="false" outlineLevel="0" collapsed="false">
      <c r="A1400" s="31" t="s">
        <v>996</v>
      </c>
      <c r="B1400" s="36" t="n">
        <v>46136</v>
      </c>
      <c r="C1400" s="49" t="n">
        <f aca="false">DATE(YEAR(B1400),MONTH(B1400),1)</f>
        <v>46113</v>
      </c>
      <c r="D1400" s="31" t="s">
        <v>227</v>
      </c>
      <c r="E1400" s="31" t="s">
        <v>43</v>
      </c>
      <c r="F1400" s="31" t="s">
        <v>46</v>
      </c>
      <c r="G1400" s="31" t="s">
        <v>59</v>
      </c>
      <c r="H1400" s="31" t="s">
        <v>173</v>
      </c>
      <c r="I1400" s="32" t="str">
        <f aca="false">INDEX(Productos!$B$2:$B$13,MATCH($H1400,Productos!$A$2:$A$13,0))</f>
        <v>Tornillo DIN 933 M12x70 clase 8.8</v>
      </c>
      <c r="J1400" s="32" t="str">
        <f aca="false">INDEX(Productos!$C$2:$C$13,MATCH($H1400,Productos!$A$2:$A$13,0))</f>
        <v>Métrica</v>
      </c>
      <c r="K1400" s="31" t="s">
        <v>246</v>
      </c>
      <c r="L1400" s="46" t="n">
        <v>59</v>
      </c>
      <c r="M1400" s="50" t="n">
        <f aca="false">INDEX(Productos!$F$2:$F$13,MATCH($H1400,Productos!$A$2:$A$13,0))</f>
        <v>64</v>
      </c>
      <c r="N1400" s="51" t="n">
        <v>0.164</v>
      </c>
      <c r="O1400" s="52" t="n">
        <f aca="false">M1400*(1-N1400)</f>
        <v>53.504</v>
      </c>
      <c r="P1400" s="21" t="n">
        <f aca="false">L1400*O1400</f>
        <v>3156.736</v>
      </c>
      <c r="Q1400" s="50" t="n">
        <f aca="false">INDEX(Productos!$E$2:$E$13,MATCH($H1400,Productos!$A$2:$A$13,0))*INDEX(Parametros!$B$26:$B$43,MATCH($C1400,Parametros!$A$26:$A$43,0))</f>
        <v>33.701</v>
      </c>
      <c r="R1400" s="21" t="n">
        <f aca="false">L1400*Q1400</f>
        <v>1988.359</v>
      </c>
      <c r="S1400" s="18" t="n">
        <f aca="false">L1400*INDEX(Parametros!$B$20:$B$22,MATCH($E1400,Parametros!$A$20:$A$22,0))</f>
        <v>112.1</v>
      </c>
      <c r="T1400" s="18" t="n">
        <f aca="false">P1400*INDEX(Parametros!$B$13:$B$16,MATCH($F1400,Parametros!$A$13:$A$16,0))</f>
        <v>126.26944</v>
      </c>
      <c r="U1400" s="21" t="n">
        <f aca="false">P1400-R1400-S1400-T1400</f>
        <v>930.00756</v>
      </c>
      <c r="V1400" s="19" t="n">
        <f aca="false">IFERROR(U1400/P1400,0)</f>
        <v>0.294610496411483</v>
      </c>
      <c r="W1400" s="48" t="n">
        <f aca="false">B1400+INDEX(Parametros!$C$13:$C$16,MATCH($F1400,Parametros!$A$13:$A$16,0))</f>
        <v>46211</v>
      </c>
      <c r="X1400" s="31" t="s">
        <v>67</v>
      </c>
      <c r="Y1400" s="53" t="n">
        <f aca="false">IF(COUNTIF($A$2:$A1400,A1400)=1,1,0)</f>
        <v>0</v>
      </c>
    </row>
    <row r="1401" customFormat="false" ht="15" hidden="false" customHeight="false" outlineLevel="0" collapsed="false">
      <c r="A1401" s="31" t="s">
        <v>997</v>
      </c>
      <c r="B1401" s="36" t="n">
        <v>46139</v>
      </c>
      <c r="C1401" s="49" t="n">
        <f aca="false">DATE(YEAR(B1401),MONTH(B1401),1)</f>
        <v>46113</v>
      </c>
      <c r="D1401" s="31" t="s">
        <v>214</v>
      </c>
      <c r="E1401" s="31" t="s">
        <v>42</v>
      </c>
      <c r="F1401" s="31" t="s">
        <v>46</v>
      </c>
      <c r="G1401" s="31" t="s">
        <v>61</v>
      </c>
      <c r="H1401" s="31" t="s">
        <v>179</v>
      </c>
      <c r="I1401" s="32" t="str">
        <f aca="false">INDEX(Productos!$B$2:$B$13,MATCH($H1401,Productos!$A$2:$A$13,0))</f>
        <v>Autotaladrante DIN 7504 4,8x38 zincado</v>
      </c>
      <c r="J1401" s="32" t="str">
        <f aca="false">INDEX(Productos!$C$2:$C$13,MATCH($H1401,Productos!$A$2:$A$13,0))</f>
        <v>Autotaladrante</v>
      </c>
      <c r="K1401" s="31" t="s">
        <v>246</v>
      </c>
      <c r="L1401" s="46" t="n">
        <v>123</v>
      </c>
      <c r="M1401" s="50" t="n">
        <f aca="false">INDEX(Productos!$F$2:$F$13,MATCH($H1401,Productos!$A$2:$A$13,0))</f>
        <v>29.5</v>
      </c>
      <c r="N1401" s="51" t="n">
        <v>0.132</v>
      </c>
      <c r="O1401" s="52" t="n">
        <f aca="false">M1401*(1-N1401)</f>
        <v>25.606</v>
      </c>
      <c r="P1401" s="21" t="n">
        <f aca="false">L1401*O1401</f>
        <v>3149.538</v>
      </c>
      <c r="Q1401" s="50" t="n">
        <f aca="false">INDEX(Productos!$E$2:$E$13,MATCH($H1401,Productos!$A$2:$A$13,0))*INDEX(Parametros!$B$26:$B$43,MATCH($C1401,Parametros!$A$26:$A$43,0))</f>
        <v>15.2912</v>
      </c>
      <c r="R1401" s="21" t="n">
        <f aca="false">L1401*Q1401</f>
        <v>1880.8176</v>
      </c>
      <c r="S1401" s="18" t="n">
        <f aca="false">L1401*INDEX(Parametros!$B$20:$B$22,MATCH($E1401,Parametros!$A$20:$A$22,0))</f>
        <v>295.2</v>
      </c>
      <c r="T1401" s="18" t="n">
        <f aca="false">P1401*INDEX(Parametros!$B$13:$B$16,MATCH($F1401,Parametros!$A$13:$A$16,0))</f>
        <v>125.98152</v>
      </c>
      <c r="U1401" s="21" t="n">
        <f aca="false">P1401-R1401-S1401-T1401</f>
        <v>847.538879999999</v>
      </c>
      <c r="V1401" s="19" t="n">
        <f aca="false">IFERROR(U1401/P1401,0)</f>
        <v>0.269099429821136</v>
      </c>
      <c r="W1401" s="48" t="n">
        <f aca="false">B1401+INDEX(Parametros!$C$13:$C$16,MATCH($F1401,Parametros!$A$13:$A$16,0))</f>
        <v>46214</v>
      </c>
      <c r="X1401" s="31" t="s">
        <v>67</v>
      </c>
      <c r="Y1401" s="53" t="n">
        <f aca="false">IF(COUNTIF($A$2:$A1401,A1401)=1,1,0)</f>
        <v>1</v>
      </c>
    </row>
    <row r="1402" customFormat="false" ht="15" hidden="false" customHeight="false" outlineLevel="0" collapsed="false">
      <c r="A1402" s="31" t="s">
        <v>997</v>
      </c>
      <c r="B1402" s="36" t="n">
        <v>46139</v>
      </c>
      <c r="C1402" s="49" t="n">
        <f aca="false">DATE(YEAR(B1402),MONTH(B1402),1)</f>
        <v>46113</v>
      </c>
      <c r="D1402" s="31" t="s">
        <v>214</v>
      </c>
      <c r="E1402" s="31" t="s">
        <v>42</v>
      </c>
      <c r="F1402" s="31" t="s">
        <v>46</v>
      </c>
      <c r="G1402" s="31" t="s">
        <v>61</v>
      </c>
      <c r="H1402" s="31" t="s">
        <v>173</v>
      </c>
      <c r="I1402" s="32" t="str">
        <f aca="false">INDEX(Productos!$B$2:$B$13,MATCH($H1402,Productos!$A$2:$A$13,0))</f>
        <v>Tornillo DIN 933 M12x70 clase 8.8</v>
      </c>
      <c r="J1402" s="32" t="str">
        <f aca="false">INDEX(Productos!$C$2:$C$13,MATCH($H1402,Productos!$A$2:$A$13,0))</f>
        <v>Métrica</v>
      </c>
      <c r="K1402" s="31" t="s">
        <v>246</v>
      </c>
      <c r="L1402" s="46" t="n">
        <v>137</v>
      </c>
      <c r="M1402" s="50" t="n">
        <f aca="false">INDEX(Productos!$F$2:$F$13,MATCH($H1402,Productos!$A$2:$A$13,0))</f>
        <v>64</v>
      </c>
      <c r="N1402" s="51" t="n">
        <v>0.119</v>
      </c>
      <c r="O1402" s="52" t="n">
        <f aca="false">M1402*(1-N1402)</f>
        <v>56.384</v>
      </c>
      <c r="P1402" s="21" t="n">
        <f aca="false">L1402*O1402</f>
        <v>7724.608</v>
      </c>
      <c r="Q1402" s="50" t="n">
        <f aca="false">INDEX(Productos!$E$2:$E$13,MATCH($H1402,Productos!$A$2:$A$13,0))*INDEX(Parametros!$B$26:$B$43,MATCH($C1402,Parametros!$A$26:$A$43,0))</f>
        <v>33.701</v>
      </c>
      <c r="R1402" s="21" t="n">
        <f aca="false">L1402*Q1402</f>
        <v>4617.037</v>
      </c>
      <c r="S1402" s="18" t="n">
        <f aca="false">L1402*INDEX(Parametros!$B$20:$B$22,MATCH($E1402,Parametros!$A$20:$A$22,0))</f>
        <v>328.8</v>
      </c>
      <c r="T1402" s="18" t="n">
        <f aca="false">P1402*INDEX(Parametros!$B$13:$B$16,MATCH($F1402,Parametros!$A$13:$A$16,0))</f>
        <v>308.98432</v>
      </c>
      <c r="U1402" s="21" t="n">
        <f aca="false">P1402-R1402-S1402-T1402</f>
        <v>2469.78668</v>
      </c>
      <c r="V1402" s="19" t="n">
        <f aca="false">IFERROR(U1402/P1402,0)</f>
        <v>0.319729710556186</v>
      </c>
      <c r="W1402" s="48" t="n">
        <f aca="false">B1402+INDEX(Parametros!$C$13:$C$16,MATCH($F1402,Parametros!$A$13:$A$16,0))</f>
        <v>46214</v>
      </c>
      <c r="X1402" s="31" t="s">
        <v>69</v>
      </c>
      <c r="Y1402" s="53" t="n">
        <f aca="false">IF(COUNTIF($A$2:$A1402,A1402)=1,1,0)</f>
        <v>0</v>
      </c>
    </row>
    <row r="1403" customFormat="false" ht="15" hidden="false" customHeight="false" outlineLevel="0" collapsed="false">
      <c r="A1403" s="31" t="s">
        <v>998</v>
      </c>
      <c r="B1403" s="36" t="n">
        <v>46139</v>
      </c>
      <c r="C1403" s="49" t="n">
        <f aca="false">DATE(YEAR(B1403),MONTH(B1403),1)</f>
        <v>46113</v>
      </c>
      <c r="D1403" s="31" t="s">
        <v>225</v>
      </c>
      <c r="E1403" s="31" t="s">
        <v>43</v>
      </c>
      <c r="F1403" s="31" t="s">
        <v>47</v>
      </c>
      <c r="G1403" s="31" t="s">
        <v>59</v>
      </c>
      <c r="H1403" s="31" t="s">
        <v>183</v>
      </c>
      <c r="I1403" s="32" t="str">
        <f aca="false">INDEX(Productos!$B$2:$B$13,MATCH($H1403,Productos!$A$2:$A$13,0))</f>
        <v>Tornillo estructural M16x90 clase 10.9</v>
      </c>
      <c r="J1403" s="32" t="str">
        <f aca="false">INDEX(Productos!$C$2:$C$13,MATCH($H1403,Productos!$A$2:$A$13,0))</f>
        <v>Especial</v>
      </c>
      <c r="K1403" s="31" t="s">
        <v>246</v>
      </c>
      <c r="L1403" s="46" t="n">
        <v>22</v>
      </c>
      <c r="M1403" s="50" t="n">
        <f aca="false">INDEX(Productos!$F$2:$F$13,MATCH($H1403,Productos!$A$2:$A$13,0))</f>
        <v>112</v>
      </c>
      <c r="N1403" s="51" t="n">
        <v>0.091</v>
      </c>
      <c r="O1403" s="52" t="n">
        <f aca="false">M1403*(1-N1403)</f>
        <v>101.808</v>
      </c>
      <c r="P1403" s="21" t="n">
        <f aca="false">L1403*O1403</f>
        <v>2239.776</v>
      </c>
      <c r="Q1403" s="50" t="n">
        <f aca="false">INDEX(Productos!$E$2:$E$13,MATCH($H1403,Productos!$A$2:$A$13,0))*INDEX(Parametros!$B$26:$B$43,MATCH($C1403,Parametros!$A$26:$A$43,0))</f>
        <v>60.36</v>
      </c>
      <c r="R1403" s="21" t="n">
        <f aca="false">L1403*Q1403</f>
        <v>1327.92</v>
      </c>
      <c r="S1403" s="18" t="n">
        <f aca="false">L1403*INDEX(Parametros!$B$20:$B$22,MATCH($E1403,Parametros!$A$20:$A$22,0))</f>
        <v>41.8</v>
      </c>
      <c r="T1403" s="18" t="n">
        <f aca="false">P1403*INDEX(Parametros!$B$13:$B$16,MATCH($F1403,Parametros!$A$13:$A$16,0))</f>
        <v>78.39216</v>
      </c>
      <c r="U1403" s="21" t="n">
        <f aca="false">P1403-R1403-S1403-T1403</f>
        <v>791.66384</v>
      </c>
      <c r="V1403" s="19" t="n">
        <f aca="false">IFERROR(U1403/P1403,0)</f>
        <v>0.353456702813139</v>
      </c>
      <c r="W1403" s="48" t="n">
        <f aca="false">B1403+INDEX(Parametros!$C$13:$C$16,MATCH($F1403,Parametros!$A$13:$A$16,0))</f>
        <v>46184</v>
      </c>
      <c r="X1403" s="31" t="s">
        <v>67</v>
      </c>
      <c r="Y1403" s="53" t="n">
        <f aca="false">IF(COUNTIF($A$2:$A1403,A1403)=1,1,0)</f>
        <v>1</v>
      </c>
    </row>
    <row r="1404" customFormat="false" ht="15" hidden="false" customHeight="false" outlineLevel="0" collapsed="false">
      <c r="A1404" s="31" t="s">
        <v>998</v>
      </c>
      <c r="B1404" s="36" t="n">
        <v>46139</v>
      </c>
      <c r="C1404" s="49" t="n">
        <f aca="false">DATE(YEAR(B1404),MONTH(B1404),1)</f>
        <v>46113</v>
      </c>
      <c r="D1404" s="31" t="s">
        <v>225</v>
      </c>
      <c r="E1404" s="31" t="s">
        <v>43</v>
      </c>
      <c r="F1404" s="31" t="s">
        <v>47</v>
      </c>
      <c r="G1404" s="31" t="s">
        <v>59</v>
      </c>
      <c r="H1404" s="31" t="s">
        <v>169</v>
      </c>
      <c r="I1404" s="32" t="str">
        <f aca="false">INDEX(Productos!$B$2:$B$13,MATCH($H1404,Productos!$A$2:$A$13,0))</f>
        <v>Tornillo DIN 912 M10x60 Allen inox A2</v>
      </c>
      <c r="J1404" s="32" t="str">
        <f aca="false">INDEX(Productos!$C$2:$C$13,MATCH($H1404,Productos!$A$2:$A$13,0))</f>
        <v>Inoxidable</v>
      </c>
      <c r="K1404" s="31" t="s">
        <v>246</v>
      </c>
      <c r="L1404" s="46" t="n">
        <v>51</v>
      </c>
      <c r="M1404" s="50" t="n">
        <f aca="false">INDEX(Productos!$F$2:$F$13,MATCH($H1404,Productos!$A$2:$A$13,0))</f>
        <v>79</v>
      </c>
      <c r="N1404" s="51" t="n">
        <v>0.071</v>
      </c>
      <c r="O1404" s="52" t="n">
        <f aca="false">M1404*(1-N1404)</f>
        <v>73.391</v>
      </c>
      <c r="P1404" s="21" t="n">
        <f aca="false">L1404*O1404</f>
        <v>3742.941</v>
      </c>
      <c r="Q1404" s="50" t="n">
        <f aca="false">INDEX(Productos!$E$2:$E$13,MATCH($H1404,Productos!$A$2:$A$13,0))*INDEX(Parametros!$B$26:$B$43,MATCH($C1404,Parametros!$A$26:$A$43,0))</f>
        <v>42.252</v>
      </c>
      <c r="R1404" s="21" t="n">
        <f aca="false">L1404*Q1404</f>
        <v>2154.852</v>
      </c>
      <c r="S1404" s="18" t="n">
        <f aca="false">L1404*INDEX(Parametros!$B$20:$B$22,MATCH($E1404,Parametros!$A$20:$A$22,0))</f>
        <v>96.9</v>
      </c>
      <c r="T1404" s="18" t="n">
        <f aca="false">P1404*INDEX(Parametros!$B$13:$B$16,MATCH($F1404,Parametros!$A$13:$A$16,0))</f>
        <v>131.002935</v>
      </c>
      <c r="U1404" s="21" t="n">
        <f aca="false">P1404-R1404-S1404-T1404</f>
        <v>1360.186065</v>
      </c>
      <c r="V1404" s="19" t="n">
        <f aca="false">IFERROR(U1404/P1404,0)</f>
        <v>0.363400348816612</v>
      </c>
      <c r="W1404" s="48" t="n">
        <f aca="false">B1404+INDEX(Parametros!$C$13:$C$16,MATCH($F1404,Parametros!$A$13:$A$16,0))</f>
        <v>46184</v>
      </c>
      <c r="X1404" s="31" t="s">
        <v>67</v>
      </c>
      <c r="Y1404" s="53" t="n">
        <f aca="false">IF(COUNTIF($A$2:$A1404,A1404)=1,1,0)</f>
        <v>0</v>
      </c>
    </row>
    <row r="1405" customFormat="false" ht="15" hidden="false" customHeight="false" outlineLevel="0" collapsed="false">
      <c r="A1405" s="31" t="s">
        <v>999</v>
      </c>
      <c r="B1405" s="36" t="n">
        <v>46139</v>
      </c>
      <c r="C1405" s="49" t="n">
        <f aca="false">DATE(YEAR(B1405),MONTH(B1405),1)</f>
        <v>46113</v>
      </c>
      <c r="D1405" s="31" t="s">
        <v>205</v>
      </c>
      <c r="E1405" s="31" t="s">
        <v>41</v>
      </c>
      <c r="F1405" s="31" t="s">
        <v>45</v>
      </c>
      <c r="G1405" s="31" t="s">
        <v>62</v>
      </c>
      <c r="H1405" s="31" t="s">
        <v>179</v>
      </c>
      <c r="I1405" s="32" t="str">
        <f aca="false">INDEX(Productos!$B$2:$B$13,MATCH($H1405,Productos!$A$2:$A$13,0))</f>
        <v>Autotaladrante DIN 7504 4,8x38 zincado</v>
      </c>
      <c r="J1405" s="32" t="str">
        <f aca="false">INDEX(Productos!$C$2:$C$13,MATCH($H1405,Productos!$A$2:$A$13,0))</f>
        <v>Autotaladrante</v>
      </c>
      <c r="K1405" s="31" t="s">
        <v>246</v>
      </c>
      <c r="L1405" s="46" t="n">
        <v>79</v>
      </c>
      <c r="M1405" s="50" t="n">
        <f aca="false">INDEX(Productos!$F$2:$F$13,MATCH($H1405,Productos!$A$2:$A$13,0))</f>
        <v>29.5</v>
      </c>
      <c r="N1405" s="51" t="n">
        <v>0.179</v>
      </c>
      <c r="O1405" s="52" t="n">
        <f aca="false">M1405*(1-N1405)</f>
        <v>24.2195</v>
      </c>
      <c r="P1405" s="21" t="n">
        <f aca="false">L1405*O1405</f>
        <v>1913.3405</v>
      </c>
      <c r="Q1405" s="50" t="n">
        <f aca="false">INDEX(Productos!$E$2:$E$13,MATCH($H1405,Productos!$A$2:$A$13,0))*INDEX(Parametros!$B$26:$B$43,MATCH($C1405,Parametros!$A$26:$A$43,0))</f>
        <v>15.2912</v>
      </c>
      <c r="R1405" s="21" t="n">
        <f aca="false">L1405*Q1405</f>
        <v>1208.0048</v>
      </c>
      <c r="S1405" s="18" t="n">
        <f aca="false">L1405*INDEX(Parametros!$B$20:$B$22,MATCH($E1405,Parametros!$A$20:$A$22,0))</f>
        <v>67.15</v>
      </c>
      <c r="T1405" s="18" t="n">
        <f aca="false">P1405*INDEX(Parametros!$B$13:$B$16,MATCH($F1405,Parametros!$A$13:$A$16,0))</f>
        <v>57.400215</v>
      </c>
      <c r="U1405" s="21" t="n">
        <f aca="false">P1405-R1405-S1405-T1405</f>
        <v>580.785485</v>
      </c>
      <c r="V1405" s="19" t="n">
        <f aca="false">IFERROR(U1405/P1405,0)</f>
        <v>0.303545283758955</v>
      </c>
      <c r="W1405" s="48" t="n">
        <f aca="false">B1405+INDEX(Parametros!$C$13:$C$16,MATCH($F1405,Parametros!$A$13:$A$16,0))</f>
        <v>46199</v>
      </c>
      <c r="X1405" s="31" t="s">
        <v>67</v>
      </c>
      <c r="Y1405" s="53" t="n">
        <f aca="false">IF(COUNTIF($A$2:$A1405,A1405)=1,1,0)</f>
        <v>1</v>
      </c>
    </row>
    <row r="1406" customFormat="false" ht="15" hidden="false" customHeight="false" outlineLevel="0" collapsed="false">
      <c r="A1406" s="31" t="s">
        <v>1000</v>
      </c>
      <c r="B1406" s="36" t="n">
        <v>46139</v>
      </c>
      <c r="C1406" s="49" t="n">
        <f aca="false">DATE(YEAR(B1406),MONTH(B1406),1)</f>
        <v>46113</v>
      </c>
      <c r="D1406" s="31" t="s">
        <v>191</v>
      </c>
      <c r="E1406" s="31" t="s">
        <v>41</v>
      </c>
      <c r="F1406" s="31" t="s">
        <v>47</v>
      </c>
      <c r="G1406" s="31" t="s">
        <v>58</v>
      </c>
      <c r="H1406" s="31" t="s">
        <v>181</v>
      </c>
      <c r="I1406" s="32" t="str">
        <f aca="false">INDEX(Productos!$B$2:$B$13,MATCH($H1406,Productos!$A$2:$A$13,0))</f>
        <v>Autotaladrante 5,5x55 punta broca</v>
      </c>
      <c r="J1406" s="32" t="str">
        <f aca="false">INDEX(Productos!$C$2:$C$13,MATCH($H1406,Productos!$A$2:$A$13,0))</f>
        <v>Autotaladrante</v>
      </c>
      <c r="K1406" s="31" t="s">
        <v>246</v>
      </c>
      <c r="L1406" s="46" t="n">
        <v>145</v>
      </c>
      <c r="M1406" s="50" t="n">
        <f aca="false">INDEX(Productos!$F$2:$F$13,MATCH($H1406,Productos!$A$2:$A$13,0))</f>
        <v>39</v>
      </c>
      <c r="N1406" s="51" t="n">
        <v>0.067</v>
      </c>
      <c r="O1406" s="52" t="n">
        <f aca="false">M1406*(1-N1406)</f>
        <v>36.387</v>
      </c>
      <c r="P1406" s="21" t="n">
        <f aca="false">L1406*O1406</f>
        <v>5276.115</v>
      </c>
      <c r="Q1406" s="50" t="n">
        <f aca="false">INDEX(Productos!$E$2:$E$13,MATCH($H1406,Productos!$A$2:$A$13,0))*INDEX(Parametros!$B$26:$B$43,MATCH($C1406,Parametros!$A$26:$A$43,0))</f>
        <v>20.4218</v>
      </c>
      <c r="R1406" s="21" t="n">
        <f aca="false">L1406*Q1406</f>
        <v>2961.161</v>
      </c>
      <c r="S1406" s="18" t="n">
        <f aca="false">L1406*INDEX(Parametros!$B$20:$B$22,MATCH($E1406,Parametros!$A$20:$A$22,0))</f>
        <v>123.25</v>
      </c>
      <c r="T1406" s="18" t="n">
        <f aca="false">P1406*INDEX(Parametros!$B$13:$B$16,MATCH($F1406,Parametros!$A$13:$A$16,0))</f>
        <v>184.664025</v>
      </c>
      <c r="U1406" s="21" t="n">
        <f aca="false">P1406-R1406-S1406-T1406</f>
        <v>2007.039975</v>
      </c>
      <c r="V1406" s="19" t="n">
        <f aca="false">IFERROR(U1406/P1406,0)</f>
        <v>0.380401104790172</v>
      </c>
      <c r="W1406" s="48" t="n">
        <f aca="false">B1406+INDEX(Parametros!$C$13:$C$16,MATCH($F1406,Parametros!$A$13:$A$16,0))</f>
        <v>46184</v>
      </c>
      <c r="X1406" s="31" t="s">
        <v>67</v>
      </c>
      <c r="Y1406" s="53" t="n">
        <f aca="false">IF(COUNTIF($A$2:$A1406,A1406)=1,1,0)</f>
        <v>1</v>
      </c>
    </row>
    <row r="1407" customFormat="false" ht="15" hidden="false" customHeight="false" outlineLevel="0" collapsed="false">
      <c r="A1407" s="31" t="s">
        <v>1000</v>
      </c>
      <c r="B1407" s="36" t="n">
        <v>46139</v>
      </c>
      <c r="C1407" s="49" t="n">
        <f aca="false">DATE(YEAR(B1407),MONTH(B1407),1)</f>
        <v>46113</v>
      </c>
      <c r="D1407" s="31" t="s">
        <v>191</v>
      </c>
      <c r="E1407" s="31" t="s">
        <v>41</v>
      </c>
      <c r="F1407" s="31" t="s">
        <v>47</v>
      </c>
      <c r="G1407" s="31" t="s">
        <v>58</v>
      </c>
      <c r="H1407" s="31" t="s">
        <v>177</v>
      </c>
      <c r="I1407" s="32" t="str">
        <f aca="false">INDEX(Productos!$B$2:$B$13,MATCH($H1407,Productos!$A$2:$A$13,0))</f>
        <v>Tirafondo madera 6x100 cabeza plana Torx</v>
      </c>
      <c r="J1407" s="32" t="str">
        <f aca="false">INDEX(Productos!$C$2:$C$13,MATCH($H1407,Productos!$A$2:$A$13,0))</f>
        <v>Madera</v>
      </c>
      <c r="K1407" s="31" t="s">
        <v>246</v>
      </c>
      <c r="L1407" s="46" t="n">
        <v>67</v>
      </c>
      <c r="M1407" s="50" t="n">
        <f aca="false">INDEX(Productos!$F$2:$F$13,MATCH($H1407,Productos!$A$2:$A$13,0))</f>
        <v>34</v>
      </c>
      <c r="N1407" s="51" t="n">
        <v>0.067</v>
      </c>
      <c r="O1407" s="52" t="n">
        <f aca="false">M1407*(1-N1407)</f>
        <v>31.722</v>
      </c>
      <c r="P1407" s="21" t="n">
        <f aca="false">L1407*O1407</f>
        <v>2125.374</v>
      </c>
      <c r="Q1407" s="50" t="n">
        <f aca="false">INDEX(Productos!$E$2:$E$13,MATCH($H1407,Productos!$A$2:$A$13,0))*INDEX(Parametros!$B$26:$B$43,MATCH($C1407,Parametros!$A$26:$A$43,0))</f>
        <v>17.9068</v>
      </c>
      <c r="R1407" s="21" t="n">
        <f aca="false">L1407*Q1407</f>
        <v>1199.7556</v>
      </c>
      <c r="S1407" s="18" t="n">
        <f aca="false">L1407*INDEX(Parametros!$B$20:$B$22,MATCH($E1407,Parametros!$A$20:$A$22,0))</f>
        <v>56.95</v>
      </c>
      <c r="T1407" s="18" t="n">
        <f aca="false">P1407*INDEX(Parametros!$B$13:$B$16,MATCH($F1407,Parametros!$A$13:$A$16,0))</f>
        <v>74.38809</v>
      </c>
      <c r="U1407" s="21" t="n">
        <f aca="false">P1407-R1407-S1407-T1407</f>
        <v>794.28031</v>
      </c>
      <c r="V1407" s="19" t="n">
        <f aca="false">IFERROR(U1407/P1407,0)</f>
        <v>0.373713195889288</v>
      </c>
      <c r="W1407" s="48" t="n">
        <f aca="false">B1407+INDEX(Parametros!$C$13:$C$16,MATCH($F1407,Parametros!$A$13:$A$16,0))</f>
        <v>46184</v>
      </c>
      <c r="X1407" s="31" t="s">
        <v>67</v>
      </c>
      <c r="Y1407" s="53" t="n">
        <f aca="false">IF(COUNTIF($A$2:$A1407,A1407)=1,1,0)</f>
        <v>0</v>
      </c>
    </row>
    <row r="1408" customFormat="false" ht="15" hidden="false" customHeight="false" outlineLevel="0" collapsed="false">
      <c r="A1408" s="31" t="s">
        <v>1000</v>
      </c>
      <c r="B1408" s="36" t="n">
        <v>46139</v>
      </c>
      <c r="C1408" s="49" t="n">
        <f aca="false">DATE(YEAR(B1408),MONTH(B1408),1)</f>
        <v>46113</v>
      </c>
      <c r="D1408" s="31" t="s">
        <v>191</v>
      </c>
      <c r="E1408" s="31" t="s">
        <v>41</v>
      </c>
      <c r="F1408" s="31" t="s">
        <v>47</v>
      </c>
      <c r="G1408" s="31" t="s">
        <v>58</v>
      </c>
      <c r="H1408" s="31" t="s">
        <v>171</v>
      </c>
      <c r="I1408" s="32" t="str">
        <f aca="false">INDEX(Productos!$B$2:$B$13,MATCH($H1408,Productos!$A$2:$A$13,0))</f>
        <v>Tornillo DIN 7991 M8x30 avellanado inox A2</v>
      </c>
      <c r="J1408" s="32" t="str">
        <f aca="false">INDEX(Productos!$C$2:$C$13,MATCH($H1408,Productos!$A$2:$A$13,0))</f>
        <v>Inoxidable</v>
      </c>
      <c r="K1408" s="31" t="s">
        <v>246</v>
      </c>
      <c r="L1408" s="46" t="n">
        <v>56</v>
      </c>
      <c r="M1408" s="50" t="n">
        <f aca="false">INDEX(Productos!$F$2:$F$13,MATCH($H1408,Productos!$A$2:$A$13,0))</f>
        <v>88</v>
      </c>
      <c r="N1408" s="51" t="n">
        <v>0.056</v>
      </c>
      <c r="O1408" s="52" t="n">
        <f aca="false">M1408*(1-N1408)</f>
        <v>83.072</v>
      </c>
      <c r="P1408" s="21" t="n">
        <f aca="false">L1408*O1408</f>
        <v>4652.032</v>
      </c>
      <c r="Q1408" s="50" t="n">
        <f aca="false">INDEX(Productos!$E$2:$E$13,MATCH($H1408,Productos!$A$2:$A$13,0))*INDEX(Parametros!$B$26:$B$43,MATCH($C1408,Parametros!$A$26:$A$43,0))</f>
        <v>46.779</v>
      </c>
      <c r="R1408" s="21" t="n">
        <f aca="false">L1408*Q1408</f>
        <v>2619.624</v>
      </c>
      <c r="S1408" s="18" t="n">
        <f aca="false">L1408*INDEX(Parametros!$B$20:$B$22,MATCH($E1408,Parametros!$A$20:$A$22,0))</f>
        <v>47.6</v>
      </c>
      <c r="T1408" s="18" t="n">
        <f aca="false">P1408*INDEX(Parametros!$B$13:$B$16,MATCH($F1408,Parametros!$A$13:$A$16,0))</f>
        <v>162.82112</v>
      </c>
      <c r="U1408" s="21" t="n">
        <f aca="false">P1408-R1408-S1408-T1408</f>
        <v>1821.98688</v>
      </c>
      <c r="V1408" s="19" t="n">
        <f aca="false">IFERROR(U1408/P1408,0)</f>
        <v>0.391653986902928</v>
      </c>
      <c r="W1408" s="48" t="n">
        <f aca="false">B1408+INDEX(Parametros!$C$13:$C$16,MATCH($F1408,Parametros!$A$13:$A$16,0))</f>
        <v>46184</v>
      </c>
      <c r="X1408" s="31" t="s">
        <v>67</v>
      </c>
      <c r="Y1408" s="53" t="n">
        <f aca="false">IF(COUNTIF($A$2:$A1408,A1408)=1,1,0)</f>
        <v>0</v>
      </c>
    </row>
    <row r="1409" customFormat="false" ht="15" hidden="false" customHeight="false" outlineLevel="0" collapsed="false">
      <c r="A1409" s="31" t="s">
        <v>1001</v>
      </c>
      <c r="B1409" s="36" t="n">
        <v>46139</v>
      </c>
      <c r="C1409" s="49" t="n">
        <f aca="false">DATE(YEAR(B1409),MONTH(B1409),1)</f>
        <v>46113</v>
      </c>
      <c r="D1409" s="31" t="s">
        <v>225</v>
      </c>
      <c r="E1409" s="31" t="s">
        <v>43</v>
      </c>
      <c r="F1409" s="31" t="s">
        <v>47</v>
      </c>
      <c r="G1409" s="31" t="s">
        <v>59</v>
      </c>
      <c r="H1409" s="31" t="s">
        <v>177</v>
      </c>
      <c r="I1409" s="32" t="str">
        <f aca="false">INDEX(Productos!$B$2:$B$13,MATCH($H1409,Productos!$A$2:$A$13,0))</f>
        <v>Tirafondo madera 6x100 cabeza plana Torx</v>
      </c>
      <c r="J1409" s="32" t="str">
        <f aca="false">INDEX(Productos!$C$2:$C$13,MATCH($H1409,Productos!$A$2:$A$13,0))</f>
        <v>Madera</v>
      </c>
      <c r="K1409" s="31" t="s">
        <v>246</v>
      </c>
      <c r="L1409" s="46" t="n">
        <v>41</v>
      </c>
      <c r="M1409" s="50" t="n">
        <f aca="false">INDEX(Productos!$F$2:$F$13,MATCH($H1409,Productos!$A$2:$A$13,0))</f>
        <v>34</v>
      </c>
      <c r="N1409" s="51" t="n">
        <v>0.078</v>
      </c>
      <c r="O1409" s="52" t="n">
        <f aca="false">M1409*(1-N1409)</f>
        <v>31.348</v>
      </c>
      <c r="P1409" s="21" t="n">
        <f aca="false">L1409*O1409</f>
        <v>1285.268</v>
      </c>
      <c r="Q1409" s="50" t="n">
        <f aca="false">INDEX(Productos!$E$2:$E$13,MATCH($H1409,Productos!$A$2:$A$13,0))*INDEX(Parametros!$B$26:$B$43,MATCH($C1409,Parametros!$A$26:$A$43,0))</f>
        <v>17.9068</v>
      </c>
      <c r="R1409" s="21" t="n">
        <f aca="false">L1409*Q1409</f>
        <v>734.1788</v>
      </c>
      <c r="S1409" s="18" t="n">
        <f aca="false">L1409*INDEX(Parametros!$B$20:$B$22,MATCH($E1409,Parametros!$A$20:$A$22,0))</f>
        <v>77.9</v>
      </c>
      <c r="T1409" s="18" t="n">
        <f aca="false">P1409*INDEX(Parametros!$B$13:$B$16,MATCH($F1409,Parametros!$A$13:$A$16,0))</f>
        <v>44.98438</v>
      </c>
      <c r="U1409" s="21" t="n">
        <f aca="false">P1409-R1409-S1409-T1409</f>
        <v>428.20482</v>
      </c>
      <c r="V1409" s="19" t="n">
        <f aca="false">IFERROR(U1409/P1409,0)</f>
        <v>0.333163838203394</v>
      </c>
      <c r="W1409" s="48" t="n">
        <f aca="false">B1409+INDEX(Parametros!$C$13:$C$16,MATCH($F1409,Parametros!$A$13:$A$16,0))</f>
        <v>46184</v>
      </c>
      <c r="X1409" s="31" t="s">
        <v>69</v>
      </c>
      <c r="Y1409" s="53" t="n">
        <f aca="false">IF(COUNTIF($A$2:$A1409,A1409)=1,1,0)</f>
        <v>1</v>
      </c>
    </row>
    <row r="1410" customFormat="false" ht="15" hidden="false" customHeight="false" outlineLevel="0" collapsed="false">
      <c r="A1410" s="31" t="s">
        <v>1002</v>
      </c>
      <c r="B1410" s="36" t="n">
        <v>46139</v>
      </c>
      <c r="C1410" s="49" t="n">
        <f aca="false">DATE(YEAR(B1410),MONTH(B1410),1)</f>
        <v>46113</v>
      </c>
      <c r="D1410" s="31" t="s">
        <v>208</v>
      </c>
      <c r="E1410" s="31" t="s">
        <v>41</v>
      </c>
      <c r="F1410" s="31" t="s">
        <v>46</v>
      </c>
      <c r="G1410" s="31" t="s">
        <v>58</v>
      </c>
      <c r="H1410" s="31" t="s">
        <v>179</v>
      </c>
      <c r="I1410" s="32" t="str">
        <f aca="false">INDEX(Productos!$B$2:$B$13,MATCH($H1410,Productos!$A$2:$A$13,0))</f>
        <v>Autotaladrante DIN 7504 4,8x38 zincado</v>
      </c>
      <c r="J1410" s="32" t="str">
        <f aca="false">INDEX(Productos!$C$2:$C$13,MATCH($H1410,Productos!$A$2:$A$13,0))</f>
        <v>Autotaladrante</v>
      </c>
      <c r="K1410" s="31" t="s">
        <v>246</v>
      </c>
      <c r="L1410" s="46" t="n">
        <v>141</v>
      </c>
      <c r="M1410" s="50" t="n">
        <f aca="false">INDEX(Productos!$F$2:$F$13,MATCH($H1410,Productos!$A$2:$A$13,0))</f>
        <v>29.5</v>
      </c>
      <c r="N1410" s="51" t="n">
        <v>0.175</v>
      </c>
      <c r="O1410" s="52" t="n">
        <f aca="false">M1410*(1-N1410)</f>
        <v>24.3375</v>
      </c>
      <c r="P1410" s="21" t="n">
        <f aca="false">L1410*O1410</f>
        <v>3431.5875</v>
      </c>
      <c r="Q1410" s="50" t="n">
        <f aca="false">INDEX(Productos!$E$2:$E$13,MATCH($H1410,Productos!$A$2:$A$13,0))*INDEX(Parametros!$B$26:$B$43,MATCH($C1410,Parametros!$A$26:$A$43,0))</f>
        <v>15.2912</v>
      </c>
      <c r="R1410" s="21" t="n">
        <f aca="false">L1410*Q1410</f>
        <v>2156.0592</v>
      </c>
      <c r="S1410" s="18" t="n">
        <f aca="false">L1410*INDEX(Parametros!$B$20:$B$22,MATCH($E1410,Parametros!$A$20:$A$22,0))</f>
        <v>119.85</v>
      </c>
      <c r="T1410" s="18" t="n">
        <f aca="false">P1410*INDEX(Parametros!$B$13:$B$16,MATCH($F1410,Parametros!$A$13:$A$16,0))</f>
        <v>137.2635</v>
      </c>
      <c r="U1410" s="21" t="n">
        <f aca="false">P1410-R1410-S1410-T1410</f>
        <v>1018.4148</v>
      </c>
      <c r="V1410" s="19" t="n">
        <f aca="false">IFERROR(U1410/P1410,0)</f>
        <v>0.29677657935285</v>
      </c>
      <c r="W1410" s="48" t="n">
        <f aca="false">B1410+INDEX(Parametros!$C$13:$C$16,MATCH($F1410,Parametros!$A$13:$A$16,0))</f>
        <v>46214</v>
      </c>
      <c r="X1410" s="31" t="s">
        <v>67</v>
      </c>
      <c r="Y1410" s="53" t="n">
        <f aca="false">IF(COUNTIF($A$2:$A1410,A1410)=1,1,0)</f>
        <v>1</v>
      </c>
    </row>
    <row r="1411" customFormat="false" ht="15" hidden="false" customHeight="false" outlineLevel="0" collapsed="false">
      <c r="A1411" s="31" t="s">
        <v>1002</v>
      </c>
      <c r="B1411" s="36" t="n">
        <v>46139</v>
      </c>
      <c r="C1411" s="49" t="n">
        <f aca="false">DATE(YEAR(B1411),MONTH(B1411),1)</f>
        <v>46113</v>
      </c>
      <c r="D1411" s="31" t="s">
        <v>208</v>
      </c>
      <c r="E1411" s="31" t="s">
        <v>41</v>
      </c>
      <c r="F1411" s="31" t="s">
        <v>46</v>
      </c>
      <c r="G1411" s="31" t="s">
        <v>58</v>
      </c>
      <c r="H1411" s="31" t="s">
        <v>167</v>
      </c>
      <c r="I1411" s="32" t="str">
        <f aca="false">INDEX(Productos!$B$2:$B$13,MATCH($H1411,Productos!$A$2:$A$13,0))</f>
        <v>Tornillo DIN 912 M6x25 Allen zincado</v>
      </c>
      <c r="J1411" s="32" t="str">
        <f aca="false">INDEX(Productos!$C$2:$C$13,MATCH($H1411,Productos!$A$2:$A$13,0))</f>
        <v>Métrica</v>
      </c>
      <c r="K1411" s="31" t="s">
        <v>246</v>
      </c>
      <c r="L1411" s="46" t="n">
        <v>149</v>
      </c>
      <c r="M1411" s="50" t="n">
        <f aca="false">INDEX(Productos!$F$2:$F$13,MATCH($H1411,Productos!$A$2:$A$13,0))</f>
        <v>42</v>
      </c>
      <c r="N1411" s="51" t="n">
        <v>0.116</v>
      </c>
      <c r="O1411" s="52" t="n">
        <f aca="false">M1411*(1-N1411)</f>
        <v>37.128</v>
      </c>
      <c r="P1411" s="21" t="n">
        <f aca="false">L1411*O1411</f>
        <v>5532.072</v>
      </c>
      <c r="Q1411" s="50" t="n">
        <f aca="false">INDEX(Productos!$E$2:$E$13,MATCH($H1411,Productos!$A$2:$A$13,0))*INDEX(Parametros!$B$26:$B$43,MATCH($C1411,Parametros!$A$26:$A$43,0))</f>
        <v>21.9308</v>
      </c>
      <c r="R1411" s="21" t="n">
        <f aca="false">L1411*Q1411</f>
        <v>3267.6892</v>
      </c>
      <c r="S1411" s="18" t="n">
        <f aca="false">L1411*INDEX(Parametros!$B$20:$B$22,MATCH($E1411,Parametros!$A$20:$A$22,0))</f>
        <v>126.65</v>
      </c>
      <c r="T1411" s="18" t="n">
        <f aca="false">P1411*INDEX(Parametros!$B$13:$B$16,MATCH($F1411,Parametros!$A$13:$A$16,0))</f>
        <v>221.28288</v>
      </c>
      <c r="U1411" s="21" t="n">
        <f aca="false">P1411-R1411-S1411-T1411</f>
        <v>1916.44992</v>
      </c>
      <c r="V1411" s="19" t="n">
        <f aca="false">IFERROR(U1411/P1411,0)</f>
        <v>0.346425339366516</v>
      </c>
      <c r="W1411" s="48" t="n">
        <f aca="false">B1411+INDEX(Parametros!$C$13:$C$16,MATCH($F1411,Parametros!$A$13:$A$16,0))</f>
        <v>46214</v>
      </c>
      <c r="X1411" s="31" t="s">
        <v>67</v>
      </c>
      <c r="Y1411" s="53" t="n">
        <f aca="false">IF(COUNTIF($A$2:$A1411,A1411)=1,1,0)</f>
        <v>0</v>
      </c>
    </row>
    <row r="1412" customFormat="false" ht="15" hidden="false" customHeight="false" outlineLevel="0" collapsed="false">
      <c r="A1412" s="31" t="s">
        <v>1002</v>
      </c>
      <c r="B1412" s="36" t="n">
        <v>46139</v>
      </c>
      <c r="C1412" s="49" t="n">
        <f aca="false">DATE(YEAR(B1412),MONTH(B1412),1)</f>
        <v>46113</v>
      </c>
      <c r="D1412" s="31" t="s">
        <v>208</v>
      </c>
      <c r="E1412" s="31" t="s">
        <v>41</v>
      </c>
      <c r="F1412" s="31" t="s">
        <v>46</v>
      </c>
      <c r="G1412" s="31" t="s">
        <v>58</v>
      </c>
      <c r="H1412" s="31" t="s">
        <v>165</v>
      </c>
      <c r="I1412" s="32" t="str">
        <f aca="false">INDEX(Productos!$B$2:$B$13,MATCH($H1412,Productos!$A$2:$A$13,0))</f>
        <v>Tornillo DIN 933 M8x40 rosca completa zincado</v>
      </c>
      <c r="J1412" s="32" t="str">
        <f aca="false">INDEX(Productos!$C$2:$C$13,MATCH($H1412,Productos!$A$2:$A$13,0))</f>
        <v>Métrica</v>
      </c>
      <c r="K1412" s="31" t="s">
        <v>246</v>
      </c>
      <c r="L1412" s="46" t="n">
        <v>127</v>
      </c>
      <c r="M1412" s="50" t="n">
        <f aca="false">INDEX(Productos!$F$2:$F$13,MATCH($H1412,Productos!$A$2:$A$13,0))</f>
        <v>37.5</v>
      </c>
      <c r="N1412" s="51" t="n">
        <v>0.136</v>
      </c>
      <c r="O1412" s="52" t="n">
        <f aca="false">M1412*(1-N1412)</f>
        <v>32.4</v>
      </c>
      <c r="P1412" s="21" t="n">
        <f aca="false">L1412*O1412</f>
        <v>4114.8</v>
      </c>
      <c r="Q1412" s="50" t="n">
        <f aca="false">INDEX(Productos!$E$2:$E$13,MATCH($H1412,Productos!$A$2:$A$13,0))*INDEX(Parametros!$B$26:$B$43,MATCH($C1412,Parametros!$A$26:$A$43,0))</f>
        <v>19.5164</v>
      </c>
      <c r="R1412" s="21" t="n">
        <f aca="false">L1412*Q1412</f>
        <v>2478.5828</v>
      </c>
      <c r="S1412" s="18" t="n">
        <f aca="false">L1412*INDEX(Parametros!$B$20:$B$22,MATCH($E1412,Parametros!$A$20:$A$22,0))</f>
        <v>107.95</v>
      </c>
      <c r="T1412" s="18" t="n">
        <f aca="false">P1412*INDEX(Parametros!$B$13:$B$16,MATCH($F1412,Parametros!$A$13:$A$16,0))</f>
        <v>164.592</v>
      </c>
      <c r="U1412" s="21" t="n">
        <f aca="false">P1412-R1412-S1412-T1412</f>
        <v>1363.6752</v>
      </c>
      <c r="V1412" s="19" t="n">
        <f aca="false">IFERROR(U1412/P1412,0)</f>
        <v>0.331407407407408</v>
      </c>
      <c r="W1412" s="48" t="n">
        <f aca="false">B1412+INDEX(Parametros!$C$13:$C$16,MATCH($F1412,Parametros!$A$13:$A$16,0))</f>
        <v>46214</v>
      </c>
      <c r="X1412" s="31" t="s">
        <v>67</v>
      </c>
      <c r="Y1412" s="53" t="n">
        <f aca="false">IF(COUNTIF($A$2:$A1412,A1412)=1,1,0)</f>
        <v>0</v>
      </c>
    </row>
    <row r="1413" customFormat="false" ht="15" hidden="false" customHeight="false" outlineLevel="0" collapsed="false">
      <c r="A1413" s="31" t="s">
        <v>1003</v>
      </c>
      <c r="B1413" s="36" t="n">
        <v>46139</v>
      </c>
      <c r="C1413" s="49" t="n">
        <f aca="false">DATE(YEAR(B1413),MONTH(B1413),1)</f>
        <v>46113</v>
      </c>
      <c r="D1413" s="31" t="s">
        <v>220</v>
      </c>
      <c r="E1413" s="31" t="s">
        <v>42</v>
      </c>
      <c r="F1413" s="31" t="s">
        <v>46</v>
      </c>
      <c r="G1413" s="31" t="s">
        <v>61</v>
      </c>
      <c r="H1413" s="31" t="s">
        <v>183</v>
      </c>
      <c r="I1413" s="32" t="str">
        <f aca="false">INDEX(Productos!$B$2:$B$13,MATCH($H1413,Productos!$A$2:$A$13,0))</f>
        <v>Tornillo estructural M16x90 clase 10.9</v>
      </c>
      <c r="J1413" s="32" t="str">
        <f aca="false">INDEX(Productos!$C$2:$C$13,MATCH($H1413,Productos!$A$2:$A$13,0))</f>
        <v>Especial</v>
      </c>
      <c r="K1413" s="31" t="s">
        <v>246</v>
      </c>
      <c r="L1413" s="46" t="n">
        <v>97</v>
      </c>
      <c r="M1413" s="50" t="n">
        <f aca="false">INDEX(Productos!$F$2:$F$13,MATCH($H1413,Productos!$A$2:$A$13,0))</f>
        <v>112</v>
      </c>
      <c r="N1413" s="51" t="n">
        <v>0.084</v>
      </c>
      <c r="O1413" s="52" t="n">
        <f aca="false">M1413*(1-N1413)</f>
        <v>102.592</v>
      </c>
      <c r="P1413" s="21" t="n">
        <f aca="false">L1413*O1413</f>
        <v>9951.424</v>
      </c>
      <c r="Q1413" s="50" t="n">
        <f aca="false">INDEX(Productos!$E$2:$E$13,MATCH($H1413,Productos!$A$2:$A$13,0))*INDEX(Parametros!$B$26:$B$43,MATCH($C1413,Parametros!$A$26:$A$43,0))</f>
        <v>60.36</v>
      </c>
      <c r="R1413" s="21" t="n">
        <f aca="false">L1413*Q1413</f>
        <v>5854.92</v>
      </c>
      <c r="S1413" s="18" t="n">
        <f aca="false">L1413*INDEX(Parametros!$B$20:$B$22,MATCH($E1413,Parametros!$A$20:$A$22,0))</f>
        <v>232.8</v>
      </c>
      <c r="T1413" s="18" t="n">
        <f aca="false">P1413*INDEX(Parametros!$B$13:$B$16,MATCH($F1413,Parametros!$A$13:$A$16,0))</f>
        <v>398.05696</v>
      </c>
      <c r="U1413" s="21" t="n">
        <f aca="false">P1413-R1413-S1413-T1413</f>
        <v>3465.64704</v>
      </c>
      <c r="V1413" s="19" t="n">
        <f aca="false">IFERROR(U1413/P1413,0)</f>
        <v>0.348256394260761</v>
      </c>
      <c r="W1413" s="48" t="n">
        <f aca="false">B1413+INDEX(Parametros!$C$13:$C$16,MATCH($F1413,Parametros!$A$13:$A$16,0))</f>
        <v>46214</v>
      </c>
      <c r="X1413" s="31" t="s">
        <v>67</v>
      </c>
      <c r="Y1413" s="53" t="n">
        <f aca="false">IF(COUNTIF($A$2:$A1413,A1413)=1,1,0)</f>
        <v>1</v>
      </c>
    </row>
    <row r="1414" customFormat="false" ht="15" hidden="false" customHeight="false" outlineLevel="0" collapsed="false">
      <c r="A1414" s="31" t="s">
        <v>1003</v>
      </c>
      <c r="B1414" s="36" t="n">
        <v>46139</v>
      </c>
      <c r="C1414" s="49" t="n">
        <f aca="false">DATE(YEAR(B1414),MONTH(B1414),1)</f>
        <v>46113</v>
      </c>
      <c r="D1414" s="31" t="s">
        <v>220</v>
      </c>
      <c r="E1414" s="31" t="s">
        <v>42</v>
      </c>
      <c r="F1414" s="31" t="s">
        <v>46</v>
      </c>
      <c r="G1414" s="31" t="s">
        <v>61</v>
      </c>
      <c r="H1414" s="31" t="s">
        <v>163</v>
      </c>
      <c r="I1414" s="32" t="str">
        <f aca="false">INDEX(Productos!$B$2:$B$13,MATCH($H1414,Productos!$A$2:$A$13,0))</f>
        <v>Tornillo DIN 933 M6x30 rosca completa zincado</v>
      </c>
      <c r="J1414" s="32" t="str">
        <f aca="false">INDEX(Productos!$C$2:$C$13,MATCH($H1414,Productos!$A$2:$A$13,0))</f>
        <v>Métrica</v>
      </c>
      <c r="K1414" s="31" t="s">
        <v>246</v>
      </c>
      <c r="L1414" s="46" t="n">
        <v>27</v>
      </c>
      <c r="M1414" s="50" t="n">
        <f aca="false">INDEX(Productos!$F$2:$F$13,MATCH($H1414,Productos!$A$2:$A$13,0))</f>
        <v>32</v>
      </c>
      <c r="N1414" s="51" t="n">
        <v>0.144</v>
      </c>
      <c r="O1414" s="52" t="n">
        <f aca="false">M1414*(1-N1414)</f>
        <v>27.392</v>
      </c>
      <c r="P1414" s="21" t="n">
        <f aca="false">L1414*O1414</f>
        <v>739.584</v>
      </c>
      <c r="Q1414" s="50" t="n">
        <f aca="false">INDEX(Productos!$E$2:$E$13,MATCH($H1414,Productos!$A$2:$A$13,0))*INDEX(Parametros!$B$26:$B$43,MATCH($C1414,Parametros!$A$26:$A$43,0))</f>
        <v>16.6996</v>
      </c>
      <c r="R1414" s="21" t="n">
        <f aca="false">L1414*Q1414</f>
        <v>450.8892</v>
      </c>
      <c r="S1414" s="18" t="n">
        <f aca="false">L1414*INDEX(Parametros!$B$20:$B$22,MATCH($E1414,Parametros!$A$20:$A$22,0))</f>
        <v>64.8</v>
      </c>
      <c r="T1414" s="18" t="n">
        <f aca="false">P1414*INDEX(Parametros!$B$13:$B$16,MATCH($F1414,Parametros!$A$13:$A$16,0))</f>
        <v>29.58336</v>
      </c>
      <c r="U1414" s="21" t="n">
        <f aca="false">P1414-R1414-S1414-T1414</f>
        <v>194.31144</v>
      </c>
      <c r="V1414" s="19" t="n">
        <f aca="false">IFERROR(U1414/P1414,0)</f>
        <v>0.262730724299065</v>
      </c>
      <c r="W1414" s="48" t="n">
        <f aca="false">B1414+INDEX(Parametros!$C$13:$C$16,MATCH($F1414,Parametros!$A$13:$A$16,0))</f>
        <v>46214</v>
      </c>
      <c r="X1414" s="31" t="s">
        <v>67</v>
      </c>
      <c r="Y1414" s="53" t="n">
        <f aca="false">IF(COUNTIF($A$2:$A1414,A1414)=1,1,0)</f>
        <v>0</v>
      </c>
    </row>
    <row r="1415" customFormat="false" ht="15" hidden="false" customHeight="false" outlineLevel="0" collapsed="false">
      <c r="A1415" s="31" t="s">
        <v>1003</v>
      </c>
      <c r="B1415" s="36" t="n">
        <v>46139</v>
      </c>
      <c r="C1415" s="49" t="n">
        <f aca="false">DATE(YEAR(B1415),MONTH(B1415),1)</f>
        <v>46113</v>
      </c>
      <c r="D1415" s="31" t="s">
        <v>220</v>
      </c>
      <c r="E1415" s="31" t="s">
        <v>42</v>
      </c>
      <c r="F1415" s="31" t="s">
        <v>46</v>
      </c>
      <c r="G1415" s="31" t="s">
        <v>61</v>
      </c>
      <c r="H1415" s="31" t="s">
        <v>169</v>
      </c>
      <c r="I1415" s="32" t="str">
        <f aca="false">INDEX(Productos!$B$2:$B$13,MATCH($H1415,Productos!$A$2:$A$13,0))</f>
        <v>Tornillo DIN 912 M10x60 Allen inox A2</v>
      </c>
      <c r="J1415" s="32" t="str">
        <f aca="false">INDEX(Productos!$C$2:$C$13,MATCH($H1415,Productos!$A$2:$A$13,0))</f>
        <v>Inoxidable</v>
      </c>
      <c r="K1415" s="31" t="s">
        <v>246</v>
      </c>
      <c r="L1415" s="46" t="n">
        <v>115</v>
      </c>
      <c r="M1415" s="50" t="n">
        <f aca="false">INDEX(Productos!$F$2:$F$13,MATCH($H1415,Productos!$A$2:$A$13,0))</f>
        <v>79</v>
      </c>
      <c r="N1415" s="51" t="n">
        <v>0.11</v>
      </c>
      <c r="O1415" s="52" t="n">
        <f aca="false">M1415*(1-N1415)</f>
        <v>70.31</v>
      </c>
      <c r="P1415" s="21" t="n">
        <f aca="false">L1415*O1415</f>
        <v>8085.65</v>
      </c>
      <c r="Q1415" s="50" t="n">
        <f aca="false">INDEX(Productos!$E$2:$E$13,MATCH($H1415,Productos!$A$2:$A$13,0))*INDEX(Parametros!$B$26:$B$43,MATCH($C1415,Parametros!$A$26:$A$43,0))</f>
        <v>42.252</v>
      </c>
      <c r="R1415" s="21" t="n">
        <f aca="false">L1415*Q1415</f>
        <v>4858.98</v>
      </c>
      <c r="S1415" s="18" t="n">
        <f aca="false">L1415*INDEX(Parametros!$B$20:$B$22,MATCH($E1415,Parametros!$A$20:$A$22,0))</f>
        <v>276</v>
      </c>
      <c r="T1415" s="18" t="n">
        <f aca="false">P1415*INDEX(Parametros!$B$13:$B$16,MATCH($F1415,Parametros!$A$13:$A$16,0))</f>
        <v>323.426</v>
      </c>
      <c r="U1415" s="21" t="n">
        <f aca="false">P1415-R1415-S1415-T1415</f>
        <v>2627.244</v>
      </c>
      <c r="V1415" s="19" t="n">
        <f aca="false">IFERROR(U1415/P1415,0)</f>
        <v>0.324926752951216</v>
      </c>
      <c r="W1415" s="48" t="n">
        <f aca="false">B1415+INDEX(Parametros!$C$13:$C$16,MATCH($F1415,Parametros!$A$13:$A$16,0))</f>
        <v>46214</v>
      </c>
      <c r="X1415" s="31" t="s">
        <v>67</v>
      </c>
      <c r="Y1415" s="53" t="n">
        <f aca="false">IF(COUNTIF($A$2:$A1415,A1415)=1,1,0)</f>
        <v>0</v>
      </c>
    </row>
    <row r="1416" customFormat="false" ht="15" hidden="false" customHeight="false" outlineLevel="0" collapsed="false">
      <c r="A1416" s="31" t="s">
        <v>1004</v>
      </c>
      <c r="B1416" s="36" t="n">
        <v>46139</v>
      </c>
      <c r="C1416" s="49" t="n">
        <f aca="false">DATE(YEAR(B1416),MONTH(B1416),1)</f>
        <v>46113</v>
      </c>
      <c r="D1416" s="31" t="s">
        <v>195</v>
      </c>
      <c r="E1416" s="31" t="s">
        <v>41</v>
      </c>
      <c r="F1416" s="31" t="s">
        <v>45</v>
      </c>
      <c r="G1416" s="31" t="s">
        <v>58</v>
      </c>
      <c r="H1416" s="31" t="s">
        <v>165</v>
      </c>
      <c r="I1416" s="32" t="str">
        <f aca="false">INDEX(Productos!$B$2:$B$13,MATCH($H1416,Productos!$A$2:$A$13,0))</f>
        <v>Tornillo DIN 933 M8x40 rosca completa zincado</v>
      </c>
      <c r="J1416" s="32" t="str">
        <f aca="false">INDEX(Productos!$C$2:$C$13,MATCH($H1416,Productos!$A$2:$A$13,0))</f>
        <v>Métrica</v>
      </c>
      <c r="K1416" s="31" t="s">
        <v>246</v>
      </c>
      <c r="L1416" s="46" t="n">
        <v>25</v>
      </c>
      <c r="M1416" s="50" t="n">
        <f aca="false">INDEX(Productos!$F$2:$F$13,MATCH($H1416,Productos!$A$2:$A$13,0))</f>
        <v>37.5</v>
      </c>
      <c r="N1416" s="51" t="n">
        <v>0.166</v>
      </c>
      <c r="O1416" s="52" t="n">
        <f aca="false">M1416*(1-N1416)</f>
        <v>31.275</v>
      </c>
      <c r="P1416" s="21" t="n">
        <f aca="false">L1416*O1416</f>
        <v>781.875</v>
      </c>
      <c r="Q1416" s="50" t="n">
        <f aca="false">INDEX(Productos!$E$2:$E$13,MATCH($H1416,Productos!$A$2:$A$13,0))*INDEX(Parametros!$B$26:$B$43,MATCH($C1416,Parametros!$A$26:$A$43,0))</f>
        <v>19.5164</v>
      </c>
      <c r="R1416" s="21" t="n">
        <f aca="false">L1416*Q1416</f>
        <v>487.91</v>
      </c>
      <c r="S1416" s="18" t="n">
        <f aca="false">L1416*INDEX(Parametros!$B$20:$B$22,MATCH($E1416,Parametros!$A$20:$A$22,0))</f>
        <v>21.25</v>
      </c>
      <c r="T1416" s="18" t="n">
        <f aca="false">P1416*INDEX(Parametros!$B$13:$B$16,MATCH($F1416,Parametros!$A$13:$A$16,0))</f>
        <v>23.45625</v>
      </c>
      <c r="U1416" s="21" t="n">
        <f aca="false">P1416-R1416-S1416-T1416</f>
        <v>249.25875</v>
      </c>
      <c r="V1416" s="19" t="n">
        <f aca="false">IFERROR(U1416/P1416,0)</f>
        <v>0.318796163069544</v>
      </c>
      <c r="W1416" s="48" t="n">
        <f aca="false">B1416+INDEX(Parametros!$C$13:$C$16,MATCH($F1416,Parametros!$A$13:$A$16,0))</f>
        <v>46199</v>
      </c>
      <c r="X1416" s="31" t="s">
        <v>69</v>
      </c>
      <c r="Y1416" s="53" t="n">
        <f aca="false">IF(COUNTIF($A$2:$A1416,A1416)=1,1,0)</f>
        <v>1</v>
      </c>
    </row>
    <row r="1417" customFormat="false" ht="15" hidden="false" customHeight="false" outlineLevel="0" collapsed="false">
      <c r="A1417" s="31" t="s">
        <v>1004</v>
      </c>
      <c r="B1417" s="36" t="n">
        <v>46139</v>
      </c>
      <c r="C1417" s="49" t="n">
        <f aca="false">DATE(YEAR(B1417),MONTH(B1417),1)</f>
        <v>46113</v>
      </c>
      <c r="D1417" s="31" t="s">
        <v>195</v>
      </c>
      <c r="E1417" s="31" t="s">
        <v>41</v>
      </c>
      <c r="F1417" s="31" t="s">
        <v>45</v>
      </c>
      <c r="G1417" s="31" t="s">
        <v>58</v>
      </c>
      <c r="H1417" s="31" t="s">
        <v>163</v>
      </c>
      <c r="I1417" s="32" t="str">
        <f aca="false">INDEX(Productos!$B$2:$B$13,MATCH($H1417,Productos!$A$2:$A$13,0))</f>
        <v>Tornillo DIN 933 M6x30 rosca completa zincado</v>
      </c>
      <c r="J1417" s="32" t="str">
        <f aca="false">INDEX(Productos!$C$2:$C$13,MATCH($H1417,Productos!$A$2:$A$13,0))</f>
        <v>Métrica</v>
      </c>
      <c r="K1417" s="31" t="s">
        <v>246</v>
      </c>
      <c r="L1417" s="46" t="n">
        <v>142</v>
      </c>
      <c r="M1417" s="50" t="n">
        <f aca="false">INDEX(Productos!$F$2:$F$13,MATCH($H1417,Productos!$A$2:$A$13,0))</f>
        <v>32</v>
      </c>
      <c r="N1417" s="51" t="n">
        <v>0.157</v>
      </c>
      <c r="O1417" s="52" t="n">
        <f aca="false">M1417*(1-N1417)</f>
        <v>26.976</v>
      </c>
      <c r="P1417" s="21" t="n">
        <f aca="false">L1417*O1417</f>
        <v>3830.592</v>
      </c>
      <c r="Q1417" s="50" t="n">
        <f aca="false">INDEX(Productos!$E$2:$E$13,MATCH($H1417,Productos!$A$2:$A$13,0))*INDEX(Parametros!$B$26:$B$43,MATCH($C1417,Parametros!$A$26:$A$43,0))</f>
        <v>16.6996</v>
      </c>
      <c r="R1417" s="21" t="n">
        <f aca="false">L1417*Q1417</f>
        <v>2371.3432</v>
      </c>
      <c r="S1417" s="18" t="n">
        <f aca="false">L1417*INDEX(Parametros!$B$20:$B$22,MATCH($E1417,Parametros!$A$20:$A$22,0))</f>
        <v>120.7</v>
      </c>
      <c r="T1417" s="18" t="n">
        <f aca="false">P1417*INDEX(Parametros!$B$13:$B$16,MATCH($F1417,Parametros!$A$13:$A$16,0))</f>
        <v>114.91776</v>
      </c>
      <c r="U1417" s="21" t="n">
        <f aca="false">P1417-R1417-S1417-T1417</f>
        <v>1223.63104</v>
      </c>
      <c r="V1417" s="19" t="n">
        <f aca="false">IFERROR(U1417/P1417,0)</f>
        <v>0.319436536180308</v>
      </c>
      <c r="W1417" s="48" t="n">
        <f aca="false">B1417+INDEX(Parametros!$C$13:$C$16,MATCH($F1417,Parametros!$A$13:$A$16,0))</f>
        <v>46199</v>
      </c>
      <c r="X1417" s="31" t="s">
        <v>67</v>
      </c>
      <c r="Y1417" s="53" t="n">
        <f aca="false">IF(COUNTIF($A$2:$A1417,A1417)=1,1,0)</f>
        <v>0</v>
      </c>
    </row>
    <row r="1418" customFormat="false" ht="15" hidden="false" customHeight="false" outlineLevel="0" collapsed="false">
      <c r="A1418" s="31" t="s">
        <v>1004</v>
      </c>
      <c r="B1418" s="36" t="n">
        <v>46139</v>
      </c>
      <c r="C1418" s="49" t="n">
        <f aca="false">DATE(YEAR(B1418),MONTH(B1418),1)</f>
        <v>46113</v>
      </c>
      <c r="D1418" s="31" t="s">
        <v>195</v>
      </c>
      <c r="E1418" s="31" t="s">
        <v>41</v>
      </c>
      <c r="F1418" s="31" t="s">
        <v>45</v>
      </c>
      <c r="G1418" s="31" t="s">
        <v>58</v>
      </c>
      <c r="H1418" s="31" t="s">
        <v>181</v>
      </c>
      <c r="I1418" s="32" t="str">
        <f aca="false">INDEX(Productos!$B$2:$B$13,MATCH($H1418,Productos!$A$2:$A$13,0))</f>
        <v>Autotaladrante 5,5x55 punta broca</v>
      </c>
      <c r="J1418" s="32" t="str">
        <f aca="false">INDEX(Productos!$C$2:$C$13,MATCH($H1418,Productos!$A$2:$A$13,0))</f>
        <v>Autotaladrante</v>
      </c>
      <c r="K1418" s="31" t="s">
        <v>246</v>
      </c>
      <c r="L1418" s="46" t="n">
        <v>135</v>
      </c>
      <c r="M1418" s="50" t="n">
        <f aca="false">INDEX(Productos!$F$2:$F$13,MATCH($H1418,Productos!$A$2:$A$13,0))</f>
        <v>39</v>
      </c>
      <c r="N1418" s="51" t="n">
        <v>0.125</v>
      </c>
      <c r="O1418" s="52" t="n">
        <f aca="false">M1418*(1-N1418)</f>
        <v>34.125</v>
      </c>
      <c r="P1418" s="21" t="n">
        <f aca="false">L1418*O1418</f>
        <v>4606.875</v>
      </c>
      <c r="Q1418" s="50" t="n">
        <f aca="false">INDEX(Productos!$E$2:$E$13,MATCH($H1418,Productos!$A$2:$A$13,0))*INDEX(Parametros!$B$26:$B$43,MATCH($C1418,Parametros!$A$26:$A$43,0))</f>
        <v>20.4218</v>
      </c>
      <c r="R1418" s="21" t="n">
        <f aca="false">L1418*Q1418</f>
        <v>2756.943</v>
      </c>
      <c r="S1418" s="18" t="n">
        <f aca="false">L1418*INDEX(Parametros!$B$20:$B$22,MATCH($E1418,Parametros!$A$20:$A$22,0))</f>
        <v>114.75</v>
      </c>
      <c r="T1418" s="18" t="n">
        <f aca="false">P1418*INDEX(Parametros!$B$13:$B$16,MATCH($F1418,Parametros!$A$13:$A$16,0))</f>
        <v>138.20625</v>
      </c>
      <c r="U1418" s="21" t="n">
        <f aca="false">P1418-R1418-S1418-T1418</f>
        <v>1596.97575</v>
      </c>
      <c r="V1418" s="19" t="n">
        <f aca="false">IFERROR(U1418/P1418,0)</f>
        <v>0.346650549450549</v>
      </c>
      <c r="W1418" s="48" t="n">
        <f aca="false">B1418+INDEX(Parametros!$C$13:$C$16,MATCH($F1418,Parametros!$A$13:$A$16,0))</f>
        <v>46199</v>
      </c>
      <c r="X1418" s="31" t="s">
        <v>69</v>
      </c>
      <c r="Y1418" s="53" t="n">
        <f aca="false">IF(COUNTIF($A$2:$A1418,A1418)=1,1,0)</f>
        <v>0</v>
      </c>
    </row>
    <row r="1419" customFormat="false" ht="15" hidden="false" customHeight="false" outlineLevel="0" collapsed="false">
      <c r="A1419" s="31" t="s">
        <v>1005</v>
      </c>
      <c r="B1419" s="36" t="n">
        <v>46139</v>
      </c>
      <c r="C1419" s="49" t="n">
        <f aca="false">DATE(YEAR(B1419),MONTH(B1419),1)</f>
        <v>46113</v>
      </c>
      <c r="D1419" s="31" t="s">
        <v>224</v>
      </c>
      <c r="E1419" s="31" t="s">
        <v>43</v>
      </c>
      <c r="F1419" s="31" t="s">
        <v>45</v>
      </c>
      <c r="G1419" s="31" t="s">
        <v>59</v>
      </c>
      <c r="H1419" s="31" t="s">
        <v>169</v>
      </c>
      <c r="I1419" s="32" t="str">
        <f aca="false">INDEX(Productos!$B$2:$B$13,MATCH($H1419,Productos!$A$2:$A$13,0))</f>
        <v>Tornillo DIN 912 M10x60 Allen inox A2</v>
      </c>
      <c r="J1419" s="32" t="str">
        <f aca="false">INDEX(Productos!$C$2:$C$13,MATCH($H1419,Productos!$A$2:$A$13,0))</f>
        <v>Inoxidable</v>
      </c>
      <c r="K1419" s="31" t="s">
        <v>246</v>
      </c>
      <c r="L1419" s="46" t="n">
        <v>93</v>
      </c>
      <c r="M1419" s="50" t="n">
        <f aca="false">INDEX(Productos!$F$2:$F$13,MATCH($H1419,Productos!$A$2:$A$13,0))</f>
        <v>79</v>
      </c>
      <c r="N1419" s="51" t="n">
        <v>0.175</v>
      </c>
      <c r="O1419" s="52" t="n">
        <f aca="false">M1419*(1-N1419)</f>
        <v>65.175</v>
      </c>
      <c r="P1419" s="21" t="n">
        <f aca="false">L1419*O1419</f>
        <v>6061.275</v>
      </c>
      <c r="Q1419" s="50" t="n">
        <f aca="false">INDEX(Productos!$E$2:$E$13,MATCH($H1419,Productos!$A$2:$A$13,0))*INDEX(Parametros!$B$26:$B$43,MATCH($C1419,Parametros!$A$26:$A$43,0))</f>
        <v>42.252</v>
      </c>
      <c r="R1419" s="21" t="n">
        <f aca="false">L1419*Q1419</f>
        <v>3929.436</v>
      </c>
      <c r="S1419" s="18" t="n">
        <f aca="false">L1419*INDEX(Parametros!$B$20:$B$22,MATCH($E1419,Parametros!$A$20:$A$22,0))</f>
        <v>176.7</v>
      </c>
      <c r="T1419" s="18" t="n">
        <f aca="false">P1419*INDEX(Parametros!$B$13:$B$16,MATCH($F1419,Parametros!$A$13:$A$16,0))</f>
        <v>181.83825</v>
      </c>
      <c r="U1419" s="21" t="n">
        <f aca="false">P1419-R1419-S1419-T1419</f>
        <v>1773.30075</v>
      </c>
      <c r="V1419" s="19" t="n">
        <f aca="false">IFERROR(U1419/P1419,0)</f>
        <v>0.292562332182585</v>
      </c>
      <c r="W1419" s="48" t="n">
        <f aca="false">B1419+INDEX(Parametros!$C$13:$C$16,MATCH($F1419,Parametros!$A$13:$A$16,0))</f>
        <v>46199</v>
      </c>
      <c r="X1419" s="31" t="s">
        <v>67</v>
      </c>
      <c r="Y1419" s="53" t="n">
        <f aca="false">IF(COUNTIF($A$2:$A1419,A1419)=1,1,0)</f>
        <v>1</v>
      </c>
    </row>
    <row r="1420" customFormat="false" ht="15" hidden="false" customHeight="false" outlineLevel="0" collapsed="false">
      <c r="A1420" s="31" t="s">
        <v>1006</v>
      </c>
      <c r="B1420" s="36" t="n">
        <v>46139</v>
      </c>
      <c r="C1420" s="49" t="n">
        <f aca="false">DATE(YEAR(B1420),MONTH(B1420),1)</f>
        <v>46113</v>
      </c>
      <c r="D1420" s="31" t="s">
        <v>217</v>
      </c>
      <c r="E1420" s="31" t="s">
        <v>42</v>
      </c>
      <c r="F1420" s="31" t="s">
        <v>47</v>
      </c>
      <c r="G1420" s="31" t="s">
        <v>61</v>
      </c>
      <c r="H1420" s="31" t="s">
        <v>165</v>
      </c>
      <c r="I1420" s="32" t="str">
        <f aca="false">INDEX(Productos!$B$2:$B$13,MATCH($H1420,Productos!$A$2:$A$13,0))</f>
        <v>Tornillo DIN 933 M8x40 rosca completa zincado</v>
      </c>
      <c r="J1420" s="32" t="str">
        <f aca="false">INDEX(Productos!$C$2:$C$13,MATCH($H1420,Productos!$A$2:$A$13,0))</f>
        <v>Métrica</v>
      </c>
      <c r="K1420" s="31" t="s">
        <v>246</v>
      </c>
      <c r="L1420" s="46" t="n">
        <v>140</v>
      </c>
      <c r="M1420" s="50" t="n">
        <f aca="false">INDEX(Productos!$F$2:$F$13,MATCH($H1420,Productos!$A$2:$A$13,0))</f>
        <v>37.5</v>
      </c>
      <c r="N1420" s="51" t="n">
        <v>0.038</v>
      </c>
      <c r="O1420" s="52" t="n">
        <f aca="false">M1420*(1-N1420)</f>
        <v>36.075</v>
      </c>
      <c r="P1420" s="21" t="n">
        <f aca="false">L1420*O1420</f>
        <v>5050.5</v>
      </c>
      <c r="Q1420" s="50" t="n">
        <f aca="false">INDEX(Productos!$E$2:$E$13,MATCH($H1420,Productos!$A$2:$A$13,0))*INDEX(Parametros!$B$26:$B$43,MATCH($C1420,Parametros!$A$26:$A$43,0))</f>
        <v>19.5164</v>
      </c>
      <c r="R1420" s="21" t="n">
        <f aca="false">L1420*Q1420</f>
        <v>2732.296</v>
      </c>
      <c r="S1420" s="18" t="n">
        <f aca="false">L1420*INDEX(Parametros!$B$20:$B$22,MATCH($E1420,Parametros!$A$20:$A$22,0))</f>
        <v>336</v>
      </c>
      <c r="T1420" s="18" t="n">
        <f aca="false">P1420*INDEX(Parametros!$B$13:$B$16,MATCH($F1420,Parametros!$A$13:$A$16,0))</f>
        <v>176.7675</v>
      </c>
      <c r="U1420" s="21" t="n">
        <f aca="false">P1420-R1420-S1420-T1420</f>
        <v>1805.4365</v>
      </c>
      <c r="V1420" s="19" t="n">
        <f aca="false">IFERROR(U1420/P1420,0)</f>
        <v>0.357476784476784</v>
      </c>
      <c r="W1420" s="48" t="n">
        <f aca="false">B1420+INDEX(Parametros!$C$13:$C$16,MATCH($F1420,Parametros!$A$13:$A$16,0))</f>
        <v>46184</v>
      </c>
      <c r="X1420" s="31" t="s">
        <v>67</v>
      </c>
      <c r="Y1420" s="53" t="n">
        <f aca="false">IF(COUNTIF($A$2:$A1420,A1420)=1,1,0)</f>
        <v>1</v>
      </c>
    </row>
    <row r="1421" customFormat="false" ht="15" hidden="false" customHeight="false" outlineLevel="0" collapsed="false">
      <c r="A1421" s="31" t="s">
        <v>1006</v>
      </c>
      <c r="B1421" s="36" t="n">
        <v>46139</v>
      </c>
      <c r="C1421" s="49" t="n">
        <f aca="false">DATE(YEAR(B1421),MONTH(B1421),1)</f>
        <v>46113</v>
      </c>
      <c r="D1421" s="31" t="s">
        <v>217</v>
      </c>
      <c r="E1421" s="31" t="s">
        <v>42</v>
      </c>
      <c r="F1421" s="31" t="s">
        <v>47</v>
      </c>
      <c r="G1421" s="31" t="s">
        <v>61</v>
      </c>
      <c r="H1421" s="31" t="s">
        <v>185</v>
      </c>
      <c r="I1421" s="32" t="str">
        <f aca="false">INDEX(Productos!$B$2:$B$13,MATCH($H1421,Productos!$A$2:$A$13,0))</f>
        <v>Varilla roscada M10 x 1 m zincada</v>
      </c>
      <c r="J1421" s="32" t="str">
        <f aca="false">INDEX(Productos!$C$2:$C$13,MATCH($H1421,Productos!$A$2:$A$13,0))</f>
        <v>Especial</v>
      </c>
      <c r="K1421" s="31" t="s">
        <v>246</v>
      </c>
      <c r="L1421" s="46" t="n">
        <v>74</v>
      </c>
      <c r="M1421" s="50" t="n">
        <f aca="false">INDEX(Productos!$F$2:$F$13,MATCH($H1421,Productos!$A$2:$A$13,0))</f>
        <v>54</v>
      </c>
      <c r="N1421" s="51" t="n">
        <v>0.095</v>
      </c>
      <c r="O1421" s="52" t="n">
        <f aca="false">M1421*(1-N1421)</f>
        <v>48.87</v>
      </c>
      <c r="P1421" s="21" t="n">
        <f aca="false">L1421*O1421</f>
        <v>3616.38</v>
      </c>
      <c r="Q1421" s="50" t="n">
        <f aca="false">INDEX(Productos!$E$2:$E$13,MATCH($H1421,Productos!$A$2:$A$13,0))*INDEX(Parametros!$B$26:$B$43,MATCH($C1421,Parametros!$A$26:$A$43,0))</f>
        <v>28.671</v>
      </c>
      <c r="R1421" s="21" t="n">
        <f aca="false">L1421*Q1421</f>
        <v>2121.654</v>
      </c>
      <c r="S1421" s="18" t="n">
        <f aca="false">L1421*INDEX(Parametros!$B$20:$B$22,MATCH($E1421,Parametros!$A$20:$A$22,0))</f>
        <v>177.6</v>
      </c>
      <c r="T1421" s="18" t="n">
        <f aca="false">P1421*INDEX(Parametros!$B$13:$B$16,MATCH($F1421,Parametros!$A$13:$A$16,0))</f>
        <v>126.5733</v>
      </c>
      <c r="U1421" s="21" t="n">
        <f aca="false">P1421-R1421-S1421-T1421</f>
        <v>1190.5527</v>
      </c>
      <c r="V1421" s="19" t="n">
        <f aca="false">IFERROR(U1421/P1421,0)</f>
        <v>0.329211172498465</v>
      </c>
      <c r="W1421" s="48" t="n">
        <f aca="false">B1421+INDEX(Parametros!$C$13:$C$16,MATCH($F1421,Parametros!$A$13:$A$16,0))</f>
        <v>46184</v>
      </c>
      <c r="X1421" s="31" t="s">
        <v>67</v>
      </c>
      <c r="Y1421" s="53" t="n">
        <f aca="false">IF(COUNTIF($A$2:$A1421,A1421)=1,1,0)</f>
        <v>0</v>
      </c>
    </row>
    <row r="1422" customFormat="false" ht="15" hidden="false" customHeight="false" outlineLevel="0" collapsed="false">
      <c r="A1422" s="31" t="s">
        <v>1006</v>
      </c>
      <c r="B1422" s="36" t="n">
        <v>46139</v>
      </c>
      <c r="C1422" s="49" t="n">
        <f aca="false">DATE(YEAR(B1422),MONTH(B1422),1)</f>
        <v>46113</v>
      </c>
      <c r="D1422" s="31" t="s">
        <v>217</v>
      </c>
      <c r="E1422" s="31" t="s">
        <v>42</v>
      </c>
      <c r="F1422" s="31" t="s">
        <v>47</v>
      </c>
      <c r="G1422" s="31" t="s">
        <v>61</v>
      </c>
      <c r="H1422" s="31" t="s">
        <v>181</v>
      </c>
      <c r="I1422" s="32" t="str">
        <f aca="false">INDEX(Productos!$B$2:$B$13,MATCH($H1422,Productos!$A$2:$A$13,0))</f>
        <v>Autotaladrante 5,5x55 punta broca</v>
      </c>
      <c r="J1422" s="32" t="str">
        <f aca="false">INDEX(Productos!$C$2:$C$13,MATCH($H1422,Productos!$A$2:$A$13,0))</f>
        <v>Autotaladrante</v>
      </c>
      <c r="K1422" s="31" t="s">
        <v>246</v>
      </c>
      <c r="L1422" s="46" t="n">
        <v>23</v>
      </c>
      <c r="M1422" s="50" t="n">
        <f aca="false">INDEX(Productos!$F$2:$F$13,MATCH($H1422,Productos!$A$2:$A$13,0))</f>
        <v>39</v>
      </c>
      <c r="N1422" s="51" t="n">
        <v>0.054</v>
      </c>
      <c r="O1422" s="52" t="n">
        <f aca="false">M1422*(1-N1422)</f>
        <v>36.894</v>
      </c>
      <c r="P1422" s="21" t="n">
        <f aca="false">L1422*O1422</f>
        <v>848.562</v>
      </c>
      <c r="Q1422" s="50" t="n">
        <f aca="false">INDEX(Productos!$E$2:$E$13,MATCH($H1422,Productos!$A$2:$A$13,0))*INDEX(Parametros!$B$26:$B$43,MATCH($C1422,Parametros!$A$26:$A$43,0))</f>
        <v>20.4218</v>
      </c>
      <c r="R1422" s="21" t="n">
        <f aca="false">L1422*Q1422</f>
        <v>469.7014</v>
      </c>
      <c r="S1422" s="18" t="n">
        <f aca="false">L1422*INDEX(Parametros!$B$20:$B$22,MATCH($E1422,Parametros!$A$20:$A$22,0))</f>
        <v>55.2</v>
      </c>
      <c r="T1422" s="18" t="n">
        <f aca="false">P1422*INDEX(Parametros!$B$13:$B$16,MATCH($F1422,Parametros!$A$13:$A$16,0))</f>
        <v>29.69967</v>
      </c>
      <c r="U1422" s="21" t="n">
        <f aca="false">P1422-R1422-S1422-T1422</f>
        <v>293.96093</v>
      </c>
      <c r="V1422" s="19" t="n">
        <f aca="false">IFERROR(U1422/P1422,0)</f>
        <v>0.346422453515477</v>
      </c>
      <c r="W1422" s="48" t="n">
        <f aca="false">B1422+INDEX(Parametros!$C$13:$C$16,MATCH($F1422,Parametros!$A$13:$A$16,0))</f>
        <v>46184</v>
      </c>
      <c r="X1422" s="31" t="s">
        <v>67</v>
      </c>
      <c r="Y1422" s="53" t="n">
        <f aca="false">IF(COUNTIF($A$2:$A1422,A1422)=1,1,0)</f>
        <v>0</v>
      </c>
    </row>
    <row r="1423" customFormat="false" ht="15" hidden="false" customHeight="false" outlineLevel="0" collapsed="false">
      <c r="A1423" s="31" t="s">
        <v>1006</v>
      </c>
      <c r="B1423" s="36" t="n">
        <v>46139</v>
      </c>
      <c r="C1423" s="49" t="n">
        <f aca="false">DATE(YEAR(B1423),MONTH(B1423),1)</f>
        <v>46113</v>
      </c>
      <c r="D1423" s="31" t="s">
        <v>217</v>
      </c>
      <c r="E1423" s="31" t="s">
        <v>42</v>
      </c>
      <c r="F1423" s="31" t="s">
        <v>47</v>
      </c>
      <c r="G1423" s="31" t="s">
        <v>61</v>
      </c>
      <c r="H1423" s="31" t="s">
        <v>175</v>
      </c>
      <c r="I1423" s="32" t="str">
        <f aca="false">INDEX(Productos!$B$2:$B$13,MATCH($H1423,Productos!$A$2:$A$13,0))</f>
        <v>Tirafondo madera 5x60 cabeza plana Torx</v>
      </c>
      <c r="J1423" s="32" t="str">
        <f aca="false">INDEX(Productos!$C$2:$C$13,MATCH($H1423,Productos!$A$2:$A$13,0))</f>
        <v>Madera</v>
      </c>
      <c r="K1423" s="31" t="s">
        <v>246</v>
      </c>
      <c r="L1423" s="46" t="n">
        <v>122</v>
      </c>
      <c r="M1423" s="50" t="n">
        <f aca="false">INDEX(Productos!$F$2:$F$13,MATCH($H1423,Productos!$A$2:$A$13,0))</f>
        <v>26</v>
      </c>
      <c r="N1423" s="51" t="n">
        <v>0.095</v>
      </c>
      <c r="O1423" s="52" t="n">
        <f aca="false">M1423*(1-N1423)</f>
        <v>23.53</v>
      </c>
      <c r="P1423" s="21" t="n">
        <f aca="false">L1423*O1423</f>
        <v>2870.66</v>
      </c>
      <c r="Q1423" s="50" t="n">
        <f aca="false">INDEX(Productos!$E$2:$E$13,MATCH($H1423,Productos!$A$2:$A$13,0))*INDEX(Parametros!$B$26:$B$43,MATCH($C1423,Parametros!$A$26:$A$43,0))</f>
        <v>13.4804</v>
      </c>
      <c r="R1423" s="21" t="n">
        <f aca="false">L1423*Q1423</f>
        <v>1644.6088</v>
      </c>
      <c r="S1423" s="18" t="n">
        <f aca="false">L1423*INDEX(Parametros!$B$20:$B$22,MATCH($E1423,Parametros!$A$20:$A$22,0))</f>
        <v>292.8</v>
      </c>
      <c r="T1423" s="18" t="n">
        <f aca="false">P1423*INDEX(Parametros!$B$13:$B$16,MATCH($F1423,Parametros!$A$13:$A$16,0))</f>
        <v>100.4731</v>
      </c>
      <c r="U1423" s="21" t="n">
        <f aca="false">P1423-R1423-S1423-T1423</f>
        <v>832.7781</v>
      </c>
      <c r="V1423" s="19" t="n">
        <f aca="false">IFERROR(U1423/P1423,0)</f>
        <v>0.290099872503187</v>
      </c>
      <c r="W1423" s="48" t="n">
        <f aca="false">B1423+INDEX(Parametros!$C$13:$C$16,MATCH($F1423,Parametros!$A$13:$A$16,0))</f>
        <v>46184</v>
      </c>
      <c r="X1423" s="31" t="s">
        <v>67</v>
      </c>
      <c r="Y1423" s="53" t="n">
        <f aca="false">IF(COUNTIF($A$2:$A1423,A1423)=1,1,0)</f>
        <v>0</v>
      </c>
    </row>
    <row r="1424" customFormat="false" ht="15" hidden="false" customHeight="false" outlineLevel="0" collapsed="false">
      <c r="A1424" s="31" t="s">
        <v>1007</v>
      </c>
      <c r="B1424" s="36" t="n">
        <v>46139</v>
      </c>
      <c r="C1424" s="49" t="n">
        <f aca="false">DATE(YEAR(B1424),MONTH(B1424),1)</f>
        <v>46113</v>
      </c>
      <c r="D1424" s="31" t="s">
        <v>210</v>
      </c>
      <c r="E1424" s="31" t="s">
        <v>41</v>
      </c>
      <c r="F1424" s="31" t="s">
        <v>48</v>
      </c>
      <c r="G1424" s="31" t="s">
        <v>60</v>
      </c>
      <c r="H1424" s="31" t="s">
        <v>179</v>
      </c>
      <c r="I1424" s="32" t="str">
        <f aca="false">INDEX(Productos!$B$2:$B$13,MATCH($H1424,Productos!$A$2:$A$13,0))</f>
        <v>Autotaladrante DIN 7504 4,8x38 zincado</v>
      </c>
      <c r="J1424" s="32" t="str">
        <f aca="false">INDEX(Productos!$C$2:$C$13,MATCH($H1424,Productos!$A$2:$A$13,0))</f>
        <v>Autotaladrante</v>
      </c>
      <c r="K1424" s="31" t="s">
        <v>246</v>
      </c>
      <c r="L1424" s="46" t="n">
        <v>55</v>
      </c>
      <c r="M1424" s="50" t="n">
        <f aca="false">INDEX(Productos!$F$2:$F$13,MATCH($H1424,Productos!$A$2:$A$13,0))</f>
        <v>29.5</v>
      </c>
      <c r="N1424" s="51" t="n">
        <v>0.024</v>
      </c>
      <c r="O1424" s="52" t="n">
        <f aca="false">M1424*(1-N1424)</f>
        <v>28.792</v>
      </c>
      <c r="P1424" s="21" t="n">
        <f aca="false">L1424*O1424</f>
        <v>1583.56</v>
      </c>
      <c r="Q1424" s="50" t="n">
        <f aca="false">INDEX(Productos!$E$2:$E$13,MATCH($H1424,Productos!$A$2:$A$13,0))*INDEX(Parametros!$B$26:$B$43,MATCH($C1424,Parametros!$A$26:$A$43,0))</f>
        <v>15.2912</v>
      </c>
      <c r="R1424" s="21" t="n">
        <f aca="false">L1424*Q1424</f>
        <v>841.016</v>
      </c>
      <c r="S1424" s="18" t="n">
        <f aca="false">L1424*INDEX(Parametros!$B$20:$B$22,MATCH($E1424,Parametros!$A$20:$A$22,0))</f>
        <v>46.75</v>
      </c>
      <c r="T1424" s="18" t="n">
        <f aca="false">P1424*INDEX(Parametros!$B$13:$B$16,MATCH($F1424,Parametros!$A$13:$A$16,0))</f>
        <v>15.8356</v>
      </c>
      <c r="U1424" s="21" t="n">
        <f aca="false">P1424-R1424-S1424-T1424</f>
        <v>679.9584</v>
      </c>
      <c r="V1424" s="19" t="n">
        <f aca="false">IFERROR(U1424/P1424,0)</f>
        <v>0.429385940539039</v>
      </c>
      <c r="W1424" s="48" t="n">
        <f aca="false">B1424+INDEX(Parametros!$C$13:$C$16,MATCH($F1424,Parametros!$A$13:$A$16,0))</f>
        <v>46139</v>
      </c>
      <c r="X1424" s="31" t="s">
        <v>67</v>
      </c>
      <c r="Y1424" s="53" t="n">
        <f aca="false">IF(COUNTIF($A$2:$A1424,A1424)=1,1,0)</f>
        <v>1</v>
      </c>
    </row>
    <row r="1425" customFormat="false" ht="15" hidden="false" customHeight="false" outlineLevel="0" collapsed="false">
      <c r="A1425" s="31" t="s">
        <v>1008</v>
      </c>
      <c r="B1425" s="36" t="n">
        <v>46139</v>
      </c>
      <c r="C1425" s="49" t="n">
        <f aca="false">DATE(YEAR(B1425),MONTH(B1425),1)</f>
        <v>46113</v>
      </c>
      <c r="D1425" s="31" t="s">
        <v>220</v>
      </c>
      <c r="E1425" s="31" t="s">
        <v>42</v>
      </c>
      <c r="F1425" s="31" t="s">
        <v>46</v>
      </c>
      <c r="G1425" s="31" t="s">
        <v>61</v>
      </c>
      <c r="H1425" s="31" t="s">
        <v>169</v>
      </c>
      <c r="I1425" s="32" t="str">
        <f aca="false">INDEX(Productos!$B$2:$B$13,MATCH($H1425,Productos!$A$2:$A$13,0))</f>
        <v>Tornillo DIN 912 M10x60 Allen inox A2</v>
      </c>
      <c r="J1425" s="32" t="str">
        <f aca="false">INDEX(Productos!$C$2:$C$13,MATCH($H1425,Productos!$A$2:$A$13,0))</f>
        <v>Inoxidable</v>
      </c>
      <c r="K1425" s="31" t="s">
        <v>246</v>
      </c>
      <c r="L1425" s="46" t="n">
        <v>269</v>
      </c>
      <c r="M1425" s="50" t="n">
        <f aca="false">INDEX(Productos!$F$2:$F$13,MATCH($H1425,Productos!$A$2:$A$13,0))</f>
        <v>79</v>
      </c>
      <c r="N1425" s="51" t="n">
        <v>0.084</v>
      </c>
      <c r="O1425" s="52" t="n">
        <f aca="false">M1425*(1-N1425)</f>
        <v>72.364</v>
      </c>
      <c r="P1425" s="21" t="n">
        <f aca="false">L1425*O1425</f>
        <v>19465.916</v>
      </c>
      <c r="Q1425" s="50" t="n">
        <f aca="false">INDEX(Productos!$E$2:$E$13,MATCH($H1425,Productos!$A$2:$A$13,0))*INDEX(Parametros!$B$26:$B$43,MATCH($C1425,Parametros!$A$26:$A$43,0))</f>
        <v>42.252</v>
      </c>
      <c r="R1425" s="21" t="n">
        <f aca="false">L1425*Q1425</f>
        <v>11365.788</v>
      </c>
      <c r="S1425" s="18" t="n">
        <f aca="false">L1425*INDEX(Parametros!$B$20:$B$22,MATCH($E1425,Parametros!$A$20:$A$22,0))</f>
        <v>645.6</v>
      </c>
      <c r="T1425" s="18" t="n">
        <f aca="false">P1425*INDEX(Parametros!$B$13:$B$16,MATCH($F1425,Parametros!$A$13:$A$16,0))</f>
        <v>778.63664</v>
      </c>
      <c r="U1425" s="21" t="n">
        <f aca="false">P1425-R1425-S1425-T1425</f>
        <v>6675.89136</v>
      </c>
      <c r="V1425" s="19" t="n">
        <f aca="false">IFERROR(U1425/P1425,0)</f>
        <v>0.342952849483168</v>
      </c>
      <c r="W1425" s="48" t="n">
        <f aca="false">B1425+INDEX(Parametros!$C$13:$C$16,MATCH($F1425,Parametros!$A$13:$A$16,0))</f>
        <v>46214</v>
      </c>
      <c r="X1425" s="31" t="s">
        <v>67</v>
      </c>
      <c r="Y1425" s="53" t="n">
        <f aca="false">IF(COUNTIF($A$2:$A1425,A1425)=1,1,0)</f>
        <v>1</v>
      </c>
    </row>
    <row r="1426" customFormat="false" ht="15" hidden="false" customHeight="false" outlineLevel="0" collapsed="false">
      <c r="A1426" s="31" t="s">
        <v>1009</v>
      </c>
      <c r="B1426" s="36" t="n">
        <v>46143</v>
      </c>
      <c r="C1426" s="49" t="n">
        <f aca="false">DATE(YEAR(B1426),MONTH(B1426),1)</f>
        <v>46143</v>
      </c>
      <c r="D1426" s="31" t="s">
        <v>222</v>
      </c>
      <c r="E1426" s="31" t="s">
        <v>43</v>
      </c>
      <c r="F1426" s="31" t="s">
        <v>45</v>
      </c>
      <c r="G1426" s="31" t="s">
        <v>59</v>
      </c>
      <c r="H1426" s="31" t="s">
        <v>167</v>
      </c>
      <c r="I1426" s="32" t="str">
        <f aca="false">INDEX(Productos!$B$2:$B$13,MATCH($H1426,Productos!$A$2:$A$13,0))</f>
        <v>Tornillo DIN 912 M6x25 Allen zincado</v>
      </c>
      <c r="J1426" s="32" t="str">
        <f aca="false">INDEX(Productos!$C$2:$C$13,MATCH($H1426,Productos!$A$2:$A$13,0))</f>
        <v>Métrica</v>
      </c>
      <c r="K1426" s="31" t="s">
        <v>246</v>
      </c>
      <c r="L1426" s="46" t="n">
        <v>68</v>
      </c>
      <c r="M1426" s="50" t="n">
        <f aca="false">INDEX(Productos!$F$2:$F$13,MATCH($H1426,Productos!$A$2:$A$13,0))</f>
        <v>42</v>
      </c>
      <c r="N1426" s="51" t="n">
        <v>0.188</v>
      </c>
      <c r="O1426" s="52" t="n">
        <f aca="false">M1426*(1-N1426)</f>
        <v>34.104</v>
      </c>
      <c r="P1426" s="21" t="n">
        <f aca="false">L1426*O1426</f>
        <v>2319.072</v>
      </c>
      <c r="Q1426" s="50" t="n">
        <f aca="false">INDEX(Productos!$E$2:$E$13,MATCH($H1426,Productos!$A$2:$A$13,0))*INDEX(Parametros!$B$26:$B$43,MATCH($C1426,Parametros!$A$26:$A$43,0))</f>
        <v>21.6692</v>
      </c>
      <c r="R1426" s="21" t="n">
        <f aca="false">L1426*Q1426</f>
        <v>1473.5056</v>
      </c>
      <c r="S1426" s="18" t="n">
        <f aca="false">L1426*INDEX(Parametros!$B$20:$B$22,MATCH($E1426,Parametros!$A$20:$A$22,0))</f>
        <v>129.2</v>
      </c>
      <c r="T1426" s="18" t="n">
        <f aca="false">P1426*INDEX(Parametros!$B$13:$B$16,MATCH($F1426,Parametros!$A$13:$A$16,0))</f>
        <v>69.57216</v>
      </c>
      <c r="U1426" s="21" t="n">
        <f aca="false">P1426-R1426-S1426-T1426</f>
        <v>646.79424</v>
      </c>
      <c r="V1426" s="19" t="n">
        <f aca="false">IFERROR(U1426/P1426,0)</f>
        <v>0.27890218156228</v>
      </c>
      <c r="W1426" s="48" t="n">
        <f aca="false">B1426+INDEX(Parametros!$C$13:$C$16,MATCH($F1426,Parametros!$A$13:$A$16,0))</f>
        <v>46203</v>
      </c>
      <c r="X1426" s="31" t="s">
        <v>67</v>
      </c>
      <c r="Y1426" s="53" t="n">
        <f aca="false">IF(COUNTIF($A$2:$A1426,A1426)=1,1,0)</f>
        <v>1</v>
      </c>
    </row>
    <row r="1427" customFormat="false" ht="15" hidden="false" customHeight="false" outlineLevel="0" collapsed="false">
      <c r="A1427" s="31" t="s">
        <v>1010</v>
      </c>
      <c r="B1427" s="36" t="n">
        <v>46143</v>
      </c>
      <c r="C1427" s="49" t="n">
        <f aca="false">DATE(YEAR(B1427),MONTH(B1427),1)</f>
        <v>46143</v>
      </c>
      <c r="D1427" s="31" t="s">
        <v>219</v>
      </c>
      <c r="E1427" s="31" t="s">
        <v>42</v>
      </c>
      <c r="F1427" s="31" t="s">
        <v>45</v>
      </c>
      <c r="G1427" s="31" t="s">
        <v>61</v>
      </c>
      <c r="H1427" s="31" t="s">
        <v>175</v>
      </c>
      <c r="I1427" s="32" t="str">
        <f aca="false">INDEX(Productos!$B$2:$B$13,MATCH($H1427,Productos!$A$2:$A$13,0))</f>
        <v>Tirafondo madera 5x60 cabeza plana Torx</v>
      </c>
      <c r="J1427" s="32" t="str">
        <f aca="false">INDEX(Productos!$C$2:$C$13,MATCH($H1427,Productos!$A$2:$A$13,0))</f>
        <v>Madera</v>
      </c>
      <c r="K1427" s="31" t="s">
        <v>246</v>
      </c>
      <c r="L1427" s="46" t="n">
        <v>35</v>
      </c>
      <c r="M1427" s="50" t="n">
        <f aca="false">INDEX(Productos!$F$2:$F$13,MATCH($H1427,Productos!$A$2:$A$13,0))</f>
        <v>26</v>
      </c>
      <c r="N1427" s="51" t="n">
        <v>0.176</v>
      </c>
      <c r="O1427" s="52" t="n">
        <f aca="false">M1427*(1-N1427)</f>
        <v>21.424</v>
      </c>
      <c r="P1427" s="21" t="n">
        <f aca="false">L1427*O1427</f>
        <v>749.84</v>
      </c>
      <c r="Q1427" s="50" t="n">
        <f aca="false">INDEX(Productos!$E$2:$E$13,MATCH($H1427,Productos!$A$2:$A$13,0))*INDEX(Parametros!$B$26:$B$43,MATCH($C1427,Parametros!$A$26:$A$43,0))</f>
        <v>13.3196</v>
      </c>
      <c r="R1427" s="21" t="n">
        <f aca="false">L1427*Q1427</f>
        <v>466.186</v>
      </c>
      <c r="S1427" s="18" t="n">
        <f aca="false">L1427*INDEX(Parametros!$B$20:$B$22,MATCH($E1427,Parametros!$A$20:$A$22,0))</f>
        <v>84</v>
      </c>
      <c r="T1427" s="18" t="n">
        <f aca="false">P1427*INDEX(Parametros!$B$13:$B$16,MATCH($F1427,Parametros!$A$13:$A$16,0))</f>
        <v>22.4952</v>
      </c>
      <c r="U1427" s="21" t="n">
        <f aca="false">P1427-R1427-S1427-T1427</f>
        <v>177.1588</v>
      </c>
      <c r="V1427" s="19" t="n">
        <f aca="false">IFERROR(U1427/P1427,0)</f>
        <v>0.23626213592233</v>
      </c>
      <c r="W1427" s="48" t="n">
        <f aca="false">B1427+INDEX(Parametros!$C$13:$C$16,MATCH($F1427,Parametros!$A$13:$A$16,0))</f>
        <v>46203</v>
      </c>
      <c r="X1427" s="31" t="s">
        <v>67</v>
      </c>
      <c r="Y1427" s="53" t="n">
        <f aca="false">IF(COUNTIF($A$2:$A1427,A1427)=1,1,0)</f>
        <v>1</v>
      </c>
    </row>
    <row r="1428" customFormat="false" ht="15" hidden="false" customHeight="false" outlineLevel="0" collapsed="false">
      <c r="A1428" s="31" t="s">
        <v>1010</v>
      </c>
      <c r="B1428" s="36" t="n">
        <v>46143</v>
      </c>
      <c r="C1428" s="49" t="n">
        <f aca="false">DATE(YEAR(B1428),MONTH(B1428),1)</f>
        <v>46143</v>
      </c>
      <c r="D1428" s="31" t="s">
        <v>219</v>
      </c>
      <c r="E1428" s="31" t="s">
        <v>42</v>
      </c>
      <c r="F1428" s="31" t="s">
        <v>45</v>
      </c>
      <c r="G1428" s="31" t="s">
        <v>61</v>
      </c>
      <c r="H1428" s="31" t="s">
        <v>169</v>
      </c>
      <c r="I1428" s="32" t="str">
        <f aca="false">INDEX(Productos!$B$2:$B$13,MATCH($H1428,Productos!$A$2:$A$13,0))</f>
        <v>Tornillo DIN 912 M10x60 Allen inox A2</v>
      </c>
      <c r="J1428" s="32" t="str">
        <f aca="false">INDEX(Productos!$C$2:$C$13,MATCH($H1428,Productos!$A$2:$A$13,0))</f>
        <v>Inoxidable</v>
      </c>
      <c r="K1428" s="31" t="s">
        <v>246</v>
      </c>
      <c r="L1428" s="46" t="n">
        <v>56</v>
      </c>
      <c r="M1428" s="50" t="n">
        <f aca="false">INDEX(Productos!$F$2:$F$13,MATCH($H1428,Productos!$A$2:$A$13,0))</f>
        <v>79</v>
      </c>
      <c r="N1428" s="51" t="n">
        <v>0.166</v>
      </c>
      <c r="O1428" s="52" t="n">
        <f aca="false">M1428*(1-N1428)</f>
        <v>65.886</v>
      </c>
      <c r="P1428" s="21" t="n">
        <f aca="false">L1428*O1428</f>
        <v>3689.616</v>
      </c>
      <c r="Q1428" s="50" t="n">
        <f aca="false">INDEX(Productos!$E$2:$E$13,MATCH($H1428,Productos!$A$2:$A$13,0))*INDEX(Parametros!$B$26:$B$43,MATCH($C1428,Parametros!$A$26:$A$43,0))</f>
        <v>41.748</v>
      </c>
      <c r="R1428" s="21" t="n">
        <f aca="false">L1428*Q1428</f>
        <v>2337.888</v>
      </c>
      <c r="S1428" s="18" t="n">
        <f aca="false">L1428*INDEX(Parametros!$B$20:$B$22,MATCH($E1428,Parametros!$A$20:$A$22,0))</f>
        <v>134.4</v>
      </c>
      <c r="T1428" s="18" t="n">
        <f aca="false">P1428*INDEX(Parametros!$B$13:$B$16,MATCH($F1428,Parametros!$A$13:$A$16,0))</f>
        <v>110.68848</v>
      </c>
      <c r="U1428" s="21" t="n">
        <f aca="false">P1428-R1428-S1428-T1428</f>
        <v>1106.63952</v>
      </c>
      <c r="V1428" s="19" t="n">
        <f aca="false">IFERROR(U1428/P1428,0)</f>
        <v>0.299933521537201</v>
      </c>
      <c r="W1428" s="48" t="n">
        <f aca="false">B1428+INDEX(Parametros!$C$13:$C$16,MATCH($F1428,Parametros!$A$13:$A$16,0))</f>
        <v>46203</v>
      </c>
      <c r="X1428" s="31" t="s">
        <v>67</v>
      </c>
      <c r="Y1428" s="53" t="n">
        <f aca="false">IF(COUNTIF($A$2:$A1428,A1428)=1,1,0)</f>
        <v>0</v>
      </c>
    </row>
    <row r="1429" customFormat="false" ht="15" hidden="false" customHeight="false" outlineLevel="0" collapsed="false">
      <c r="A1429" s="31" t="s">
        <v>1011</v>
      </c>
      <c r="B1429" s="36" t="n">
        <v>46146</v>
      </c>
      <c r="C1429" s="49" t="n">
        <f aca="false">DATE(YEAR(B1429),MONTH(B1429),1)</f>
        <v>46143</v>
      </c>
      <c r="D1429" s="31" t="s">
        <v>197</v>
      </c>
      <c r="E1429" s="31" t="s">
        <v>41</v>
      </c>
      <c r="F1429" s="31" t="s">
        <v>46</v>
      </c>
      <c r="G1429" s="31" t="s">
        <v>58</v>
      </c>
      <c r="H1429" s="31" t="s">
        <v>171</v>
      </c>
      <c r="I1429" s="32" t="str">
        <f aca="false">INDEX(Productos!$B$2:$B$13,MATCH($H1429,Productos!$A$2:$A$13,0))</f>
        <v>Tornillo DIN 7991 M8x30 avellanado inox A2</v>
      </c>
      <c r="J1429" s="32" t="str">
        <f aca="false">INDEX(Productos!$C$2:$C$13,MATCH($H1429,Productos!$A$2:$A$13,0))</f>
        <v>Inoxidable</v>
      </c>
      <c r="K1429" s="31" t="s">
        <v>246</v>
      </c>
      <c r="L1429" s="46" t="n">
        <v>237</v>
      </c>
      <c r="M1429" s="50" t="n">
        <f aca="false">INDEX(Productos!$F$2:$F$13,MATCH($H1429,Productos!$A$2:$A$13,0))</f>
        <v>88</v>
      </c>
      <c r="N1429" s="51" t="n">
        <v>0.099</v>
      </c>
      <c r="O1429" s="52" t="n">
        <f aca="false">M1429*(1-N1429)</f>
        <v>79.288</v>
      </c>
      <c r="P1429" s="21" t="n">
        <f aca="false">L1429*O1429</f>
        <v>18791.256</v>
      </c>
      <c r="Q1429" s="50" t="n">
        <f aca="false">INDEX(Productos!$E$2:$E$13,MATCH($H1429,Productos!$A$2:$A$13,0))*INDEX(Parametros!$B$26:$B$43,MATCH($C1429,Parametros!$A$26:$A$43,0))</f>
        <v>46.221</v>
      </c>
      <c r="R1429" s="21" t="n">
        <f aca="false">L1429*Q1429</f>
        <v>10954.377</v>
      </c>
      <c r="S1429" s="18" t="n">
        <f aca="false">L1429*INDEX(Parametros!$B$20:$B$22,MATCH($E1429,Parametros!$A$20:$A$22,0))</f>
        <v>201.45</v>
      </c>
      <c r="T1429" s="18" t="n">
        <f aca="false">P1429*INDEX(Parametros!$B$13:$B$16,MATCH($F1429,Parametros!$A$13:$A$16,0))</f>
        <v>751.65024</v>
      </c>
      <c r="U1429" s="21" t="n">
        <f aca="false">P1429-R1429-S1429-T1429</f>
        <v>6883.77876</v>
      </c>
      <c r="V1429" s="19" t="n">
        <f aca="false">IFERROR(U1429/P1429,0)</f>
        <v>0.366328826556352</v>
      </c>
      <c r="W1429" s="48" t="n">
        <f aca="false">B1429+INDEX(Parametros!$C$13:$C$16,MATCH($F1429,Parametros!$A$13:$A$16,0))</f>
        <v>46221</v>
      </c>
      <c r="X1429" s="31" t="s">
        <v>67</v>
      </c>
      <c r="Y1429" s="53" t="n">
        <f aca="false">IF(COUNTIF($A$2:$A1429,A1429)=1,1,0)</f>
        <v>1</v>
      </c>
    </row>
    <row r="1430" customFormat="false" ht="15" hidden="false" customHeight="false" outlineLevel="0" collapsed="false">
      <c r="A1430" s="31" t="s">
        <v>1011</v>
      </c>
      <c r="B1430" s="36" t="n">
        <v>46146</v>
      </c>
      <c r="C1430" s="49" t="n">
        <f aca="false">DATE(YEAR(B1430),MONTH(B1430),1)</f>
        <v>46143</v>
      </c>
      <c r="D1430" s="31" t="s">
        <v>197</v>
      </c>
      <c r="E1430" s="31" t="s">
        <v>41</v>
      </c>
      <c r="F1430" s="31" t="s">
        <v>46</v>
      </c>
      <c r="G1430" s="31" t="s">
        <v>58</v>
      </c>
      <c r="H1430" s="31" t="s">
        <v>181</v>
      </c>
      <c r="I1430" s="32" t="str">
        <f aca="false">INDEX(Productos!$B$2:$B$13,MATCH($H1430,Productos!$A$2:$A$13,0))</f>
        <v>Autotaladrante 5,5x55 punta broca</v>
      </c>
      <c r="J1430" s="32" t="str">
        <f aca="false">INDEX(Productos!$C$2:$C$13,MATCH($H1430,Productos!$A$2:$A$13,0))</f>
        <v>Autotaladrante</v>
      </c>
      <c r="K1430" s="31" t="s">
        <v>246</v>
      </c>
      <c r="L1430" s="46" t="n">
        <v>266</v>
      </c>
      <c r="M1430" s="50" t="n">
        <f aca="false">INDEX(Productos!$F$2:$F$13,MATCH($H1430,Productos!$A$2:$A$13,0))</f>
        <v>39</v>
      </c>
      <c r="N1430" s="51" t="n">
        <v>0.124</v>
      </c>
      <c r="O1430" s="52" t="n">
        <f aca="false">M1430*(1-N1430)</f>
        <v>34.164</v>
      </c>
      <c r="P1430" s="21" t="n">
        <f aca="false">L1430*O1430</f>
        <v>9087.624</v>
      </c>
      <c r="Q1430" s="50" t="n">
        <f aca="false">INDEX(Productos!$E$2:$E$13,MATCH($H1430,Productos!$A$2:$A$13,0))*INDEX(Parametros!$B$26:$B$43,MATCH($C1430,Parametros!$A$26:$A$43,0))</f>
        <v>20.1782</v>
      </c>
      <c r="R1430" s="21" t="n">
        <f aca="false">L1430*Q1430</f>
        <v>5367.4012</v>
      </c>
      <c r="S1430" s="18" t="n">
        <f aca="false">L1430*INDEX(Parametros!$B$20:$B$22,MATCH($E1430,Parametros!$A$20:$A$22,0))</f>
        <v>226.1</v>
      </c>
      <c r="T1430" s="18" t="n">
        <f aca="false">P1430*INDEX(Parametros!$B$13:$B$16,MATCH($F1430,Parametros!$A$13:$A$16,0))</f>
        <v>363.50496</v>
      </c>
      <c r="U1430" s="21" t="n">
        <f aca="false">P1430-R1430-S1430-T1430</f>
        <v>3130.61784</v>
      </c>
      <c r="V1430" s="19" t="n">
        <f aca="false">IFERROR(U1430/P1430,0)</f>
        <v>0.344492448191078</v>
      </c>
      <c r="W1430" s="48" t="n">
        <f aca="false">B1430+INDEX(Parametros!$C$13:$C$16,MATCH($F1430,Parametros!$A$13:$A$16,0))</f>
        <v>46221</v>
      </c>
      <c r="X1430" s="31" t="s">
        <v>67</v>
      </c>
      <c r="Y1430" s="53" t="n">
        <f aca="false">IF(COUNTIF($A$2:$A1430,A1430)=1,1,0)</f>
        <v>0</v>
      </c>
    </row>
    <row r="1431" customFormat="false" ht="15" hidden="false" customHeight="false" outlineLevel="0" collapsed="false">
      <c r="A1431" s="31" t="s">
        <v>1012</v>
      </c>
      <c r="B1431" s="36" t="n">
        <v>46146</v>
      </c>
      <c r="C1431" s="49" t="n">
        <f aca="false">DATE(YEAR(B1431),MONTH(B1431),1)</f>
        <v>46143</v>
      </c>
      <c r="D1431" s="31" t="s">
        <v>221</v>
      </c>
      <c r="E1431" s="31" t="s">
        <v>43</v>
      </c>
      <c r="F1431" s="31" t="s">
        <v>45</v>
      </c>
      <c r="G1431" s="31" t="s">
        <v>59</v>
      </c>
      <c r="H1431" s="31" t="s">
        <v>169</v>
      </c>
      <c r="I1431" s="32" t="str">
        <f aca="false">INDEX(Productos!$B$2:$B$13,MATCH($H1431,Productos!$A$2:$A$13,0))</f>
        <v>Tornillo DIN 912 M10x60 Allen inox A2</v>
      </c>
      <c r="J1431" s="32" t="str">
        <f aca="false">INDEX(Productos!$C$2:$C$13,MATCH($H1431,Productos!$A$2:$A$13,0))</f>
        <v>Inoxidable</v>
      </c>
      <c r="K1431" s="31" t="s">
        <v>246</v>
      </c>
      <c r="L1431" s="46" t="n">
        <v>54</v>
      </c>
      <c r="M1431" s="50" t="n">
        <f aca="false">INDEX(Productos!$F$2:$F$13,MATCH($H1431,Productos!$A$2:$A$13,0))</f>
        <v>79</v>
      </c>
      <c r="N1431" s="51" t="n">
        <v>0.148</v>
      </c>
      <c r="O1431" s="52" t="n">
        <f aca="false">M1431*(1-N1431)</f>
        <v>67.308</v>
      </c>
      <c r="P1431" s="21" t="n">
        <f aca="false">L1431*O1431</f>
        <v>3634.632</v>
      </c>
      <c r="Q1431" s="50" t="n">
        <f aca="false">INDEX(Productos!$E$2:$E$13,MATCH($H1431,Productos!$A$2:$A$13,0))*INDEX(Parametros!$B$26:$B$43,MATCH($C1431,Parametros!$A$26:$A$43,0))</f>
        <v>41.748</v>
      </c>
      <c r="R1431" s="21" t="n">
        <f aca="false">L1431*Q1431</f>
        <v>2254.392</v>
      </c>
      <c r="S1431" s="18" t="n">
        <f aca="false">L1431*INDEX(Parametros!$B$20:$B$22,MATCH($E1431,Parametros!$A$20:$A$22,0))</f>
        <v>102.6</v>
      </c>
      <c r="T1431" s="18" t="n">
        <f aca="false">P1431*INDEX(Parametros!$B$13:$B$16,MATCH($F1431,Parametros!$A$13:$A$16,0))</f>
        <v>109.03896</v>
      </c>
      <c r="U1431" s="21" t="n">
        <f aca="false">P1431-R1431-S1431-T1431</f>
        <v>1168.60104</v>
      </c>
      <c r="V1431" s="19" t="n">
        <f aca="false">IFERROR(U1431/P1431,0)</f>
        <v>0.321518393058775</v>
      </c>
      <c r="W1431" s="48" t="n">
        <f aca="false">B1431+INDEX(Parametros!$C$13:$C$16,MATCH($F1431,Parametros!$A$13:$A$16,0))</f>
        <v>46206</v>
      </c>
      <c r="X1431" s="31" t="s">
        <v>67</v>
      </c>
      <c r="Y1431" s="53" t="n">
        <f aca="false">IF(COUNTIF($A$2:$A1431,A1431)=1,1,0)</f>
        <v>1</v>
      </c>
    </row>
    <row r="1432" customFormat="false" ht="15" hidden="false" customHeight="false" outlineLevel="0" collapsed="false">
      <c r="A1432" s="31" t="s">
        <v>1012</v>
      </c>
      <c r="B1432" s="36" t="n">
        <v>46146</v>
      </c>
      <c r="C1432" s="49" t="n">
        <f aca="false">DATE(YEAR(B1432),MONTH(B1432),1)</f>
        <v>46143</v>
      </c>
      <c r="D1432" s="31" t="s">
        <v>221</v>
      </c>
      <c r="E1432" s="31" t="s">
        <v>43</v>
      </c>
      <c r="F1432" s="31" t="s">
        <v>45</v>
      </c>
      <c r="G1432" s="31" t="s">
        <v>59</v>
      </c>
      <c r="H1432" s="31" t="s">
        <v>181</v>
      </c>
      <c r="I1432" s="32" t="str">
        <f aca="false">INDEX(Productos!$B$2:$B$13,MATCH($H1432,Productos!$A$2:$A$13,0))</f>
        <v>Autotaladrante 5,5x55 punta broca</v>
      </c>
      <c r="J1432" s="32" t="str">
        <f aca="false">INDEX(Productos!$C$2:$C$13,MATCH($H1432,Productos!$A$2:$A$13,0))</f>
        <v>Autotaladrante</v>
      </c>
      <c r="K1432" s="31" t="s">
        <v>246</v>
      </c>
      <c r="L1432" s="46" t="n">
        <v>104</v>
      </c>
      <c r="M1432" s="50" t="n">
        <f aca="false">INDEX(Productos!$F$2:$F$13,MATCH($H1432,Productos!$A$2:$A$13,0))</f>
        <v>39</v>
      </c>
      <c r="N1432" s="51" t="n">
        <v>0.149</v>
      </c>
      <c r="O1432" s="52" t="n">
        <f aca="false">M1432*(1-N1432)</f>
        <v>33.189</v>
      </c>
      <c r="P1432" s="21" t="n">
        <f aca="false">L1432*O1432</f>
        <v>3451.656</v>
      </c>
      <c r="Q1432" s="50" t="n">
        <f aca="false">INDEX(Productos!$E$2:$E$13,MATCH($H1432,Productos!$A$2:$A$13,0))*INDEX(Parametros!$B$26:$B$43,MATCH($C1432,Parametros!$A$26:$A$43,0))</f>
        <v>20.1782</v>
      </c>
      <c r="R1432" s="21" t="n">
        <f aca="false">L1432*Q1432</f>
        <v>2098.5328</v>
      </c>
      <c r="S1432" s="18" t="n">
        <f aca="false">L1432*INDEX(Parametros!$B$20:$B$22,MATCH($E1432,Parametros!$A$20:$A$22,0))</f>
        <v>197.6</v>
      </c>
      <c r="T1432" s="18" t="n">
        <f aca="false">P1432*INDEX(Parametros!$B$13:$B$16,MATCH($F1432,Parametros!$A$13:$A$16,0))</f>
        <v>103.54968</v>
      </c>
      <c r="U1432" s="21" t="n">
        <f aca="false">P1432-R1432-S1432-T1432</f>
        <v>1051.97352</v>
      </c>
      <c r="V1432" s="19" t="n">
        <f aca="false">IFERROR(U1432/P1432,0)</f>
        <v>0.304773569556178</v>
      </c>
      <c r="W1432" s="48" t="n">
        <f aca="false">B1432+INDEX(Parametros!$C$13:$C$16,MATCH($F1432,Parametros!$A$13:$A$16,0))</f>
        <v>46206</v>
      </c>
      <c r="X1432" s="31" t="s">
        <v>67</v>
      </c>
      <c r="Y1432" s="53" t="n">
        <f aca="false">IF(COUNTIF($A$2:$A1432,A1432)=1,1,0)</f>
        <v>0</v>
      </c>
    </row>
    <row r="1433" customFormat="false" ht="15" hidden="false" customHeight="false" outlineLevel="0" collapsed="false">
      <c r="A1433" s="31" t="s">
        <v>1013</v>
      </c>
      <c r="B1433" s="36" t="n">
        <v>46146</v>
      </c>
      <c r="C1433" s="49" t="n">
        <f aca="false">DATE(YEAR(B1433),MONTH(B1433),1)</f>
        <v>46143</v>
      </c>
      <c r="D1433" s="31" t="s">
        <v>223</v>
      </c>
      <c r="E1433" s="31" t="s">
        <v>43</v>
      </c>
      <c r="F1433" s="31" t="s">
        <v>46</v>
      </c>
      <c r="G1433" s="31" t="s">
        <v>59</v>
      </c>
      <c r="H1433" s="31" t="s">
        <v>167</v>
      </c>
      <c r="I1433" s="32" t="str">
        <f aca="false">INDEX(Productos!$B$2:$B$13,MATCH($H1433,Productos!$A$2:$A$13,0))</f>
        <v>Tornillo DIN 912 M6x25 Allen zincado</v>
      </c>
      <c r="J1433" s="32" t="str">
        <f aca="false">INDEX(Productos!$C$2:$C$13,MATCH($H1433,Productos!$A$2:$A$13,0))</f>
        <v>Métrica</v>
      </c>
      <c r="K1433" s="31" t="s">
        <v>246</v>
      </c>
      <c r="L1433" s="46" t="n">
        <v>26</v>
      </c>
      <c r="M1433" s="50" t="n">
        <f aca="false">INDEX(Productos!$F$2:$F$13,MATCH($H1433,Productos!$A$2:$A$13,0))</f>
        <v>42</v>
      </c>
      <c r="N1433" s="51" t="n">
        <v>0.106</v>
      </c>
      <c r="O1433" s="52" t="n">
        <f aca="false">M1433*(1-N1433)</f>
        <v>37.548</v>
      </c>
      <c r="P1433" s="21" t="n">
        <f aca="false">L1433*O1433</f>
        <v>976.248</v>
      </c>
      <c r="Q1433" s="50" t="n">
        <f aca="false">INDEX(Productos!$E$2:$E$13,MATCH($H1433,Productos!$A$2:$A$13,0))*INDEX(Parametros!$B$26:$B$43,MATCH($C1433,Parametros!$A$26:$A$43,0))</f>
        <v>21.6692</v>
      </c>
      <c r="R1433" s="21" t="n">
        <f aca="false">L1433*Q1433</f>
        <v>563.3992</v>
      </c>
      <c r="S1433" s="18" t="n">
        <f aca="false">L1433*INDEX(Parametros!$B$20:$B$22,MATCH($E1433,Parametros!$A$20:$A$22,0))</f>
        <v>49.4</v>
      </c>
      <c r="T1433" s="18" t="n">
        <f aca="false">P1433*INDEX(Parametros!$B$13:$B$16,MATCH($F1433,Parametros!$A$13:$A$16,0))</f>
        <v>39.04992</v>
      </c>
      <c r="U1433" s="21" t="n">
        <f aca="false">P1433-R1433-S1433-T1433</f>
        <v>324.39888</v>
      </c>
      <c r="V1433" s="19" t="n">
        <f aca="false">IFERROR(U1433/P1433,0)</f>
        <v>0.33229146692234</v>
      </c>
      <c r="W1433" s="48" t="n">
        <f aca="false">B1433+INDEX(Parametros!$C$13:$C$16,MATCH($F1433,Parametros!$A$13:$A$16,0))</f>
        <v>46221</v>
      </c>
      <c r="X1433" s="31" t="s">
        <v>67</v>
      </c>
      <c r="Y1433" s="53" t="n">
        <f aca="false">IF(COUNTIF($A$2:$A1433,A1433)=1,1,0)</f>
        <v>1</v>
      </c>
    </row>
    <row r="1434" customFormat="false" ht="15" hidden="false" customHeight="false" outlineLevel="0" collapsed="false">
      <c r="A1434" s="31" t="s">
        <v>1014</v>
      </c>
      <c r="B1434" s="36" t="n">
        <v>46146</v>
      </c>
      <c r="C1434" s="49" t="n">
        <f aca="false">DATE(YEAR(B1434),MONTH(B1434),1)</f>
        <v>46143</v>
      </c>
      <c r="D1434" s="31" t="s">
        <v>196</v>
      </c>
      <c r="E1434" s="31" t="s">
        <v>41</v>
      </c>
      <c r="F1434" s="31" t="s">
        <v>47</v>
      </c>
      <c r="G1434" s="31" t="s">
        <v>58</v>
      </c>
      <c r="H1434" s="31" t="s">
        <v>173</v>
      </c>
      <c r="I1434" s="32" t="str">
        <f aca="false">INDEX(Productos!$B$2:$B$13,MATCH($H1434,Productos!$A$2:$A$13,0))</f>
        <v>Tornillo DIN 933 M12x70 clase 8.8</v>
      </c>
      <c r="J1434" s="32" t="str">
        <f aca="false">INDEX(Productos!$C$2:$C$13,MATCH($H1434,Productos!$A$2:$A$13,0))</f>
        <v>Métrica</v>
      </c>
      <c r="K1434" s="31" t="s">
        <v>246</v>
      </c>
      <c r="L1434" s="46" t="n">
        <v>18</v>
      </c>
      <c r="M1434" s="50" t="n">
        <f aca="false">INDEX(Productos!$F$2:$F$13,MATCH($H1434,Productos!$A$2:$A$13,0))</f>
        <v>64</v>
      </c>
      <c r="N1434" s="51" t="n">
        <v>0.037</v>
      </c>
      <c r="O1434" s="52" t="n">
        <f aca="false">M1434*(1-N1434)</f>
        <v>61.632</v>
      </c>
      <c r="P1434" s="21" t="n">
        <f aca="false">L1434*O1434</f>
        <v>1109.376</v>
      </c>
      <c r="Q1434" s="50" t="n">
        <f aca="false">INDEX(Productos!$E$2:$E$13,MATCH($H1434,Productos!$A$2:$A$13,0))*INDEX(Parametros!$B$26:$B$43,MATCH($C1434,Parametros!$A$26:$A$43,0))</f>
        <v>33.299</v>
      </c>
      <c r="R1434" s="21" t="n">
        <f aca="false">L1434*Q1434</f>
        <v>599.382</v>
      </c>
      <c r="S1434" s="18" t="n">
        <f aca="false">L1434*INDEX(Parametros!$B$20:$B$22,MATCH($E1434,Parametros!$A$20:$A$22,0))</f>
        <v>15.3</v>
      </c>
      <c r="T1434" s="18" t="n">
        <f aca="false">P1434*INDEX(Parametros!$B$13:$B$16,MATCH($F1434,Parametros!$A$13:$A$16,0))</f>
        <v>38.82816</v>
      </c>
      <c r="U1434" s="21" t="n">
        <f aca="false">P1434-R1434-S1434-T1434</f>
        <v>455.86584</v>
      </c>
      <c r="V1434" s="19" t="n">
        <f aca="false">IFERROR(U1434/P1434,0)</f>
        <v>0.410920950155763</v>
      </c>
      <c r="W1434" s="48" t="n">
        <f aca="false">B1434+INDEX(Parametros!$C$13:$C$16,MATCH($F1434,Parametros!$A$13:$A$16,0))</f>
        <v>46191</v>
      </c>
      <c r="X1434" s="31" t="s">
        <v>69</v>
      </c>
      <c r="Y1434" s="53" t="n">
        <f aca="false">IF(COUNTIF($A$2:$A1434,A1434)=1,1,0)</f>
        <v>1</v>
      </c>
    </row>
    <row r="1435" customFormat="false" ht="15" hidden="false" customHeight="false" outlineLevel="0" collapsed="false">
      <c r="A1435" s="31" t="s">
        <v>1014</v>
      </c>
      <c r="B1435" s="36" t="n">
        <v>46146</v>
      </c>
      <c r="C1435" s="49" t="n">
        <f aca="false">DATE(YEAR(B1435),MONTH(B1435),1)</f>
        <v>46143</v>
      </c>
      <c r="D1435" s="31" t="s">
        <v>196</v>
      </c>
      <c r="E1435" s="31" t="s">
        <v>41</v>
      </c>
      <c r="F1435" s="31" t="s">
        <v>47</v>
      </c>
      <c r="G1435" s="31" t="s">
        <v>58</v>
      </c>
      <c r="H1435" s="31" t="s">
        <v>169</v>
      </c>
      <c r="I1435" s="32" t="str">
        <f aca="false">INDEX(Productos!$B$2:$B$13,MATCH($H1435,Productos!$A$2:$A$13,0))</f>
        <v>Tornillo DIN 912 M10x60 Allen inox A2</v>
      </c>
      <c r="J1435" s="32" t="str">
        <f aca="false">INDEX(Productos!$C$2:$C$13,MATCH($H1435,Productos!$A$2:$A$13,0))</f>
        <v>Inoxidable</v>
      </c>
      <c r="K1435" s="31" t="s">
        <v>246</v>
      </c>
      <c r="L1435" s="46" t="n">
        <v>54</v>
      </c>
      <c r="M1435" s="50" t="n">
        <f aca="false">INDEX(Productos!$F$2:$F$13,MATCH($H1435,Productos!$A$2:$A$13,0))</f>
        <v>79</v>
      </c>
      <c r="N1435" s="51" t="n">
        <v>0.09</v>
      </c>
      <c r="O1435" s="52" t="n">
        <f aca="false">M1435*(1-N1435)</f>
        <v>71.89</v>
      </c>
      <c r="P1435" s="21" t="n">
        <f aca="false">L1435*O1435</f>
        <v>3882.06</v>
      </c>
      <c r="Q1435" s="50" t="n">
        <f aca="false">INDEX(Productos!$E$2:$E$13,MATCH($H1435,Productos!$A$2:$A$13,0))*INDEX(Parametros!$B$26:$B$43,MATCH($C1435,Parametros!$A$26:$A$43,0))</f>
        <v>41.748</v>
      </c>
      <c r="R1435" s="21" t="n">
        <f aca="false">L1435*Q1435</f>
        <v>2254.392</v>
      </c>
      <c r="S1435" s="18" t="n">
        <f aca="false">L1435*INDEX(Parametros!$B$20:$B$22,MATCH($E1435,Parametros!$A$20:$A$22,0))</f>
        <v>45.9</v>
      </c>
      <c r="T1435" s="18" t="n">
        <f aca="false">P1435*INDEX(Parametros!$B$13:$B$16,MATCH($F1435,Parametros!$A$13:$A$16,0))</f>
        <v>135.8721</v>
      </c>
      <c r="U1435" s="21" t="n">
        <f aca="false">P1435-R1435-S1435-T1435</f>
        <v>1445.8959</v>
      </c>
      <c r="V1435" s="19" t="n">
        <f aca="false">IFERROR(U1435/P1435,0)</f>
        <v>0.372455835303937</v>
      </c>
      <c r="W1435" s="48" t="n">
        <f aca="false">B1435+INDEX(Parametros!$C$13:$C$16,MATCH($F1435,Parametros!$A$13:$A$16,0))</f>
        <v>46191</v>
      </c>
      <c r="X1435" s="31" t="s">
        <v>67</v>
      </c>
      <c r="Y1435" s="53" t="n">
        <f aca="false">IF(COUNTIF($A$2:$A1435,A1435)=1,1,0)</f>
        <v>0</v>
      </c>
    </row>
    <row r="1436" customFormat="false" ht="15" hidden="false" customHeight="false" outlineLevel="0" collapsed="false">
      <c r="A1436" s="31" t="s">
        <v>1015</v>
      </c>
      <c r="B1436" s="36" t="n">
        <v>46146</v>
      </c>
      <c r="C1436" s="49" t="n">
        <f aca="false">DATE(YEAR(B1436),MONTH(B1436),1)</f>
        <v>46143</v>
      </c>
      <c r="D1436" s="31" t="s">
        <v>192</v>
      </c>
      <c r="E1436" s="31" t="s">
        <v>41</v>
      </c>
      <c r="F1436" s="31" t="s">
        <v>45</v>
      </c>
      <c r="G1436" s="31" t="s">
        <v>58</v>
      </c>
      <c r="H1436" s="31" t="s">
        <v>165</v>
      </c>
      <c r="I1436" s="32" t="str">
        <f aca="false">INDEX(Productos!$B$2:$B$13,MATCH($H1436,Productos!$A$2:$A$13,0))</f>
        <v>Tornillo DIN 933 M8x40 rosca completa zincado</v>
      </c>
      <c r="J1436" s="32" t="str">
        <f aca="false">INDEX(Productos!$C$2:$C$13,MATCH($H1436,Productos!$A$2:$A$13,0))</f>
        <v>Métrica</v>
      </c>
      <c r="K1436" s="31" t="s">
        <v>246</v>
      </c>
      <c r="L1436" s="46" t="n">
        <v>39</v>
      </c>
      <c r="M1436" s="50" t="n">
        <f aca="false">INDEX(Productos!$F$2:$F$13,MATCH($H1436,Productos!$A$2:$A$13,0))</f>
        <v>37.5</v>
      </c>
      <c r="N1436" s="51" t="n">
        <v>0.168</v>
      </c>
      <c r="O1436" s="52" t="n">
        <f aca="false">M1436*(1-N1436)</f>
        <v>31.2</v>
      </c>
      <c r="P1436" s="21" t="n">
        <f aca="false">L1436*O1436</f>
        <v>1216.8</v>
      </c>
      <c r="Q1436" s="50" t="n">
        <f aca="false">INDEX(Productos!$E$2:$E$13,MATCH($H1436,Productos!$A$2:$A$13,0))*INDEX(Parametros!$B$26:$B$43,MATCH($C1436,Parametros!$A$26:$A$43,0))</f>
        <v>19.2836</v>
      </c>
      <c r="R1436" s="21" t="n">
        <f aca="false">L1436*Q1436</f>
        <v>752.0604</v>
      </c>
      <c r="S1436" s="18" t="n">
        <f aca="false">L1436*INDEX(Parametros!$B$20:$B$22,MATCH($E1436,Parametros!$A$20:$A$22,0))</f>
        <v>33.15</v>
      </c>
      <c r="T1436" s="18" t="n">
        <f aca="false">P1436*INDEX(Parametros!$B$13:$B$16,MATCH($F1436,Parametros!$A$13:$A$16,0))</f>
        <v>36.504</v>
      </c>
      <c r="U1436" s="21" t="n">
        <f aca="false">P1436-R1436-S1436-T1436</f>
        <v>395.0856</v>
      </c>
      <c r="V1436" s="19" t="n">
        <f aca="false">IFERROR(U1436/P1436,0)</f>
        <v>0.324692307692308</v>
      </c>
      <c r="W1436" s="48" t="n">
        <f aca="false">B1436+INDEX(Parametros!$C$13:$C$16,MATCH($F1436,Parametros!$A$13:$A$16,0))</f>
        <v>46206</v>
      </c>
      <c r="X1436" s="31" t="s">
        <v>69</v>
      </c>
      <c r="Y1436" s="53" t="n">
        <f aca="false">IF(COUNTIF($A$2:$A1436,A1436)=1,1,0)</f>
        <v>1</v>
      </c>
    </row>
    <row r="1437" customFormat="false" ht="15" hidden="false" customHeight="false" outlineLevel="0" collapsed="false">
      <c r="A1437" s="31" t="s">
        <v>1016</v>
      </c>
      <c r="B1437" s="36" t="n">
        <v>46146</v>
      </c>
      <c r="C1437" s="49" t="n">
        <f aca="false">DATE(YEAR(B1437),MONTH(B1437),1)</f>
        <v>46143</v>
      </c>
      <c r="D1437" s="31" t="s">
        <v>199</v>
      </c>
      <c r="E1437" s="31" t="s">
        <v>41</v>
      </c>
      <c r="F1437" s="31" t="s">
        <v>45</v>
      </c>
      <c r="G1437" s="31" t="s">
        <v>58</v>
      </c>
      <c r="H1437" s="31" t="s">
        <v>169</v>
      </c>
      <c r="I1437" s="32" t="str">
        <f aca="false">INDEX(Productos!$B$2:$B$13,MATCH($H1437,Productos!$A$2:$A$13,0))</f>
        <v>Tornillo DIN 912 M10x60 Allen inox A2</v>
      </c>
      <c r="J1437" s="32" t="str">
        <f aca="false">INDEX(Productos!$C$2:$C$13,MATCH($H1437,Productos!$A$2:$A$13,0))</f>
        <v>Inoxidable</v>
      </c>
      <c r="K1437" s="31" t="s">
        <v>246</v>
      </c>
      <c r="L1437" s="46" t="n">
        <v>142</v>
      </c>
      <c r="M1437" s="50" t="n">
        <f aca="false">INDEX(Productos!$F$2:$F$13,MATCH($H1437,Productos!$A$2:$A$13,0))</f>
        <v>79</v>
      </c>
      <c r="N1437" s="51" t="n">
        <v>0.121</v>
      </c>
      <c r="O1437" s="52" t="n">
        <f aca="false">M1437*(1-N1437)</f>
        <v>69.441</v>
      </c>
      <c r="P1437" s="21" t="n">
        <f aca="false">L1437*O1437</f>
        <v>9860.622</v>
      </c>
      <c r="Q1437" s="50" t="n">
        <f aca="false">INDEX(Productos!$E$2:$E$13,MATCH($H1437,Productos!$A$2:$A$13,0))*INDEX(Parametros!$B$26:$B$43,MATCH($C1437,Parametros!$A$26:$A$43,0))</f>
        <v>41.748</v>
      </c>
      <c r="R1437" s="21" t="n">
        <f aca="false">L1437*Q1437</f>
        <v>5928.216</v>
      </c>
      <c r="S1437" s="18" t="n">
        <f aca="false">L1437*INDEX(Parametros!$B$20:$B$22,MATCH($E1437,Parametros!$A$20:$A$22,0))</f>
        <v>120.7</v>
      </c>
      <c r="T1437" s="18" t="n">
        <f aca="false">P1437*INDEX(Parametros!$B$13:$B$16,MATCH($F1437,Parametros!$A$13:$A$16,0))</f>
        <v>295.81866</v>
      </c>
      <c r="U1437" s="21" t="n">
        <f aca="false">P1437-R1437-S1437-T1437</f>
        <v>3515.88734</v>
      </c>
      <c r="V1437" s="19" t="n">
        <f aca="false">IFERROR(U1437/P1437,0)</f>
        <v>0.356558373295316</v>
      </c>
      <c r="W1437" s="48" t="n">
        <f aca="false">B1437+INDEX(Parametros!$C$13:$C$16,MATCH($F1437,Parametros!$A$13:$A$16,0))</f>
        <v>46206</v>
      </c>
      <c r="X1437" s="31" t="s">
        <v>67</v>
      </c>
      <c r="Y1437" s="53" t="n">
        <f aca="false">IF(COUNTIF($A$2:$A1437,A1437)=1,1,0)</f>
        <v>1</v>
      </c>
    </row>
    <row r="1438" customFormat="false" ht="15" hidden="false" customHeight="false" outlineLevel="0" collapsed="false">
      <c r="A1438" s="31" t="s">
        <v>1017</v>
      </c>
      <c r="B1438" s="36" t="n">
        <v>46146</v>
      </c>
      <c r="C1438" s="49" t="n">
        <f aca="false">DATE(YEAR(B1438),MONTH(B1438),1)</f>
        <v>46143</v>
      </c>
      <c r="D1438" s="31" t="s">
        <v>213</v>
      </c>
      <c r="E1438" s="31" t="s">
        <v>42</v>
      </c>
      <c r="F1438" s="31" t="s">
        <v>46</v>
      </c>
      <c r="G1438" s="31" t="s">
        <v>61</v>
      </c>
      <c r="H1438" s="31" t="s">
        <v>171</v>
      </c>
      <c r="I1438" s="32" t="str">
        <f aca="false">INDEX(Productos!$B$2:$B$13,MATCH($H1438,Productos!$A$2:$A$13,0))</f>
        <v>Tornillo DIN 7991 M8x30 avellanado inox A2</v>
      </c>
      <c r="J1438" s="32" t="str">
        <f aca="false">INDEX(Productos!$C$2:$C$13,MATCH($H1438,Productos!$A$2:$A$13,0))</f>
        <v>Inoxidable</v>
      </c>
      <c r="K1438" s="31" t="s">
        <v>275</v>
      </c>
      <c r="L1438" s="46" t="n">
        <v>-21</v>
      </c>
      <c r="M1438" s="50" t="n">
        <f aca="false">INDEX(Productos!$F$2:$F$13,MATCH($H1438,Productos!$A$2:$A$13,0))</f>
        <v>88</v>
      </c>
      <c r="N1438" s="51" t="n">
        <v>0.116</v>
      </c>
      <c r="O1438" s="52" t="n">
        <f aca="false">M1438*(1-N1438)</f>
        <v>77.792</v>
      </c>
      <c r="P1438" s="21" t="n">
        <f aca="false">L1438*O1438</f>
        <v>-1633.632</v>
      </c>
      <c r="Q1438" s="50" t="n">
        <f aca="false">INDEX(Productos!$E$2:$E$13,MATCH($H1438,Productos!$A$2:$A$13,0))*INDEX(Parametros!$B$26:$B$43,MATCH($C1438,Parametros!$A$26:$A$43,0))</f>
        <v>46.221</v>
      </c>
      <c r="R1438" s="21" t="n">
        <f aca="false">L1438*Q1438</f>
        <v>-970.641</v>
      </c>
      <c r="S1438" s="18" t="n">
        <f aca="false">L1438*INDEX(Parametros!$B$20:$B$22,MATCH($E1438,Parametros!$A$20:$A$22,0))</f>
        <v>-50.4</v>
      </c>
      <c r="T1438" s="18" t="n">
        <f aca="false">P1438*INDEX(Parametros!$B$13:$B$16,MATCH($F1438,Parametros!$A$13:$A$16,0))</f>
        <v>-65.34528</v>
      </c>
      <c r="U1438" s="21" t="n">
        <f aca="false">P1438-R1438-S1438-T1438</f>
        <v>-547.24572</v>
      </c>
      <c r="V1438" s="19" t="n">
        <f aca="false">IFERROR(U1438/P1438,0)</f>
        <v>0.334987145207734</v>
      </c>
      <c r="W1438" s="48" t="n">
        <f aca="false">B1438+INDEX(Parametros!$C$13:$C$16,MATCH($F1438,Parametros!$A$13:$A$16,0))</f>
        <v>46221</v>
      </c>
      <c r="X1438" s="31" t="s">
        <v>67</v>
      </c>
      <c r="Y1438" s="53" t="n">
        <f aca="false">IF(COUNTIF($A$2:$A1438,A1438)=1,1,0)</f>
        <v>1</v>
      </c>
    </row>
    <row r="1439" customFormat="false" ht="15" hidden="false" customHeight="false" outlineLevel="0" collapsed="false">
      <c r="A1439" s="31" t="s">
        <v>1017</v>
      </c>
      <c r="B1439" s="36" t="n">
        <v>46146</v>
      </c>
      <c r="C1439" s="49" t="n">
        <f aca="false">DATE(YEAR(B1439),MONTH(B1439),1)</f>
        <v>46143</v>
      </c>
      <c r="D1439" s="31" t="s">
        <v>213</v>
      </c>
      <c r="E1439" s="31" t="s">
        <v>42</v>
      </c>
      <c r="F1439" s="31" t="s">
        <v>46</v>
      </c>
      <c r="G1439" s="31" t="s">
        <v>61</v>
      </c>
      <c r="H1439" s="31" t="s">
        <v>165</v>
      </c>
      <c r="I1439" s="32" t="str">
        <f aca="false">INDEX(Productos!$B$2:$B$13,MATCH($H1439,Productos!$A$2:$A$13,0))</f>
        <v>Tornillo DIN 933 M8x40 rosca completa zincado</v>
      </c>
      <c r="J1439" s="32" t="str">
        <f aca="false">INDEX(Productos!$C$2:$C$13,MATCH($H1439,Productos!$A$2:$A$13,0))</f>
        <v>Métrica</v>
      </c>
      <c r="K1439" s="31" t="s">
        <v>275</v>
      </c>
      <c r="L1439" s="46" t="n">
        <v>-26</v>
      </c>
      <c r="M1439" s="50" t="n">
        <f aca="false">INDEX(Productos!$F$2:$F$13,MATCH($H1439,Productos!$A$2:$A$13,0))</f>
        <v>37.5</v>
      </c>
      <c r="N1439" s="51" t="n">
        <v>0.148</v>
      </c>
      <c r="O1439" s="52" t="n">
        <f aca="false">M1439*(1-N1439)</f>
        <v>31.95</v>
      </c>
      <c r="P1439" s="21" t="n">
        <f aca="false">L1439*O1439</f>
        <v>-830.7</v>
      </c>
      <c r="Q1439" s="50" t="n">
        <f aca="false">INDEX(Productos!$E$2:$E$13,MATCH($H1439,Productos!$A$2:$A$13,0))*INDEX(Parametros!$B$26:$B$43,MATCH($C1439,Parametros!$A$26:$A$43,0))</f>
        <v>19.2836</v>
      </c>
      <c r="R1439" s="21" t="n">
        <f aca="false">L1439*Q1439</f>
        <v>-501.3736</v>
      </c>
      <c r="S1439" s="18" t="n">
        <f aca="false">L1439*INDEX(Parametros!$B$20:$B$22,MATCH($E1439,Parametros!$A$20:$A$22,0))</f>
        <v>-62.4</v>
      </c>
      <c r="T1439" s="18" t="n">
        <f aca="false">P1439*INDEX(Parametros!$B$13:$B$16,MATCH($F1439,Parametros!$A$13:$A$16,0))</f>
        <v>-33.228</v>
      </c>
      <c r="U1439" s="21" t="n">
        <f aca="false">P1439-R1439-S1439-T1439</f>
        <v>-233.6984</v>
      </c>
      <c r="V1439" s="19" t="n">
        <f aca="false">IFERROR(U1439/P1439,0)</f>
        <v>0.281327073552426</v>
      </c>
      <c r="W1439" s="48" t="n">
        <f aca="false">B1439+INDEX(Parametros!$C$13:$C$16,MATCH($F1439,Parametros!$A$13:$A$16,0))</f>
        <v>46221</v>
      </c>
      <c r="X1439" s="31" t="s">
        <v>67</v>
      </c>
      <c r="Y1439" s="53" t="n">
        <f aca="false">IF(COUNTIF($A$2:$A1439,A1439)=1,1,0)</f>
        <v>0</v>
      </c>
    </row>
    <row r="1440" customFormat="false" ht="15" hidden="false" customHeight="false" outlineLevel="0" collapsed="false">
      <c r="A1440" s="31" t="s">
        <v>1018</v>
      </c>
      <c r="B1440" s="36" t="n">
        <v>46146</v>
      </c>
      <c r="C1440" s="49" t="n">
        <f aca="false">DATE(YEAR(B1440),MONTH(B1440),1)</f>
        <v>46143</v>
      </c>
      <c r="D1440" s="31" t="s">
        <v>213</v>
      </c>
      <c r="E1440" s="31" t="s">
        <v>42</v>
      </c>
      <c r="F1440" s="31" t="s">
        <v>46</v>
      </c>
      <c r="G1440" s="31" t="s">
        <v>61</v>
      </c>
      <c r="H1440" s="31" t="s">
        <v>177</v>
      </c>
      <c r="I1440" s="32" t="str">
        <f aca="false">INDEX(Productos!$B$2:$B$13,MATCH($H1440,Productos!$A$2:$A$13,0))</f>
        <v>Tirafondo madera 6x100 cabeza plana Torx</v>
      </c>
      <c r="J1440" s="32" t="str">
        <f aca="false">INDEX(Productos!$C$2:$C$13,MATCH($H1440,Productos!$A$2:$A$13,0))</f>
        <v>Madera</v>
      </c>
      <c r="K1440" s="31" t="s">
        <v>246</v>
      </c>
      <c r="L1440" s="46" t="n">
        <v>124</v>
      </c>
      <c r="M1440" s="50" t="n">
        <f aca="false">INDEX(Productos!$F$2:$F$13,MATCH($H1440,Productos!$A$2:$A$13,0))</f>
        <v>34</v>
      </c>
      <c r="N1440" s="51" t="n">
        <v>0.17</v>
      </c>
      <c r="O1440" s="52" t="n">
        <f aca="false">M1440*(1-N1440)</f>
        <v>28.22</v>
      </c>
      <c r="P1440" s="21" t="n">
        <f aca="false">L1440*O1440</f>
        <v>3499.28</v>
      </c>
      <c r="Q1440" s="50" t="n">
        <f aca="false">INDEX(Productos!$E$2:$E$13,MATCH($H1440,Productos!$A$2:$A$13,0))*INDEX(Parametros!$B$26:$B$43,MATCH($C1440,Parametros!$A$26:$A$43,0))</f>
        <v>17.6932</v>
      </c>
      <c r="R1440" s="21" t="n">
        <f aca="false">L1440*Q1440</f>
        <v>2193.9568</v>
      </c>
      <c r="S1440" s="18" t="n">
        <f aca="false">L1440*INDEX(Parametros!$B$20:$B$22,MATCH($E1440,Parametros!$A$20:$A$22,0))</f>
        <v>297.6</v>
      </c>
      <c r="T1440" s="18" t="n">
        <f aca="false">P1440*INDEX(Parametros!$B$13:$B$16,MATCH($F1440,Parametros!$A$13:$A$16,0))</f>
        <v>139.9712</v>
      </c>
      <c r="U1440" s="21" t="n">
        <f aca="false">P1440-R1440-S1440-T1440</f>
        <v>867.752</v>
      </c>
      <c r="V1440" s="19" t="n">
        <f aca="false">IFERROR(U1440/P1440,0)</f>
        <v>0.247980155917789</v>
      </c>
      <c r="W1440" s="48" t="n">
        <f aca="false">B1440+INDEX(Parametros!$C$13:$C$16,MATCH($F1440,Parametros!$A$13:$A$16,0))</f>
        <v>46221</v>
      </c>
      <c r="X1440" s="31" t="s">
        <v>67</v>
      </c>
      <c r="Y1440" s="53" t="n">
        <f aca="false">IF(COUNTIF($A$2:$A1440,A1440)=1,1,0)</f>
        <v>1</v>
      </c>
    </row>
    <row r="1441" customFormat="false" ht="15" hidden="false" customHeight="false" outlineLevel="0" collapsed="false">
      <c r="A1441" s="31" t="s">
        <v>1019</v>
      </c>
      <c r="B1441" s="36" t="n">
        <v>46146</v>
      </c>
      <c r="C1441" s="49" t="n">
        <f aca="false">DATE(YEAR(B1441),MONTH(B1441),1)</f>
        <v>46143</v>
      </c>
      <c r="D1441" s="31" t="s">
        <v>226</v>
      </c>
      <c r="E1441" s="31" t="s">
        <v>43</v>
      </c>
      <c r="F1441" s="31" t="s">
        <v>46</v>
      </c>
      <c r="G1441" s="31" t="s">
        <v>59</v>
      </c>
      <c r="H1441" s="31" t="s">
        <v>163</v>
      </c>
      <c r="I1441" s="32" t="str">
        <f aca="false">INDEX(Productos!$B$2:$B$13,MATCH($H1441,Productos!$A$2:$A$13,0))</f>
        <v>Tornillo DIN 933 M6x30 rosca completa zincado</v>
      </c>
      <c r="J1441" s="32" t="str">
        <f aca="false">INDEX(Productos!$C$2:$C$13,MATCH($H1441,Productos!$A$2:$A$13,0))</f>
        <v>Métrica</v>
      </c>
      <c r="K1441" s="31" t="s">
        <v>275</v>
      </c>
      <c r="L1441" s="46" t="n">
        <v>-24</v>
      </c>
      <c r="M1441" s="50" t="n">
        <f aca="false">INDEX(Productos!$F$2:$F$13,MATCH($H1441,Productos!$A$2:$A$13,0))</f>
        <v>32</v>
      </c>
      <c r="N1441" s="51" t="n">
        <v>0.131</v>
      </c>
      <c r="O1441" s="52" t="n">
        <f aca="false">M1441*(1-N1441)</f>
        <v>27.808</v>
      </c>
      <c r="P1441" s="21" t="n">
        <f aca="false">L1441*O1441</f>
        <v>-667.392</v>
      </c>
      <c r="Q1441" s="50" t="n">
        <f aca="false">INDEX(Productos!$E$2:$E$13,MATCH($H1441,Productos!$A$2:$A$13,0))*INDEX(Parametros!$B$26:$B$43,MATCH($C1441,Parametros!$A$26:$A$43,0))</f>
        <v>16.5004</v>
      </c>
      <c r="R1441" s="21" t="n">
        <f aca="false">L1441*Q1441</f>
        <v>-396.0096</v>
      </c>
      <c r="S1441" s="18" t="n">
        <f aca="false">L1441*INDEX(Parametros!$B$20:$B$22,MATCH($E1441,Parametros!$A$20:$A$22,0))</f>
        <v>-45.6</v>
      </c>
      <c r="T1441" s="18" t="n">
        <f aca="false">P1441*INDEX(Parametros!$B$13:$B$16,MATCH($F1441,Parametros!$A$13:$A$16,0))</f>
        <v>-26.69568</v>
      </c>
      <c r="U1441" s="21" t="n">
        <f aca="false">P1441-R1441-S1441-T1441</f>
        <v>-199.08672</v>
      </c>
      <c r="V1441" s="19" t="n">
        <f aca="false">IFERROR(U1441/P1441,0)</f>
        <v>0.298305523590334</v>
      </c>
      <c r="W1441" s="48" t="n">
        <f aca="false">B1441+INDEX(Parametros!$C$13:$C$16,MATCH($F1441,Parametros!$A$13:$A$16,0))</f>
        <v>46221</v>
      </c>
      <c r="X1441" s="31" t="s">
        <v>67</v>
      </c>
      <c r="Y1441" s="53" t="n">
        <f aca="false">IF(COUNTIF($A$2:$A1441,A1441)=1,1,0)</f>
        <v>1</v>
      </c>
    </row>
    <row r="1442" customFormat="false" ht="15" hidden="false" customHeight="false" outlineLevel="0" collapsed="false">
      <c r="A1442" s="31" t="s">
        <v>1020</v>
      </c>
      <c r="B1442" s="36" t="n">
        <v>46146</v>
      </c>
      <c r="C1442" s="49" t="n">
        <f aca="false">DATE(YEAR(B1442),MONTH(B1442),1)</f>
        <v>46143</v>
      </c>
      <c r="D1442" s="31" t="s">
        <v>226</v>
      </c>
      <c r="E1442" s="31" t="s">
        <v>43</v>
      </c>
      <c r="F1442" s="31" t="s">
        <v>46</v>
      </c>
      <c r="G1442" s="31" t="s">
        <v>59</v>
      </c>
      <c r="H1442" s="31" t="s">
        <v>165</v>
      </c>
      <c r="I1442" s="32" t="str">
        <f aca="false">INDEX(Productos!$B$2:$B$13,MATCH($H1442,Productos!$A$2:$A$13,0))</f>
        <v>Tornillo DIN 933 M8x40 rosca completa zincado</v>
      </c>
      <c r="J1442" s="32" t="str">
        <f aca="false">INDEX(Productos!$C$2:$C$13,MATCH($H1442,Productos!$A$2:$A$13,0))</f>
        <v>Métrica</v>
      </c>
      <c r="K1442" s="31" t="s">
        <v>246</v>
      </c>
      <c r="L1442" s="46" t="n">
        <v>148</v>
      </c>
      <c r="M1442" s="50" t="n">
        <f aca="false">INDEX(Productos!$F$2:$F$13,MATCH($H1442,Productos!$A$2:$A$13,0))</f>
        <v>37.5</v>
      </c>
      <c r="N1442" s="51" t="n">
        <v>0.158</v>
      </c>
      <c r="O1442" s="52" t="n">
        <f aca="false">M1442*(1-N1442)</f>
        <v>31.575</v>
      </c>
      <c r="P1442" s="21" t="n">
        <f aca="false">L1442*O1442</f>
        <v>4673.1</v>
      </c>
      <c r="Q1442" s="50" t="n">
        <f aca="false">INDEX(Productos!$E$2:$E$13,MATCH($H1442,Productos!$A$2:$A$13,0))*INDEX(Parametros!$B$26:$B$43,MATCH($C1442,Parametros!$A$26:$A$43,0))</f>
        <v>19.2836</v>
      </c>
      <c r="R1442" s="21" t="n">
        <f aca="false">L1442*Q1442</f>
        <v>2853.9728</v>
      </c>
      <c r="S1442" s="18" t="n">
        <f aca="false">L1442*INDEX(Parametros!$B$20:$B$22,MATCH($E1442,Parametros!$A$20:$A$22,0))</f>
        <v>281.2</v>
      </c>
      <c r="T1442" s="18" t="n">
        <f aca="false">P1442*INDEX(Parametros!$B$13:$B$16,MATCH($F1442,Parametros!$A$13:$A$16,0))</f>
        <v>186.924</v>
      </c>
      <c r="U1442" s="21" t="n">
        <f aca="false">P1442-R1442-S1442-T1442</f>
        <v>1351.0032</v>
      </c>
      <c r="V1442" s="19" t="n">
        <f aca="false">IFERROR(U1442/P1442,0)</f>
        <v>0.289102137767221</v>
      </c>
      <c r="W1442" s="48" t="n">
        <f aca="false">B1442+INDEX(Parametros!$C$13:$C$16,MATCH($F1442,Parametros!$A$13:$A$16,0))</f>
        <v>46221</v>
      </c>
      <c r="X1442" s="31" t="s">
        <v>67</v>
      </c>
      <c r="Y1442" s="53" t="n">
        <f aca="false">IF(COUNTIF($A$2:$A1442,A1442)=1,1,0)</f>
        <v>1</v>
      </c>
    </row>
    <row r="1443" customFormat="false" ht="15" hidden="false" customHeight="false" outlineLevel="0" collapsed="false">
      <c r="A1443" s="31" t="s">
        <v>1020</v>
      </c>
      <c r="B1443" s="36" t="n">
        <v>46146</v>
      </c>
      <c r="C1443" s="49" t="n">
        <f aca="false">DATE(YEAR(B1443),MONTH(B1443),1)</f>
        <v>46143</v>
      </c>
      <c r="D1443" s="31" t="s">
        <v>226</v>
      </c>
      <c r="E1443" s="31" t="s">
        <v>43</v>
      </c>
      <c r="F1443" s="31" t="s">
        <v>46</v>
      </c>
      <c r="G1443" s="31" t="s">
        <v>59</v>
      </c>
      <c r="H1443" s="31" t="s">
        <v>183</v>
      </c>
      <c r="I1443" s="32" t="str">
        <f aca="false">INDEX(Productos!$B$2:$B$13,MATCH($H1443,Productos!$A$2:$A$13,0))</f>
        <v>Tornillo estructural M16x90 clase 10.9</v>
      </c>
      <c r="J1443" s="32" t="str">
        <f aca="false">INDEX(Productos!$C$2:$C$13,MATCH($H1443,Productos!$A$2:$A$13,0))</f>
        <v>Especial</v>
      </c>
      <c r="K1443" s="31" t="s">
        <v>246</v>
      </c>
      <c r="L1443" s="46" t="n">
        <v>174</v>
      </c>
      <c r="M1443" s="50" t="n">
        <f aca="false">INDEX(Productos!$F$2:$F$13,MATCH($H1443,Productos!$A$2:$A$13,0))</f>
        <v>112</v>
      </c>
      <c r="N1443" s="51" t="n">
        <v>0.101</v>
      </c>
      <c r="O1443" s="52" t="n">
        <f aca="false">M1443*(1-N1443)</f>
        <v>100.688</v>
      </c>
      <c r="P1443" s="21" t="n">
        <f aca="false">L1443*O1443</f>
        <v>17519.712</v>
      </c>
      <c r="Q1443" s="50" t="n">
        <f aca="false">INDEX(Productos!$E$2:$E$13,MATCH($H1443,Productos!$A$2:$A$13,0))*INDEX(Parametros!$B$26:$B$43,MATCH($C1443,Parametros!$A$26:$A$43,0))</f>
        <v>59.64</v>
      </c>
      <c r="R1443" s="21" t="n">
        <f aca="false">L1443*Q1443</f>
        <v>10377.36</v>
      </c>
      <c r="S1443" s="18" t="n">
        <f aca="false">L1443*INDEX(Parametros!$B$20:$B$22,MATCH($E1443,Parametros!$A$20:$A$22,0))</f>
        <v>330.6</v>
      </c>
      <c r="T1443" s="18" t="n">
        <f aca="false">P1443*INDEX(Parametros!$B$13:$B$16,MATCH($F1443,Parametros!$A$13:$A$16,0))</f>
        <v>700.78848</v>
      </c>
      <c r="U1443" s="21" t="n">
        <f aca="false">P1443-R1443-S1443-T1443</f>
        <v>6110.96352</v>
      </c>
      <c r="V1443" s="19" t="n">
        <f aca="false">IFERROR(U1443/P1443,0)</f>
        <v>0.348805021452407</v>
      </c>
      <c r="W1443" s="48" t="n">
        <f aca="false">B1443+INDEX(Parametros!$C$13:$C$16,MATCH($F1443,Parametros!$A$13:$A$16,0))</f>
        <v>46221</v>
      </c>
      <c r="X1443" s="31" t="s">
        <v>67</v>
      </c>
      <c r="Y1443" s="53" t="n">
        <f aca="false">IF(COUNTIF($A$2:$A1443,A1443)=1,1,0)</f>
        <v>0</v>
      </c>
    </row>
    <row r="1444" customFormat="false" ht="15" hidden="false" customHeight="false" outlineLevel="0" collapsed="false">
      <c r="A1444" s="31" t="s">
        <v>1021</v>
      </c>
      <c r="B1444" s="36" t="n">
        <v>46146</v>
      </c>
      <c r="C1444" s="49" t="n">
        <f aca="false">DATE(YEAR(B1444),MONTH(B1444),1)</f>
        <v>46143</v>
      </c>
      <c r="D1444" s="31" t="s">
        <v>196</v>
      </c>
      <c r="E1444" s="31" t="s">
        <v>41</v>
      </c>
      <c r="F1444" s="31" t="s">
        <v>47</v>
      </c>
      <c r="G1444" s="31" t="s">
        <v>58</v>
      </c>
      <c r="H1444" s="31" t="s">
        <v>185</v>
      </c>
      <c r="I1444" s="32" t="str">
        <f aca="false">INDEX(Productos!$B$2:$B$13,MATCH($H1444,Productos!$A$2:$A$13,0))</f>
        <v>Varilla roscada M10 x 1 m zincada</v>
      </c>
      <c r="J1444" s="32" t="str">
        <f aca="false">INDEX(Productos!$C$2:$C$13,MATCH($H1444,Productos!$A$2:$A$13,0))</f>
        <v>Especial</v>
      </c>
      <c r="K1444" s="31" t="s">
        <v>246</v>
      </c>
      <c r="L1444" s="46" t="n">
        <v>30</v>
      </c>
      <c r="M1444" s="50" t="n">
        <f aca="false">INDEX(Productos!$F$2:$F$13,MATCH($H1444,Productos!$A$2:$A$13,0))</f>
        <v>54</v>
      </c>
      <c r="N1444" s="51" t="n">
        <v>0.047</v>
      </c>
      <c r="O1444" s="52" t="n">
        <f aca="false">M1444*(1-N1444)</f>
        <v>51.462</v>
      </c>
      <c r="P1444" s="21" t="n">
        <f aca="false">L1444*O1444</f>
        <v>1543.86</v>
      </c>
      <c r="Q1444" s="50" t="n">
        <f aca="false">INDEX(Productos!$E$2:$E$13,MATCH($H1444,Productos!$A$2:$A$13,0))*INDEX(Parametros!$B$26:$B$43,MATCH($C1444,Parametros!$A$26:$A$43,0))</f>
        <v>28.329</v>
      </c>
      <c r="R1444" s="21" t="n">
        <f aca="false">L1444*Q1444</f>
        <v>849.87</v>
      </c>
      <c r="S1444" s="18" t="n">
        <f aca="false">L1444*INDEX(Parametros!$B$20:$B$22,MATCH($E1444,Parametros!$A$20:$A$22,0))</f>
        <v>25.5</v>
      </c>
      <c r="T1444" s="18" t="n">
        <f aca="false">P1444*INDEX(Parametros!$B$13:$B$16,MATCH($F1444,Parametros!$A$13:$A$16,0))</f>
        <v>54.0351</v>
      </c>
      <c r="U1444" s="21" t="n">
        <f aca="false">P1444-R1444-S1444-T1444</f>
        <v>614.4549</v>
      </c>
      <c r="V1444" s="19" t="n">
        <f aca="false">IFERROR(U1444/P1444,0)</f>
        <v>0.397999106136567</v>
      </c>
      <c r="W1444" s="48" t="n">
        <f aca="false">B1444+INDEX(Parametros!$C$13:$C$16,MATCH($F1444,Parametros!$A$13:$A$16,0))</f>
        <v>46191</v>
      </c>
      <c r="X1444" s="31" t="s">
        <v>67</v>
      </c>
      <c r="Y1444" s="53" t="n">
        <f aca="false">IF(COUNTIF($A$2:$A1444,A1444)=1,1,0)</f>
        <v>1</v>
      </c>
    </row>
    <row r="1445" customFormat="false" ht="15" hidden="false" customHeight="false" outlineLevel="0" collapsed="false">
      <c r="A1445" s="31" t="s">
        <v>1021</v>
      </c>
      <c r="B1445" s="36" t="n">
        <v>46146</v>
      </c>
      <c r="C1445" s="49" t="n">
        <f aca="false">DATE(YEAR(B1445),MONTH(B1445),1)</f>
        <v>46143</v>
      </c>
      <c r="D1445" s="31" t="s">
        <v>196</v>
      </c>
      <c r="E1445" s="31" t="s">
        <v>41</v>
      </c>
      <c r="F1445" s="31" t="s">
        <v>47</v>
      </c>
      <c r="G1445" s="31" t="s">
        <v>58</v>
      </c>
      <c r="H1445" s="31" t="s">
        <v>173</v>
      </c>
      <c r="I1445" s="32" t="str">
        <f aca="false">INDEX(Productos!$B$2:$B$13,MATCH($H1445,Productos!$A$2:$A$13,0))</f>
        <v>Tornillo DIN 933 M12x70 clase 8.8</v>
      </c>
      <c r="J1445" s="32" t="str">
        <f aca="false">INDEX(Productos!$C$2:$C$13,MATCH($H1445,Productos!$A$2:$A$13,0))</f>
        <v>Métrica</v>
      </c>
      <c r="K1445" s="31" t="s">
        <v>246</v>
      </c>
      <c r="L1445" s="46" t="n">
        <v>61</v>
      </c>
      <c r="M1445" s="50" t="n">
        <f aca="false">INDEX(Productos!$F$2:$F$13,MATCH($H1445,Productos!$A$2:$A$13,0))</f>
        <v>64</v>
      </c>
      <c r="N1445" s="51" t="n">
        <v>0.041</v>
      </c>
      <c r="O1445" s="52" t="n">
        <f aca="false">M1445*(1-N1445)</f>
        <v>61.376</v>
      </c>
      <c r="P1445" s="21" t="n">
        <f aca="false">L1445*O1445</f>
        <v>3743.936</v>
      </c>
      <c r="Q1445" s="50" t="n">
        <f aca="false">INDEX(Productos!$E$2:$E$13,MATCH($H1445,Productos!$A$2:$A$13,0))*INDEX(Parametros!$B$26:$B$43,MATCH($C1445,Parametros!$A$26:$A$43,0))</f>
        <v>33.299</v>
      </c>
      <c r="R1445" s="21" t="n">
        <f aca="false">L1445*Q1445</f>
        <v>2031.239</v>
      </c>
      <c r="S1445" s="18" t="n">
        <f aca="false">L1445*INDEX(Parametros!$B$20:$B$22,MATCH($E1445,Parametros!$A$20:$A$22,0))</f>
        <v>51.85</v>
      </c>
      <c r="T1445" s="18" t="n">
        <f aca="false">P1445*INDEX(Parametros!$B$13:$B$16,MATCH($F1445,Parametros!$A$13:$A$16,0))</f>
        <v>131.03776</v>
      </c>
      <c r="U1445" s="21" t="n">
        <f aca="false">P1445-R1445-S1445-T1445</f>
        <v>1529.80924</v>
      </c>
      <c r="V1445" s="19" t="n">
        <f aca="false">IFERROR(U1445/P1445,0)</f>
        <v>0.40860988008342</v>
      </c>
      <c r="W1445" s="48" t="n">
        <f aca="false">B1445+INDEX(Parametros!$C$13:$C$16,MATCH($F1445,Parametros!$A$13:$A$16,0))</f>
        <v>46191</v>
      </c>
      <c r="X1445" s="31" t="s">
        <v>67</v>
      </c>
      <c r="Y1445" s="53" t="n">
        <f aca="false">IF(COUNTIF($A$2:$A1445,A1445)=1,1,0)</f>
        <v>0</v>
      </c>
    </row>
    <row r="1446" customFormat="false" ht="15" hidden="false" customHeight="false" outlineLevel="0" collapsed="false">
      <c r="A1446" s="31" t="s">
        <v>1022</v>
      </c>
      <c r="B1446" s="36" t="n">
        <v>46146</v>
      </c>
      <c r="C1446" s="49" t="n">
        <f aca="false">DATE(YEAR(B1446),MONTH(B1446),1)</f>
        <v>46143</v>
      </c>
      <c r="D1446" s="31" t="s">
        <v>224</v>
      </c>
      <c r="E1446" s="31" t="s">
        <v>43</v>
      </c>
      <c r="F1446" s="31" t="s">
        <v>45</v>
      </c>
      <c r="G1446" s="31" t="s">
        <v>59</v>
      </c>
      <c r="H1446" s="31" t="s">
        <v>163</v>
      </c>
      <c r="I1446" s="32" t="str">
        <f aca="false">INDEX(Productos!$B$2:$B$13,MATCH($H1446,Productos!$A$2:$A$13,0))</f>
        <v>Tornillo DIN 933 M6x30 rosca completa zincado</v>
      </c>
      <c r="J1446" s="32" t="str">
        <f aca="false">INDEX(Productos!$C$2:$C$13,MATCH($H1446,Productos!$A$2:$A$13,0))</f>
        <v>Métrica</v>
      </c>
      <c r="K1446" s="31" t="s">
        <v>246</v>
      </c>
      <c r="L1446" s="46" t="n">
        <v>38</v>
      </c>
      <c r="M1446" s="50" t="n">
        <f aca="false">INDEX(Productos!$F$2:$F$13,MATCH($H1446,Productos!$A$2:$A$13,0))</f>
        <v>32</v>
      </c>
      <c r="N1446" s="51" t="n">
        <v>0.19</v>
      </c>
      <c r="O1446" s="52" t="n">
        <f aca="false">M1446*(1-N1446)</f>
        <v>25.92</v>
      </c>
      <c r="P1446" s="21" t="n">
        <f aca="false">L1446*O1446</f>
        <v>984.96</v>
      </c>
      <c r="Q1446" s="50" t="n">
        <f aca="false">INDEX(Productos!$E$2:$E$13,MATCH($H1446,Productos!$A$2:$A$13,0))*INDEX(Parametros!$B$26:$B$43,MATCH($C1446,Parametros!$A$26:$A$43,0))</f>
        <v>16.5004</v>
      </c>
      <c r="R1446" s="21" t="n">
        <f aca="false">L1446*Q1446</f>
        <v>627.0152</v>
      </c>
      <c r="S1446" s="18" t="n">
        <f aca="false">L1446*INDEX(Parametros!$B$20:$B$22,MATCH($E1446,Parametros!$A$20:$A$22,0))</f>
        <v>72.2</v>
      </c>
      <c r="T1446" s="18" t="n">
        <f aca="false">P1446*INDEX(Parametros!$B$13:$B$16,MATCH($F1446,Parametros!$A$13:$A$16,0))</f>
        <v>29.5488</v>
      </c>
      <c r="U1446" s="21" t="n">
        <f aca="false">P1446-R1446-S1446-T1446</f>
        <v>256.196</v>
      </c>
      <c r="V1446" s="19" t="n">
        <f aca="false">IFERROR(U1446/P1446,0)</f>
        <v>0.260108024691358</v>
      </c>
      <c r="W1446" s="48" t="n">
        <f aca="false">B1446+INDEX(Parametros!$C$13:$C$16,MATCH($F1446,Parametros!$A$13:$A$16,0))</f>
        <v>46206</v>
      </c>
      <c r="X1446" s="31" t="s">
        <v>69</v>
      </c>
      <c r="Y1446" s="53" t="n">
        <f aca="false">IF(COUNTIF($A$2:$A1446,A1446)=1,1,0)</f>
        <v>1</v>
      </c>
    </row>
    <row r="1447" customFormat="false" ht="15" hidden="false" customHeight="false" outlineLevel="0" collapsed="false">
      <c r="A1447" s="31" t="s">
        <v>1023</v>
      </c>
      <c r="B1447" s="36" t="n">
        <v>46147</v>
      </c>
      <c r="C1447" s="49" t="n">
        <f aca="false">DATE(YEAR(B1447),MONTH(B1447),1)</f>
        <v>46143</v>
      </c>
      <c r="D1447" s="31" t="s">
        <v>223</v>
      </c>
      <c r="E1447" s="31" t="s">
        <v>43</v>
      </c>
      <c r="F1447" s="31" t="s">
        <v>46</v>
      </c>
      <c r="G1447" s="31" t="s">
        <v>59</v>
      </c>
      <c r="H1447" s="31" t="s">
        <v>183</v>
      </c>
      <c r="I1447" s="32" t="str">
        <f aca="false">INDEX(Productos!$B$2:$B$13,MATCH($H1447,Productos!$A$2:$A$13,0))</f>
        <v>Tornillo estructural M16x90 clase 10.9</v>
      </c>
      <c r="J1447" s="32" t="str">
        <f aca="false">INDEX(Productos!$C$2:$C$13,MATCH($H1447,Productos!$A$2:$A$13,0))</f>
        <v>Especial</v>
      </c>
      <c r="K1447" s="31" t="s">
        <v>246</v>
      </c>
      <c r="L1447" s="46" t="n">
        <v>34</v>
      </c>
      <c r="M1447" s="50" t="n">
        <f aca="false">INDEX(Productos!$F$2:$F$13,MATCH($H1447,Productos!$A$2:$A$13,0))</f>
        <v>112</v>
      </c>
      <c r="N1447" s="51" t="n">
        <v>0.092</v>
      </c>
      <c r="O1447" s="52" t="n">
        <f aca="false">M1447*(1-N1447)</f>
        <v>101.696</v>
      </c>
      <c r="P1447" s="21" t="n">
        <f aca="false">L1447*O1447</f>
        <v>3457.664</v>
      </c>
      <c r="Q1447" s="50" t="n">
        <f aca="false">INDEX(Productos!$E$2:$E$13,MATCH($H1447,Productos!$A$2:$A$13,0))*INDEX(Parametros!$B$26:$B$43,MATCH($C1447,Parametros!$A$26:$A$43,0))</f>
        <v>59.64</v>
      </c>
      <c r="R1447" s="21" t="n">
        <f aca="false">L1447*Q1447</f>
        <v>2027.76</v>
      </c>
      <c r="S1447" s="18" t="n">
        <f aca="false">L1447*INDEX(Parametros!$B$20:$B$22,MATCH($E1447,Parametros!$A$20:$A$22,0))</f>
        <v>64.6</v>
      </c>
      <c r="T1447" s="18" t="n">
        <f aca="false">P1447*INDEX(Parametros!$B$13:$B$16,MATCH($F1447,Parametros!$A$13:$A$16,0))</f>
        <v>138.30656</v>
      </c>
      <c r="U1447" s="21" t="n">
        <f aca="false">P1447-R1447-S1447-T1447</f>
        <v>1226.99744</v>
      </c>
      <c r="V1447" s="19" t="n">
        <f aca="false">IFERROR(U1447/P1447,0)</f>
        <v>0.354863121460038</v>
      </c>
      <c r="W1447" s="48" t="n">
        <f aca="false">B1447+INDEX(Parametros!$C$13:$C$16,MATCH($F1447,Parametros!$A$13:$A$16,0))</f>
        <v>46222</v>
      </c>
      <c r="X1447" s="31" t="s">
        <v>67</v>
      </c>
      <c r="Y1447" s="53" t="n">
        <f aca="false">IF(COUNTIF($A$2:$A1447,A1447)=1,1,0)</f>
        <v>1</v>
      </c>
    </row>
    <row r="1448" customFormat="false" ht="15" hidden="false" customHeight="false" outlineLevel="0" collapsed="false">
      <c r="A1448" s="31" t="s">
        <v>1023</v>
      </c>
      <c r="B1448" s="36" t="n">
        <v>46147</v>
      </c>
      <c r="C1448" s="49" t="n">
        <f aca="false">DATE(YEAR(B1448),MONTH(B1448),1)</f>
        <v>46143</v>
      </c>
      <c r="D1448" s="31" t="s">
        <v>223</v>
      </c>
      <c r="E1448" s="31" t="s">
        <v>43</v>
      </c>
      <c r="F1448" s="31" t="s">
        <v>46</v>
      </c>
      <c r="G1448" s="31" t="s">
        <v>59</v>
      </c>
      <c r="H1448" s="31" t="s">
        <v>167</v>
      </c>
      <c r="I1448" s="32" t="str">
        <f aca="false">INDEX(Productos!$B$2:$B$13,MATCH($H1448,Productos!$A$2:$A$13,0))</f>
        <v>Tornillo DIN 912 M6x25 Allen zincado</v>
      </c>
      <c r="J1448" s="32" t="str">
        <f aca="false">INDEX(Productos!$C$2:$C$13,MATCH($H1448,Productos!$A$2:$A$13,0))</f>
        <v>Métrica</v>
      </c>
      <c r="K1448" s="31" t="s">
        <v>246</v>
      </c>
      <c r="L1448" s="46" t="n">
        <v>66</v>
      </c>
      <c r="M1448" s="50" t="n">
        <f aca="false">INDEX(Productos!$F$2:$F$13,MATCH($H1448,Productos!$A$2:$A$13,0))</f>
        <v>42</v>
      </c>
      <c r="N1448" s="51" t="n">
        <v>0.099</v>
      </c>
      <c r="O1448" s="52" t="n">
        <f aca="false">M1448*(1-N1448)</f>
        <v>37.842</v>
      </c>
      <c r="P1448" s="21" t="n">
        <f aca="false">L1448*O1448</f>
        <v>2497.572</v>
      </c>
      <c r="Q1448" s="50" t="n">
        <f aca="false">INDEX(Productos!$E$2:$E$13,MATCH($H1448,Productos!$A$2:$A$13,0))*INDEX(Parametros!$B$26:$B$43,MATCH($C1448,Parametros!$A$26:$A$43,0))</f>
        <v>21.6692</v>
      </c>
      <c r="R1448" s="21" t="n">
        <f aca="false">L1448*Q1448</f>
        <v>1430.1672</v>
      </c>
      <c r="S1448" s="18" t="n">
        <f aca="false">L1448*INDEX(Parametros!$B$20:$B$22,MATCH($E1448,Parametros!$A$20:$A$22,0))</f>
        <v>125.4</v>
      </c>
      <c r="T1448" s="18" t="n">
        <f aca="false">P1448*INDEX(Parametros!$B$13:$B$16,MATCH($F1448,Parametros!$A$13:$A$16,0))</f>
        <v>99.90288</v>
      </c>
      <c r="U1448" s="21" t="n">
        <f aca="false">P1448-R1448-S1448-T1448</f>
        <v>842.10192</v>
      </c>
      <c r="V1448" s="19" t="n">
        <f aca="false">IFERROR(U1448/P1448,0)</f>
        <v>0.337168225780878</v>
      </c>
      <c r="W1448" s="48" t="n">
        <f aca="false">B1448+INDEX(Parametros!$C$13:$C$16,MATCH($F1448,Parametros!$A$13:$A$16,0))</f>
        <v>46222</v>
      </c>
      <c r="X1448" s="31" t="s">
        <v>67</v>
      </c>
      <c r="Y1448" s="53" t="n">
        <f aca="false">IF(COUNTIF($A$2:$A1448,A1448)=1,1,0)</f>
        <v>0</v>
      </c>
    </row>
    <row r="1449" customFormat="false" ht="15" hidden="false" customHeight="false" outlineLevel="0" collapsed="false">
      <c r="A1449" s="31" t="s">
        <v>1024</v>
      </c>
      <c r="B1449" s="36" t="n">
        <v>46148</v>
      </c>
      <c r="C1449" s="49" t="n">
        <f aca="false">DATE(YEAR(B1449),MONTH(B1449),1)</f>
        <v>46143</v>
      </c>
      <c r="D1449" s="31" t="s">
        <v>209</v>
      </c>
      <c r="E1449" s="31" t="s">
        <v>41</v>
      </c>
      <c r="F1449" s="31" t="s">
        <v>45</v>
      </c>
      <c r="G1449" s="31" t="s">
        <v>62</v>
      </c>
      <c r="H1449" s="31" t="s">
        <v>163</v>
      </c>
      <c r="I1449" s="32" t="str">
        <f aca="false">INDEX(Productos!$B$2:$B$13,MATCH($H1449,Productos!$A$2:$A$13,0))</f>
        <v>Tornillo DIN 933 M6x30 rosca completa zincado</v>
      </c>
      <c r="J1449" s="32" t="str">
        <f aca="false">INDEX(Productos!$C$2:$C$13,MATCH($H1449,Productos!$A$2:$A$13,0))</f>
        <v>Métrica</v>
      </c>
      <c r="K1449" s="31" t="s">
        <v>246</v>
      </c>
      <c r="L1449" s="46" t="n">
        <v>29</v>
      </c>
      <c r="M1449" s="50" t="n">
        <f aca="false">INDEX(Productos!$F$2:$F$13,MATCH($H1449,Productos!$A$2:$A$13,0))</f>
        <v>32</v>
      </c>
      <c r="N1449" s="51" t="n">
        <v>0.151</v>
      </c>
      <c r="O1449" s="52" t="n">
        <f aca="false">M1449*(1-N1449)</f>
        <v>27.168</v>
      </c>
      <c r="P1449" s="21" t="n">
        <f aca="false">L1449*O1449</f>
        <v>787.872</v>
      </c>
      <c r="Q1449" s="50" t="n">
        <f aca="false">INDEX(Productos!$E$2:$E$13,MATCH($H1449,Productos!$A$2:$A$13,0))*INDEX(Parametros!$B$26:$B$43,MATCH($C1449,Parametros!$A$26:$A$43,0))</f>
        <v>16.5004</v>
      </c>
      <c r="R1449" s="21" t="n">
        <f aca="false">L1449*Q1449</f>
        <v>478.5116</v>
      </c>
      <c r="S1449" s="18" t="n">
        <f aca="false">L1449*INDEX(Parametros!$B$20:$B$22,MATCH($E1449,Parametros!$A$20:$A$22,0))</f>
        <v>24.65</v>
      </c>
      <c r="T1449" s="18" t="n">
        <f aca="false">P1449*INDEX(Parametros!$B$13:$B$16,MATCH($F1449,Parametros!$A$13:$A$16,0))</f>
        <v>23.63616</v>
      </c>
      <c r="U1449" s="21" t="n">
        <f aca="false">P1449-R1449-S1449-T1449</f>
        <v>261.07424</v>
      </c>
      <c r="V1449" s="19" t="n">
        <f aca="false">IFERROR(U1449/P1449,0)</f>
        <v>0.331366313309776</v>
      </c>
      <c r="W1449" s="48" t="n">
        <f aca="false">B1449+INDEX(Parametros!$C$13:$C$16,MATCH($F1449,Parametros!$A$13:$A$16,0))</f>
        <v>46208</v>
      </c>
      <c r="X1449" s="31" t="s">
        <v>67</v>
      </c>
      <c r="Y1449" s="53" t="n">
        <f aca="false">IF(COUNTIF($A$2:$A1449,A1449)=1,1,0)</f>
        <v>1</v>
      </c>
    </row>
    <row r="1450" customFormat="false" ht="15" hidden="false" customHeight="false" outlineLevel="0" collapsed="false">
      <c r="A1450" s="31" t="s">
        <v>1025</v>
      </c>
      <c r="B1450" s="36" t="n">
        <v>46148</v>
      </c>
      <c r="C1450" s="49" t="n">
        <f aca="false">DATE(YEAR(B1450),MONTH(B1450),1)</f>
        <v>46143</v>
      </c>
      <c r="D1450" s="31" t="s">
        <v>216</v>
      </c>
      <c r="E1450" s="31" t="s">
        <v>42</v>
      </c>
      <c r="F1450" s="31" t="s">
        <v>45</v>
      </c>
      <c r="G1450" s="31" t="s">
        <v>61</v>
      </c>
      <c r="H1450" s="31" t="s">
        <v>173</v>
      </c>
      <c r="I1450" s="32" t="str">
        <f aca="false">INDEX(Productos!$B$2:$B$13,MATCH($H1450,Productos!$A$2:$A$13,0))</f>
        <v>Tornillo DIN 933 M12x70 clase 8.8</v>
      </c>
      <c r="J1450" s="32" t="str">
        <f aca="false">INDEX(Productos!$C$2:$C$13,MATCH($H1450,Productos!$A$2:$A$13,0))</f>
        <v>Métrica</v>
      </c>
      <c r="K1450" s="31" t="s">
        <v>246</v>
      </c>
      <c r="L1450" s="46" t="n">
        <v>279</v>
      </c>
      <c r="M1450" s="50" t="n">
        <f aca="false">INDEX(Productos!$F$2:$F$13,MATCH($H1450,Productos!$A$2:$A$13,0))</f>
        <v>64</v>
      </c>
      <c r="N1450" s="51" t="n">
        <v>0.19</v>
      </c>
      <c r="O1450" s="52" t="n">
        <f aca="false">M1450*(1-N1450)</f>
        <v>51.84</v>
      </c>
      <c r="P1450" s="21" t="n">
        <f aca="false">L1450*O1450</f>
        <v>14463.36</v>
      </c>
      <c r="Q1450" s="50" t="n">
        <f aca="false">INDEX(Productos!$E$2:$E$13,MATCH($H1450,Productos!$A$2:$A$13,0))*INDEX(Parametros!$B$26:$B$43,MATCH($C1450,Parametros!$A$26:$A$43,0))</f>
        <v>33.299</v>
      </c>
      <c r="R1450" s="21" t="n">
        <f aca="false">L1450*Q1450</f>
        <v>9290.421</v>
      </c>
      <c r="S1450" s="18" t="n">
        <f aca="false">L1450*INDEX(Parametros!$B$20:$B$22,MATCH($E1450,Parametros!$A$20:$A$22,0))</f>
        <v>669.6</v>
      </c>
      <c r="T1450" s="18" t="n">
        <f aca="false">P1450*INDEX(Parametros!$B$13:$B$16,MATCH($F1450,Parametros!$A$13:$A$16,0))</f>
        <v>433.9008</v>
      </c>
      <c r="U1450" s="21" t="n">
        <f aca="false">P1450-R1450-S1450-T1450</f>
        <v>4069.4382</v>
      </c>
      <c r="V1450" s="19" t="n">
        <f aca="false">IFERROR(U1450/P1450,0)</f>
        <v>0.281361882716049</v>
      </c>
      <c r="W1450" s="48" t="n">
        <f aca="false">B1450+INDEX(Parametros!$C$13:$C$16,MATCH($F1450,Parametros!$A$13:$A$16,0))</f>
        <v>46208</v>
      </c>
      <c r="X1450" s="31" t="s">
        <v>67</v>
      </c>
      <c r="Y1450" s="53" t="n">
        <f aca="false">IF(COUNTIF($A$2:$A1450,A1450)=1,1,0)</f>
        <v>1</v>
      </c>
    </row>
    <row r="1451" customFormat="false" ht="15" hidden="false" customHeight="false" outlineLevel="0" collapsed="false">
      <c r="A1451" s="31" t="s">
        <v>1025</v>
      </c>
      <c r="B1451" s="36" t="n">
        <v>46148</v>
      </c>
      <c r="C1451" s="49" t="n">
        <f aca="false">DATE(YEAR(B1451),MONTH(B1451),1)</f>
        <v>46143</v>
      </c>
      <c r="D1451" s="31" t="s">
        <v>216</v>
      </c>
      <c r="E1451" s="31" t="s">
        <v>42</v>
      </c>
      <c r="F1451" s="31" t="s">
        <v>45</v>
      </c>
      <c r="G1451" s="31" t="s">
        <v>61</v>
      </c>
      <c r="H1451" s="31" t="s">
        <v>175</v>
      </c>
      <c r="I1451" s="32" t="str">
        <f aca="false">INDEX(Productos!$B$2:$B$13,MATCH($H1451,Productos!$A$2:$A$13,0))</f>
        <v>Tirafondo madera 5x60 cabeza plana Torx</v>
      </c>
      <c r="J1451" s="32" t="str">
        <f aca="false">INDEX(Productos!$C$2:$C$13,MATCH($H1451,Productos!$A$2:$A$13,0))</f>
        <v>Madera</v>
      </c>
      <c r="K1451" s="31" t="s">
        <v>246</v>
      </c>
      <c r="L1451" s="46" t="n">
        <v>49</v>
      </c>
      <c r="M1451" s="50" t="n">
        <f aca="false">INDEX(Productos!$F$2:$F$13,MATCH($H1451,Productos!$A$2:$A$13,0))</f>
        <v>26</v>
      </c>
      <c r="N1451" s="51" t="n">
        <v>0.18</v>
      </c>
      <c r="O1451" s="52" t="n">
        <f aca="false">M1451*(1-N1451)</f>
        <v>21.32</v>
      </c>
      <c r="P1451" s="21" t="n">
        <f aca="false">L1451*O1451</f>
        <v>1044.68</v>
      </c>
      <c r="Q1451" s="50" t="n">
        <f aca="false">INDEX(Productos!$E$2:$E$13,MATCH($H1451,Productos!$A$2:$A$13,0))*INDEX(Parametros!$B$26:$B$43,MATCH($C1451,Parametros!$A$26:$A$43,0))</f>
        <v>13.3196</v>
      </c>
      <c r="R1451" s="21" t="n">
        <f aca="false">L1451*Q1451</f>
        <v>652.6604</v>
      </c>
      <c r="S1451" s="18" t="n">
        <f aca="false">L1451*INDEX(Parametros!$B$20:$B$22,MATCH($E1451,Parametros!$A$20:$A$22,0))</f>
        <v>117.6</v>
      </c>
      <c r="T1451" s="18" t="n">
        <f aca="false">P1451*INDEX(Parametros!$B$13:$B$16,MATCH($F1451,Parametros!$A$13:$A$16,0))</f>
        <v>31.3404</v>
      </c>
      <c r="U1451" s="21" t="n">
        <f aca="false">P1451-R1451-S1451-T1451</f>
        <v>243.0792</v>
      </c>
      <c r="V1451" s="19" t="n">
        <f aca="false">IFERROR(U1451/P1451,0)</f>
        <v>0.232682926829268</v>
      </c>
      <c r="W1451" s="48" t="n">
        <f aca="false">B1451+INDEX(Parametros!$C$13:$C$16,MATCH($F1451,Parametros!$A$13:$A$16,0))</f>
        <v>46208</v>
      </c>
      <c r="X1451" s="31" t="s">
        <v>67</v>
      </c>
      <c r="Y1451" s="53" t="n">
        <f aca="false">IF(COUNTIF($A$2:$A1451,A1451)=1,1,0)</f>
        <v>0</v>
      </c>
    </row>
    <row r="1452" customFormat="false" ht="15" hidden="false" customHeight="false" outlineLevel="0" collapsed="false">
      <c r="A1452" s="31" t="s">
        <v>1025</v>
      </c>
      <c r="B1452" s="36" t="n">
        <v>46148</v>
      </c>
      <c r="C1452" s="49" t="n">
        <f aca="false">DATE(YEAR(B1452),MONTH(B1452),1)</f>
        <v>46143</v>
      </c>
      <c r="D1452" s="31" t="s">
        <v>216</v>
      </c>
      <c r="E1452" s="31" t="s">
        <v>42</v>
      </c>
      <c r="F1452" s="31" t="s">
        <v>45</v>
      </c>
      <c r="G1452" s="31" t="s">
        <v>61</v>
      </c>
      <c r="H1452" s="31" t="s">
        <v>169</v>
      </c>
      <c r="I1452" s="32" t="str">
        <f aca="false">INDEX(Productos!$B$2:$B$13,MATCH($H1452,Productos!$A$2:$A$13,0))</f>
        <v>Tornillo DIN 912 M10x60 Allen inox A2</v>
      </c>
      <c r="J1452" s="32" t="str">
        <f aca="false">INDEX(Productos!$C$2:$C$13,MATCH($H1452,Productos!$A$2:$A$13,0))</f>
        <v>Inoxidable</v>
      </c>
      <c r="K1452" s="31" t="s">
        <v>246</v>
      </c>
      <c r="L1452" s="46" t="n">
        <v>113</v>
      </c>
      <c r="M1452" s="50" t="n">
        <f aca="false">INDEX(Productos!$F$2:$F$13,MATCH($H1452,Productos!$A$2:$A$13,0))</f>
        <v>79</v>
      </c>
      <c r="N1452" s="51" t="n">
        <v>0.201</v>
      </c>
      <c r="O1452" s="52" t="n">
        <f aca="false">M1452*(1-N1452)</f>
        <v>63.121</v>
      </c>
      <c r="P1452" s="21" t="n">
        <f aca="false">L1452*O1452</f>
        <v>7132.673</v>
      </c>
      <c r="Q1452" s="50" t="n">
        <f aca="false">INDEX(Productos!$E$2:$E$13,MATCH($H1452,Productos!$A$2:$A$13,0))*INDEX(Parametros!$B$26:$B$43,MATCH($C1452,Parametros!$A$26:$A$43,0))</f>
        <v>41.748</v>
      </c>
      <c r="R1452" s="21" t="n">
        <f aca="false">L1452*Q1452</f>
        <v>4717.524</v>
      </c>
      <c r="S1452" s="18" t="n">
        <f aca="false">L1452*INDEX(Parametros!$B$20:$B$22,MATCH($E1452,Parametros!$A$20:$A$22,0))</f>
        <v>271.2</v>
      </c>
      <c r="T1452" s="18" t="n">
        <f aca="false">P1452*INDEX(Parametros!$B$13:$B$16,MATCH($F1452,Parametros!$A$13:$A$16,0))</f>
        <v>213.98019</v>
      </c>
      <c r="U1452" s="21" t="n">
        <f aca="false">P1452-R1452-S1452-T1452</f>
        <v>1929.96881</v>
      </c>
      <c r="V1452" s="19" t="n">
        <f aca="false">IFERROR(U1452/P1452,0)</f>
        <v>0.270581422981258</v>
      </c>
      <c r="W1452" s="48" t="n">
        <f aca="false">B1452+INDEX(Parametros!$C$13:$C$16,MATCH($F1452,Parametros!$A$13:$A$16,0))</f>
        <v>46208</v>
      </c>
      <c r="X1452" s="31" t="s">
        <v>67</v>
      </c>
      <c r="Y1452" s="53" t="n">
        <f aca="false">IF(COUNTIF($A$2:$A1452,A1452)=1,1,0)</f>
        <v>0</v>
      </c>
    </row>
    <row r="1453" customFormat="false" ht="15" hidden="false" customHeight="false" outlineLevel="0" collapsed="false">
      <c r="A1453" s="31" t="s">
        <v>1026</v>
      </c>
      <c r="B1453" s="36" t="n">
        <v>46148</v>
      </c>
      <c r="C1453" s="49" t="n">
        <f aca="false">DATE(YEAR(B1453),MONTH(B1453),1)</f>
        <v>46143</v>
      </c>
      <c r="D1453" s="31" t="s">
        <v>207</v>
      </c>
      <c r="E1453" s="31" t="s">
        <v>41</v>
      </c>
      <c r="F1453" s="31" t="s">
        <v>47</v>
      </c>
      <c r="G1453" s="31" t="s">
        <v>62</v>
      </c>
      <c r="H1453" s="31" t="s">
        <v>185</v>
      </c>
      <c r="I1453" s="32" t="str">
        <f aca="false">INDEX(Productos!$B$2:$B$13,MATCH($H1453,Productos!$A$2:$A$13,0))</f>
        <v>Varilla roscada M10 x 1 m zincada</v>
      </c>
      <c r="J1453" s="32" t="str">
        <f aca="false">INDEX(Productos!$C$2:$C$13,MATCH($H1453,Productos!$A$2:$A$13,0))</f>
        <v>Especial</v>
      </c>
      <c r="K1453" s="31" t="s">
        <v>246</v>
      </c>
      <c r="L1453" s="46" t="n">
        <v>26</v>
      </c>
      <c r="M1453" s="50" t="n">
        <f aca="false">INDEX(Productos!$F$2:$F$13,MATCH($H1453,Productos!$A$2:$A$13,0))</f>
        <v>54</v>
      </c>
      <c r="N1453" s="51" t="n">
        <v>0.071</v>
      </c>
      <c r="O1453" s="52" t="n">
        <f aca="false">M1453*(1-N1453)</f>
        <v>50.166</v>
      </c>
      <c r="P1453" s="21" t="n">
        <f aca="false">L1453*O1453</f>
        <v>1304.316</v>
      </c>
      <c r="Q1453" s="50" t="n">
        <f aca="false">INDEX(Productos!$E$2:$E$13,MATCH($H1453,Productos!$A$2:$A$13,0))*INDEX(Parametros!$B$26:$B$43,MATCH($C1453,Parametros!$A$26:$A$43,0))</f>
        <v>28.329</v>
      </c>
      <c r="R1453" s="21" t="n">
        <f aca="false">L1453*Q1453</f>
        <v>736.554</v>
      </c>
      <c r="S1453" s="18" t="n">
        <f aca="false">L1453*INDEX(Parametros!$B$20:$B$22,MATCH($E1453,Parametros!$A$20:$A$22,0))</f>
        <v>22.1</v>
      </c>
      <c r="T1453" s="18" t="n">
        <f aca="false">P1453*INDEX(Parametros!$B$13:$B$16,MATCH($F1453,Parametros!$A$13:$A$16,0))</f>
        <v>45.65106</v>
      </c>
      <c r="U1453" s="21" t="n">
        <f aca="false">P1453-R1453-S1453-T1453</f>
        <v>500.01094</v>
      </c>
      <c r="V1453" s="19" t="n">
        <f aca="false">IFERROR(U1453/P1453,0)</f>
        <v>0.383351074432883</v>
      </c>
      <c r="W1453" s="48" t="n">
        <f aca="false">B1453+INDEX(Parametros!$C$13:$C$16,MATCH($F1453,Parametros!$A$13:$A$16,0))</f>
        <v>46193</v>
      </c>
      <c r="X1453" s="31" t="s">
        <v>67</v>
      </c>
      <c r="Y1453" s="53" t="n">
        <f aca="false">IF(COUNTIF($A$2:$A1453,A1453)=1,1,0)</f>
        <v>1</v>
      </c>
    </row>
    <row r="1454" customFormat="false" ht="15" hidden="false" customHeight="false" outlineLevel="0" collapsed="false">
      <c r="A1454" s="31" t="s">
        <v>1027</v>
      </c>
      <c r="B1454" s="36" t="n">
        <v>46149</v>
      </c>
      <c r="C1454" s="49" t="n">
        <f aca="false">DATE(YEAR(B1454),MONTH(B1454),1)</f>
        <v>46143</v>
      </c>
      <c r="D1454" s="31" t="s">
        <v>222</v>
      </c>
      <c r="E1454" s="31" t="s">
        <v>43</v>
      </c>
      <c r="F1454" s="31" t="s">
        <v>45</v>
      </c>
      <c r="G1454" s="31" t="s">
        <v>59</v>
      </c>
      <c r="H1454" s="31" t="s">
        <v>167</v>
      </c>
      <c r="I1454" s="32" t="str">
        <f aca="false">INDEX(Productos!$B$2:$B$13,MATCH($H1454,Productos!$A$2:$A$13,0))</f>
        <v>Tornillo DIN 912 M6x25 Allen zincado</v>
      </c>
      <c r="J1454" s="32" t="str">
        <f aca="false">INDEX(Productos!$C$2:$C$13,MATCH($H1454,Productos!$A$2:$A$13,0))</f>
        <v>Métrica</v>
      </c>
      <c r="K1454" s="31" t="s">
        <v>246</v>
      </c>
      <c r="L1454" s="46" t="n">
        <v>268</v>
      </c>
      <c r="M1454" s="50" t="n">
        <f aca="false">INDEX(Productos!$F$2:$F$13,MATCH($H1454,Productos!$A$2:$A$13,0))</f>
        <v>42</v>
      </c>
      <c r="N1454" s="51" t="n">
        <v>0.147</v>
      </c>
      <c r="O1454" s="52" t="n">
        <f aca="false">M1454*(1-N1454)</f>
        <v>35.826</v>
      </c>
      <c r="P1454" s="21" t="n">
        <f aca="false">L1454*O1454</f>
        <v>9601.368</v>
      </c>
      <c r="Q1454" s="50" t="n">
        <f aca="false">INDEX(Productos!$E$2:$E$13,MATCH($H1454,Productos!$A$2:$A$13,0))*INDEX(Parametros!$B$26:$B$43,MATCH($C1454,Parametros!$A$26:$A$43,0))</f>
        <v>21.6692</v>
      </c>
      <c r="R1454" s="21" t="n">
        <f aca="false">L1454*Q1454</f>
        <v>5807.3456</v>
      </c>
      <c r="S1454" s="18" t="n">
        <f aca="false">L1454*INDEX(Parametros!$B$20:$B$22,MATCH($E1454,Parametros!$A$20:$A$22,0))</f>
        <v>509.2</v>
      </c>
      <c r="T1454" s="18" t="n">
        <f aca="false">P1454*INDEX(Parametros!$B$13:$B$16,MATCH($F1454,Parametros!$A$13:$A$16,0))</f>
        <v>288.04104</v>
      </c>
      <c r="U1454" s="21" t="n">
        <f aca="false">P1454-R1454-S1454-T1454</f>
        <v>2996.78136</v>
      </c>
      <c r="V1454" s="19" t="n">
        <f aca="false">IFERROR(U1454/P1454,0)</f>
        <v>0.312120247864679</v>
      </c>
      <c r="W1454" s="48" t="n">
        <f aca="false">B1454+INDEX(Parametros!$C$13:$C$16,MATCH($F1454,Parametros!$A$13:$A$16,0))</f>
        <v>46209</v>
      </c>
      <c r="X1454" s="31" t="s">
        <v>67</v>
      </c>
      <c r="Y1454" s="53" t="n">
        <f aca="false">IF(COUNTIF($A$2:$A1454,A1454)=1,1,0)</f>
        <v>1</v>
      </c>
    </row>
    <row r="1455" customFormat="false" ht="15" hidden="false" customHeight="false" outlineLevel="0" collapsed="false">
      <c r="A1455" s="31" t="s">
        <v>1028</v>
      </c>
      <c r="B1455" s="36" t="n">
        <v>46149</v>
      </c>
      <c r="C1455" s="49" t="n">
        <f aca="false">DATE(YEAR(B1455),MONTH(B1455),1)</f>
        <v>46143</v>
      </c>
      <c r="D1455" s="31" t="s">
        <v>222</v>
      </c>
      <c r="E1455" s="31" t="s">
        <v>43</v>
      </c>
      <c r="F1455" s="31" t="s">
        <v>45</v>
      </c>
      <c r="G1455" s="31" t="s">
        <v>59</v>
      </c>
      <c r="H1455" s="31" t="s">
        <v>185</v>
      </c>
      <c r="I1455" s="32" t="str">
        <f aca="false">INDEX(Productos!$B$2:$B$13,MATCH($H1455,Productos!$A$2:$A$13,0))</f>
        <v>Varilla roscada M10 x 1 m zincada</v>
      </c>
      <c r="J1455" s="32" t="str">
        <f aca="false">INDEX(Productos!$C$2:$C$13,MATCH($H1455,Productos!$A$2:$A$13,0))</f>
        <v>Especial</v>
      </c>
      <c r="K1455" s="31" t="s">
        <v>246</v>
      </c>
      <c r="L1455" s="46" t="n">
        <v>254</v>
      </c>
      <c r="M1455" s="50" t="n">
        <f aca="false">INDEX(Productos!$F$2:$F$13,MATCH($H1455,Productos!$A$2:$A$13,0))</f>
        <v>54</v>
      </c>
      <c r="N1455" s="51" t="n">
        <v>0.149</v>
      </c>
      <c r="O1455" s="52" t="n">
        <f aca="false">M1455*(1-N1455)</f>
        <v>45.954</v>
      </c>
      <c r="P1455" s="21" t="n">
        <f aca="false">L1455*O1455</f>
        <v>11672.316</v>
      </c>
      <c r="Q1455" s="50" t="n">
        <f aca="false">INDEX(Productos!$E$2:$E$13,MATCH($H1455,Productos!$A$2:$A$13,0))*INDEX(Parametros!$B$26:$B$43,MATCH($C1455,Parametros!$A$26:$A$43,0))</f>
        <v>28.329</v>
      </c>
      <c r="R1455" s="21" t="n">
        <f aca="false">L1455*Q1455</f>
        <v>7195.566</v>
      </c>
      <c r="S1455" s="18" t="n">
        <f aca="false">L1455*INDEX(Parametros!$B$20:$B$22,MATCH($E1455,Parametros!$A$20:$A$22,0))</f>
        <v>482.6</v>
      </c>
      <c r="T1455" s="18" t="n">
        <f aca="false">P1455*INDEX(Parametros!$B$13:$B$16,MATCH($F1455,Parametros!$A$13:$A$16,0))</f>
        <v>350.16948</v>
      </c>
      <c r="U1455" s="21" t="n">
        <f aca="false">P1455-R1455-S1455-T1455</f>
        <v>3643.98052</v>
      </c>
      <c r="V1455" s="19" t="n">
        <f aca="false">IFERROR(U1455/P1455,0)</f>
        <v>0.31219001610306</v>
      </c>
      <c r="W1455" s="48" t="n">
        <f aca="false">B1455+INDEX(Parametros!$C$13:$C$16,MATCH($F1455,Parametros!$A$13:$A$16,0))</f>
        <v>46209</v>
      </c>
      <c r="X1455" s="31" t="s">
        <v>67</v>
      </c>
      <c r="Y1455" s="53" t="n">
        <f aca="false">IF(COUNTIF($A$2:$A1455,A1455)=1,1,0)</f>
        <v>1</v>
      </c>
    </row>
    <row r="1456" customFormat="false" ht="15" hidden="false" customHeight="false" outlineLevel="0" collapsed="false">
      <c r="A1456" s="31" t="s">
        <v>1028</v>
      </c>
      <c r="B1456" s="36" t="n">
        <v>46149</v>
      </c>
      <c r="C1456" s="49" t="n">
        <f aca="false">DATE(YEAR(B1456),MONTH(B1456),1)</f>
        <v>46143</v>
      </c>
      <c r="D1456" s="31" t="s">
        <v>222</v>
      </c>
      <c r="E1456" s="31" t="s">
        <v>43</v>
      </c>
      <c r="F1456" s="31" t="s">
        <v>45</v>
      </c>
      <c r="G1456" s="31" t="s">
        <v>59</v>
      </c>
      <c r="H1456" s="31" t="s">
        <v>171</v>
      </c>
      <c r="I1456" s="32" t="str">
        <f aca="false">INDEX(Productos!$B$2:$B$13,MATCH($H1456,Productos!$A$2:$A$13,0))</f>
        <v>Tornillo DIN 7991 M8x30 avellanado inox A2</v>
      </c>
      <c r="J1456" s="32" t="str">
        <f aca="false">INDEX(Productos!$C$2:$C$13,MATCH($H1456,Productos!$A$2:$A$13,0))</f>
        <v>Inoxidable</v>
      </c>
      <c r="K1456" s="31" t="s">
        <v>246</v>
      </c>
      <c r="L1456" s="46" t="n">
        <v>32</v>
      </c>
      <c r="M1456" s="50" t="n">
        <f aca="false">INDEX(Productos!$F$2:$F$13,MATCH($H1456,Productos!$A$2:$A$13,0))</f>
        <v>88</v>
      </c>
      <c r="N1456" s="51" t="n">
        <v>0.174</v>
      </c>
      <c r="O1456" s="52" t="n">
        <f aca="false">M1456*(1-N1456)</f>
        <v>72.688</v>
      </c>
      <c r="P1456" s="21" t="n">
        <f aca="false">L1456*O1456</f>
        <v>2326.016</v>
      </c>
      <c r="Q1456" s="50" t="n">
        <f aca="false">INDEX(Productos!$E$2:$E$13,MATCH($H1456,Productos!$A$2:$A$13,0))*INDEX(Parametros!$B$26:$B$43,MATCH($C1456,Parametros!$A$26:$A$43,0))</f>
        <v>46.221</v>
      </c>
      <c r="R1456" s="21" t="n">
        <f aca="false">L1456*Q1456</f>
        <v>1479.072</v>
      </c>
      <c r="S1456" s="18" t="n">
        <f aca="false">L1456*INDEX(Parametros!$B$20:$B$22,MATCH($E1456,Parametros!$A$20:$A$22,0))</f>
        <v>60.8</v>
      </c>
      <c r="T1456" s="18" t="n">
        <f aca="false">P1456*INDEX(Parametros!$B$13:$B$16,MATCH($F1456,Parametros!$A$13:$A$16,0))</f>
        <v>69.78048</v>
      </c>
      <c r="U1456" s="21" t="n">
        <f aca="false">P1456-R1456-S1456-T1456</f>
        <v>716.36352</v>
      </c>
      <c r="V1456" s="19" t="n">
        <f aca="false">IFERROR(U1456/P1456,0)</f>
        <v>0.307978758529606</v>
      </c>
      <c r="W1456" s="48" t="n">
        <f aca="false">B1456+INDEX(Parametros!$C$13:$C$16,MATCH($F1456,Parametros!$A$13:$A$16,0))</f>
        <v>46209</v>
      </c>
      <c r="X1456" s="31" t="s">
        <v>67</v>
      </c>
      <c r="Y1456" s="53" t="n">
        <f aca="false">IF(COUNTIF($A$2:$A1456,A1456)=1,1,0)</f>
        <v>0</v>
      </c>
    </row>
    <row r="1457" customFormat="false" ht="15" hidden="false" customHeight="false" outlineLevel="0" collapsed="false">
      <c r="A1457" s="31" t="s">
        <v>1029</v>
      </c>
      <c r="B1457" s="36" t="n">
        <v>46150</v>
      </c>
      <c r="C1457" s="49" t="n">
        <f aca="false">DATE(YEAR(B1457),MONTH(B1457),1)</f>
        <v>46143</v>
      </c>
      <c r="D1457" s="31" t="s">
        <v>211</v>
      </c>
      <c r="E1457" s="31" t="s">
        <v>41</v>
      </c>
      <c r="F1457" s="31" t="s">
        <v>48</v>
      </c>
      <c r="G1457" s="31" t="s">
        <v>60</v>
      </c>
      <c r="H1457" s="31" t="s">
        <v>171</v>
      </c>
      <c r="I1457" s="32" t="str">
        <f aca="false">INDEX(Productos!$B$2:$B$13,MATCH($H1457,Productos!$A$2:$A$13,0))</f>
        <v>Tornillo DIN 7991 M8x30 avellanado inox A2</v>
      </c>
      <c r="J1457" s="32" t="str">
        <f aca="false">INDEX(Productos!$C$2:$C$13,MATCH($H1457,Productos!$A$2:$A$13,0))</f>
        <v>Inoxidable</v>
      </c>
      <c r="K1457" s="31" t="s">
        <v>246</v>
      </c>
      <c r="L1457" s="46" t="n">
        <v>15</v>
      </c>
      <c r="M1457" s="50" t="n">
        <f aca="false">INDEX(Productos!$F$2:$F$13,MATCH($H1457,Productos!$A$2:$A$13,0))</f>
        <v>88</v>
      </c>
      <c r="N1457" s="51" t="n">
        <v>0.044</v>
      </c>
      <c r="O1457" s="52" t="n">
        <f aca="false">M1457*(1-N1457)</f>
        <v>84.128</v>
      </c>
      <c r="P1457" s="21" t="n">
        <f aca="false">L1457*O1457</f>
        <v>1261.92</v>
      </c>
      <c r="Q1457" s="50" t="n">
        <f aca="false">INDEX(Productos!$E$2:$E$13,MATCH($H1457,Productos!$A$2:$A$13,0))*INDEX(Parametros!$B$26:$B$43,MATCH($C1457,Parametros!$A$26:$A$43,0))</f>
        <v>46.221</v>
      </c>
      <c r="R1457" s="21" t="n">
        <f aca="false">L1457*Q1457</f>
        <v>693.315</v>
      </c>
      <c r="S1457" s="18" t="n">
        <f aca="false">L1457*INDEX(Parametros!$B$20:$B$22,MATCH($E1457,Parametros!$A$20:$A$22,0))</f>
        <v>12.75</v>
      </c>
      <c r="T1457" s="18" t="n">
        <f aca="false">P1457*INDEX(Parametros!$B$13:$B$16,MATCH($F1457,Parametros!$A$13:$A$16,0))</f>
        <v>12.6192</v>
      </c>
      <c r="U1457" s="21" t="n">
        <f aca="false">P1457-R1457-S1457-T1457</f>
        <v>543.2358</v>
      </c>
      <c r="V1457" s="19" t="n">
        <f aca="false">IFERROR(U1457/P1457,0)</f>
        <v>0.4304835488779</v>
      </c>
      <c r="W1457" s="48" t="n">
        <f aca="false">B1457+INDEX(Parametros!$C$13:$C$16,MATCH($F1457,Parametros!$A$13:$A$16,0))</f>
        <v>46150</v>
      </c>
      <c r="X1457" s="31" t="s">
        <v>69</v>
      </c>
      <c r="Y1457" s="53" t="n">
        <f aca="false">IF(COUNTIF($A$2:$A1457,A1457)=1,1,0)</f>
        <v>1</v>
      </c>
    </row>
    <row r="1458" customFormat="false" ht="15" hidden="false" customHeight="false" outlineLevel="0" collapsed="false">
      <c r="A1458" s="31" t="s">
        <v>1029</v>
      </c>
      <c r="B1458" s="36" t="n">
        <v>46150</v>
      </c>
      <c r="C1458" s="49" t="n">
        <f aca="false">DATE(YEAR(B1458),MONTH(B1458),1)</f>
        <v>46143</v>
      </c>
      <c r="D1458" s="31" t="s">
        <v>211</v>
      </c>
      <c r="E1458" s="31" t="s">
        <v>41</v>
      </c>
      <c r="F1458" s="31" t="s">
        <v>48</v>
      </c>
      <c r="G1458" s="31" t="s">
        <v>60</v>
      </c>
      <c r="H1458" s="31" t="s">
        <v>181</v>
      </c>
      <c r="I1458" s="32" t="str">
        <f aca="false">INDEX(Productos!$B$2:$B$13,MATCH($H1458,Productos!$A$2:$A$13,0))</f>
        <v>Autotaladrante 5,5x55 punta broca</v>
      </c>
      <c r="J1458" s="32" t="str">
        <f aca="false">INDEX(Productos!$C$2:$C$13,MATCH($H1458,Productos!$A$2:$A$13,0))</f>
        <v>Autotaladrante</v>
      </c>
      <c r="K1458" s="31" t="s">
        <v>246</v>
      </c>
      <c r="L1458" s="46" t="n">
        <v>21</v>
      </c>
      <c r="M1458" s="50" t="n">
        <f aca="false">INDEX(Productos!$F$2:$F$13,MATCH($H1458,Productos!$A$2:$A$13,0))</f>
        <v>39</v>
      </c>
      <c r="N1458" s="51" t="n">
        <v>0.033</v>
      </c>
      <c r="O1458" s="52" t="n">
        <f aca="false">M1458*(1-N1458)</f>
        <v>37.713</v>
      </c>
      <c r="P1458" s="21" t="n">
        <f aca="false">L1458*O1458</f>
        <v>791.973</v>
      </c>
      <c r="Q1458" s="50" t="n">
        <f aca="false">INDEX(Productos!$E$2:$E$13,MATCH($H1458,Productos!$A$2:$A$13,0))*INDEX(Parametros!$B$26:$B$43,MATCH($C1458,Parametros!$A$26:$A$43,0))</f>
        <v>20.1782</v>
      </c>
      <c r="R1458" s="21" t="n">
        <f aca="false">L1458*Q1458</f>
        <v>423.7422</v>
      </c>
      <c r="S1458" s="18" t="n">
        <f aca="false">L1458*INDEX(Parametros!$B$20:$B$22,MATCH($E1458,Parametros!$A$20:$A$22,0))</f>
        <v>17.85</v>
      </c>
      <c r="T1458" s="18" t="n">
        <f aca="false">P1458*INDEX(Parametros!$B$13:$B$16,MATCH($F1458,Parametros!$A$13:$A$16,0))</f>
        <v>7.91973</v>
      </c>
      <c r="U1458" s="21" t="n">
        <f aca="false">P1458-R1458-S1458-T1458</f>
        <v>342.46107</v>
      </c>
      <c r="V1458" s="19" t="n">
        <f aca="false">IFERROR(U1458/P1458,0)</f>
        <v>0.432415082332352</v>
      </c>
      <c r="W1458" s="48" t="n">
        <f aca="false">B1458+INDEX(Parametros!$C$13:$C$16,MATCH($F1458,Parametros!$A$13:$A$16,0))</f>
        <v>46150</v>
      </c>
      <c r="X1458" s="31" t="s">
        <v>67</v>
      </c>
      <c r="Y1458" s="53" t="n">
        <f aca="false">IF(COUNTIF($A$2:$A1458,A1458)=1,1,0)</f>
        <v>0</v>
      </c>
    </row>
    <row r="1459" customFormat="false" ht="15" hidden="false" customHeight="false" outlineLevel="0" collapsed="false">
      <c r="A1459" s="31" t="s">
        <v>1030</v>
      </c>
      <c r="B1459" s="36" t="n">
        <v>46150</v>
      </c>
      <c r="C1459" s="49" t="n">
        <f aca="false">DATE(YEAR(B1459),MONTH(B1459),1)</f>
        <v>46143</v>
      </c>
      <c r="D1459" s="31" t="s">
        <v>225</v>
      </c>
      <c r="E1459" s="31" t="s">
        <v>43</v>
      </c>
      <c r="F1459" s="31" t="s">
        <v>47</v>
      </c>
      <c r="G1459" s="31" t="s">
        <v>59</v>
      </c>
      <c r="H1459" s="31" t="s">
        <v>185</v>
      </c>
      <c r="I1459" s="32" t="str">
        <f aca="false">INDEX(Productos!$B$2:$B$13,MATCH($H1459,Productos!$A$2:$A$13,0))</f>
        <v>Varilla roscada M10 x 1 m zincada</v>
      </c>
      <c r="J1459" s="32" t="str">
        <f aca="false">INDEX(Productos!$C$2:$C$13,MATCH($H1459,Productos!$A$2:$A$13,0))</f>
        <v>Especial</v>
      </c>
      <c r="K1459" s="31" t="s">
        <v>246</v>
      </c>
      <c r="L1459" s="46" t="n">
        <v>29</v>
      </c>
      <c r="M1459" s="50" t="n">
        <f aca="false">INDEX(Productos!$F$2:$F$13,MATCH($H1459,Productos!$A$2:$A$13,0))</f>
        <v>54</v>
      </c>
      <c r="N1459" s="51" t="n">
        <v>0.031</v>
      </c>
      <c r="O1459" s="52" t="n">
        <f aca="false">M1459*(1-N1459)</f>
        <v>52.326</v>
      </c>
      <c r="P1459" s="21" t="n">
        <f aca="false">L1459*O1459</f>
        <v>1517.454</v>
      </c>
      <c r="Q1459" s="50" t="n">
        <f aca="false">INDEX(Productos!$E$2:$E$13,MATCH($H1459,Productos!$A$2:$A$13,0))*INDEX(Parametros!$B$26:$B$43,MATCH($C1459,Parametros!$A$26:$A$43,0))</f>
        <v>28.329</v>
      </c>
      <c r="R1459" s="21" t="n">
        <f aca="false">L1459*Q1459</f>
        <v>821.541</v>
      </c>
      <c r="S1459" s="18" t="n">
        <f aca="false">L1459*INDEX(Parametros!$B$20:$B$22,MATCH($E1459,Parametros!$A$20:$A$22,0))</f>
        <v>55.1</v>
      </c>
      <c r="T1459" s="18" t="n">
        <f aca="false">P1459*INDEX(Parametros!$B$13:$B$16,MATCH($F1459,Parametros!$A$13:$A$16,0))</f>
        <v>53.11089</v>
      </c>
      <c r="U1459" s="21" t="n">
        <f aca="false">P1459-R1459-S1459-T1459</f>
        <v>587.70211</v>
      </c>
      <c r="V1459" s="19" t="n">
        <f aca="false">IFERROR(U1459/P1459,0)</f>
        <v>0.387294843863471</v>
      </c>
      <c r="W1459" s="48" t="n">
        <f aca="false">B1459+INDEX(Parametros!$C$13:$C$16,MATCH($F1459,Parametros!$A$13:$A$16,0))</f>
        <v>46195</v>
      </c>
      <c r="X1459" s="31" t="s">
        <v>67</v>
      </c>
      <c r="Y1459" s="53" t="n">
        <f aca="false">IF(COUNTIF($A$2:$A1459,A1459)=1,1,0)</f>
        <v>1</v>
      </c>
    </row>
    <row r="1460" customFormat="false" ht="15" hidden="false" customHeight="false" outlineLevel="0" collapsed="false">
      <c r="A1460" s="31" t="s">
        <v>1030</v>
      </c>
      <c r="B1460" s="36" t="n">
        <v>46150</v>
      </c>
      <c r="C1460" s="49" t="n">
        <f aca="false">DATE(YEAR(B1460),MONTH(B1460),1)</f>
        <v>46143</v>
      </c>
      <c r="D1460" s="31" t="s">
        <v>225</v>
      </c>
      <c r="E1460" s="31" t="s">
        <v>43</v>
      </c>
      <c r="F1460" s="31" t="s">
        <v>47</v>
      </c>
      <c r="G1460" s="31" t="s">
        <v>59</v>
      </c>
      <c r="H1460" s="31" t="s">
        <v>173</v>
      </c>
      <c r="I1460" s="32" t="str">
        <f aca="false">INDEX(Productos!$B$2:$B$13,MATCH($H1460,Productos!$A$2:$A$13,0))</f>
        <v>Tornillo DIN 933 M12x70 clase 8.8</v>
      </c>
      <c r="J1460" s="32" t="str">
        <f aca="false">INDEX(Productos!$C$2:$C$13,MATCH($H1460,Productos!$A$2:$A$13,0))</f>
        <v>Métrica</v>
      </c>
      <c r="K1460" s="31" t="s">
        <v>246</v>
      </c>
      <c r="L1460" s="46" t="n">
        <v>31</v>
      </c>
      <c r="M1460" s="50" t="n">
        <f aca="false">INDEX(Productos!$F$2:$F$13,MATCH($H1460,Productos!$A$2:$A$13,0))</f>
        <v>64</v>
      </c>
      <c r="N1460" s="51" t="n">
        <v>0.043</v>
      </c>
      <c r="O1460" s="52" t="n">
        <f aca="false">M1460*(1-N1460)</f>
        <v>61.248</v>
      </c>
      <c r="P1460" s="21" t="n">
        <f aca="false">L1460*O1460</f>
        <v>1898.688</v>
      </c>
      <c r="Q1460" s="50" t="n">
        <f aca="false">INDEX(Productos!$E$2:$E$13,MATCH($H1460,Productos!$A$2:$A$13,0))*INDEX(Parametros!$B$26:$B$43,MATCH($C1460,Parametros!$A$26:$A$43,0))</f>
        <v>33.299</v>
      </c>
      <c r="R1460" s="21" t="n">
        <f aca="false">L1460*Q1460</f>
        <v>1032.269</v>
      </c>
      <c r="S1460" s="18" t="n">
        <f aca="false">L1460*INDEX(Parametros!$B$20:$B$22,MATCH($E1460,Parametros!$A$20:$A$22,0))</f>
        <v>58.9</v>
      </c>
      <c r="T1460" s="18" t="n">
        <f aca="false">P1460*INDEX(Parametros!$B$13:$B$16,MATCH($F1460,Parametros!$A$13:$A$16,0))</f>
        <v>66.45408</v>
      </c>
      <c r="U1460" s="21" t="n">
        <f aca="false">P1460-R1460-S1460-T1460</f>
        <v>741.06492</v>
      </c>
      <c r="V1460" s="19" t="n">
        <f aca="false">IFERROR(U1460/P1460,0)</f>
        <v>0.39030368338558</v>
      </c>
      <c r="W1460" s="48" t="n">
        <f aca="false">B1460+INDEX(Parametros!$C$13:$C$16,MATCH($F1460,Parametros!$A$13:$A$16,0))</f>
        <v>46195</v>
      </c>
      <c r="X1460" s="31" t="s">
        <v>67</v>
      </c>
      <c r="Y1460" s="53" t="n">
        <f aca="false">IF(COUNTIF($A$2:$A1460,A1460)=1,1,0)</f>
        <v>0</v>
      </c>
    </row>
    <row r="1461" customFormat="false" ht="15" hidden="false" customHeight="false" outlineLevel="0" collapsed="false">
      <c r="A1461" s="31" t="s">
        <v>1030</v>
      </c>
      <c r="B1461" s="36" t="n">
        <v>46150</v>
      </c>
      <c r="C1461" s="49" t="n">
        <f aca="false">DATE(YEAR(B1461),MONTH(B1461),1)</f>
        <v>46143</v>
      </c>
      <c r="D1461" s="31" t="s">
        <v>225</v>
      </c>
      <c r="E1461" s="31" t="s">
        <v>43</v>
      </c>
      <c r="F1461" s="31" t="s">
        <v>47</v>
      </c>
      <c r="G1461" s="31" t="s">
        <v>59</v>
      </c>
      <c r="H1461" s="31" t="s">
        <v>171</v>
      </c>
      <c r="I1461" s="32" t="str">
        <f aca="false">INDEX(Productos!$B$2:$B$13,MATCH($H1461,Productos!$A$2:$A$13,0))</f>
        <v>Tornillo DIN 7991 M8x30 avellanado inox A2</v>
      </c>
      <c r="J1461" s="32" t="str">
        <f aca="false">INDEX(Productos!$C$2:$C$13,MATCH($H1461,Productos!$A$2:$A$13,0))</f>
        <v>Inoxidable</v>
      </c>
      <c r="K1461" s="31" t="s">
        <v>246</v>
      </c>
      <c r="L1461" s="46" t="n">
        <v>18</v>
      </c>
      <c r="M1461" s="50" t="n">
        <f aca="false">INDEX(Productos!$F$2:$F$13,MATCH($H1461,Productos!$A$2:$A$13,0))</f>
        <v>88</v>
      </c>
      <c r="N1461" s="51" t="n">
        <v>0.087</v>
      </c>
      <c r="O1461" s="52" t="n">
        <f aca="false">M1461*(1-N1461)</f>
        <v>80.344</v>
      </c>
      <c r="P1461" s="21" t="n">
        <f aca="false">L1461*O1461</f>
        <v>1446.192</v>
      </c>
      <c r="Q1461" s="50" t="n">
        <f aca="false">INDEX(Productos!$E$2:$E$13,MATCH($H1461,Productos!$A$2:$A$13,0))*INDEX(Parametros!$B$26:$B$43,MATCH($C1461,Parametros!$A$26:$A$43,0))</f>
        <v>46.221</v>
      </c>
      <c r="R1461" s="21" t="n">
        <f aca="false">L1461*Q1461</f>
        <v>831.978</v>
      </c>
      <c r="S1461" s="18" t="n">
        <f aca="false">L1461*INDEX(Parametros!$B$20:$B$22,MATCH($E1461,Parametros!$A$20:$A$22,0))</f>
        <v>34.2</v>
      </c>
      <c r="T1461" s="18" t="n">
        <f aca="false">P1461*INDEX(Parametros!$B$13:$B$16,MATCH($F1461,Parametros!$A$13:$A$16,0))</f>
        <v>50.61672</v>
      </c>
      <c r="U1461" s="21" t="n">
        <f aca="false">P1461-R1461-S1461-T1461</f>
        <v>529.39728</v>
      </c>
      <c r="V1461" s="19" t="n">
        <f aca="false">IFERROR(U1461/P1461,0)</f>
        <v>0.366062929403565</v>
      </c>
      <c r="W1461" s="48" t="n">
        <f aca="false">B1461+INDEX(Parametros!$C$13:$C$16,MATCH($F1461,Parametros!$A$13:$A$16,0))</f>
        <v>46195</v>
      </c>
      <c r="X1461" s="31" t="s">
        <v>67</v>
      </c>
      <c r="Y1461" s="53" t="n">
        <f aca="false">IF(COUNTIF($A$2:$A1461,A1461)=1,1,0)</f>
        <v>0</v>
      </c>
    </row>
    <row r="1462" customFormat="false" ht="15" hidden="false" customHeight="false" outlineLevel="0" collapsed="false">
      <c r="A1462" s="31" t="s">
        <v>1031</v>
      </c>
      <c r="B1462" s="36" t="n">
        <v>46153</v>
      </c>
      <c r="C1462" s="49" t="n">
        <f aca="false">DATE(YEAR(B1462),MONTH(B1462),1)</f>
        <v>46143</v>
      </c>
      <c r="D1462" s="31" t="s">
        <v>220</v>
      </c>
      <c r="E1462" s="31" t="s">
        <v>42</v>
      </c>
      <c r="F1462" s="31" t="s">
        <v>46</v>
      </c>
      <c r="G1462" s="31" t="s">
        <v>61</v>
      </c>
      <c r="H1462" s="31" t="s">
        <v>165</v>
      </c>
      <c r="I1462" s="32" t="str">
        <f aca="false">INDEX(Productos!$B$2:$B$13,MATCH($H1462,Productos!$A$2:$A$13,0))</f>
        <v>Tornillo DIN 933 M8x40 rosca completa zincado</v>
      </c>
      <c r="J1462" s="32" t="str">
        <f aca="false">INDEX(Productos!$C$2:$C$13,MATCH($H1462,Productos!$A$2:$A$13,0))</f>
        <v>Métrica</v>
      </c>
      <c r="K1462" s="31" t="s">
        <v>246</v>
      </c>
      <c r="L1462" s="46" t="n">
        <v>166</v>
      </c>
      <c r="M1462" s="50" t="n">
        <f aca="false">INDEX(Productos!$F$2:$F$13,MATCH($H1462,Productos!$A$2:$A$13,0))</f>
        <v>37.5</v>
      </c>
      <c r="N1462" s="51" t="n">
        <v>0.167</v>
      </c>
      <c r="O1462" s="52" t="n">
        <f aca="false">M1462*(1-N1462)</f>
        <v>31.2375</v>
      </c>
      <c r="P1462" s="21" t="n">
        <f aca="false">L1462*O1462</f>
        <v>5185.425</v>
      </c>
      <c r="Q1462" s="50" t="n">
        <f aca="false">INDEX(Productos!$E$2:$E$13,MATCH($H1462,Productos!$A$2:$A$13,0))*INDEX(Parametros!$B$26:$B$43,MATCH($C1462,Parametros!$A$26:$A$43,0))</f>
        <v>19.2836</v>
      </c>
      <c r="R1462" s="21" t="n">
        <f aca="false">L1462*Q1462</f>
        <v>3201.0776</v>
      </c>
      <c r="S1462" s="18" t="n">
        <f aca="false">L1462*INDEX(Parametros!$B$20:$B$22,MATCH($E1462,Parametros!$A$20:$A$22,0))</f>
        <v>398.4</v>
      </c>
      <c r="T1462" s="18" t="n">
        <f aca="false">P1462*INDEX(Parametros!$B$13:$B$16,MATCH($F1462,Parametros!$A$13:$A$16,0))</f>
        <v>207.417</v>
      </c>
      <c r="U1462" s="21" t="n">
        <f aca="false">P1462-R1462-S1462-T1462</f>
        <v>1378.5304</v>
      </c>
      <c r="V1462" s="19" t="n">
        <f aca="false">IFERROR(U1462/P1462,0)</f>
        <v>0.265847138855542</v>
      </c>
      <c r="W1462" s="48" t="n">
        <f aca="false">B1462+INDEX(Parametros!$C$13:$C$16,MATCH($F1462,Parametros!$A$13:$A$16,0))</f>
        <v>46228</v>
      </c>
      <c r="X1462" s="31" t="s">
        <v>67</v>
      </c>
      <c r="Y1462" s="53" t="n">
        <f aca="false">IF(COUNTIF($A$2:$A1462,A1462)=1,1,0)</f>
        <v>1</v>
      </c>
    </row>
    <row r="1463" customFormat="false" ht="15" hidden="false" customHeight="false" outlineLevel="0" collapsed="false">
      <c r="A1463" s="31" t="s">
        <v>1031</v>
      </c>
      <c r="B1463" s="36" t="n">
        <v>46153</v>
      </c>
      <c r="C1463" s="49" t="n">
        <f aca="false">DATE(YEAR(B1463),MONTH(B1463),1)</f>
        <v>46143</v>
      </c>
      <c r="D1463" s="31" t="s">
        <v>220</v>
      </c>
      <c r="E1463" s="31" t="s">
        <v>42</v>
      </c>
      <c r="F1463" s="31" t="s">
        <v>46</v>
      </c>
      <c r="G1463" s="31" t="s">
        <v>61</v>
      </c>
      <c r="H1463" s="31" t="s">
        <v>183</v>
      </c>
      <c r="I1463" s="32" t="str">
        <f aca="false">INDEX(Productos!$B$2:$B$13,MATCH($H1463,Productos!$A$2:$A$13,0))</f>
        <v>Tornillo estructural M16x90 clase 10.9</v>
      </c>
      <c r="J1463" s="32" t="str">
        <f aca="false">INDEX(Productos!$C$2:$C$13,MATCH($H1463,Productos!$A$2:$A$13,0))</f>
        <v>Especial</v>
      </c>
      <c r="K1463" s="31" t="s">
        <v>246</v>
      </c>
      <c r="L1463" s="46" t="n">
        <v>251</v>
      </c>
      <c r="M1463" s="50" t="n">
        <f aca="false">INDEX(Productos!$F$2:$F$13,MATCH($H1463,Productos!$A$2:$A$13,0))</f>
        <v>112</v>
      </c>
      <c r="N1463" s="51" t="n">
        <v>0.113</v>
      </c>
      <c r="O1463" s="52" t="n">
        <f aca="false">M1463*(1-N1463)</f>
        <v>99.344</v>
      </c>
      <c r="P1463" s="21" t="n">
        <f aca="false">L1463*O1463</f>
        <v>24935.344</v>
      </c>
      <c r="Q1463" s="50" t="n">
        <f aca="false">INDEX(Productos!$E$2:$E$13,MATCH($H1463,Productos!$A$2:$A$13,0))*INDEX(Parametros!$B$26:$B$43,MATCH($C1463,Parametros!$A$26:$A$43,0))</f>
        <v>59.64</v>
      </c>
      <c r="R1463" s="21" t="n">
        <f aca="false">L1463*Q1463</f>
        <v>14969.64</v>
      </c>
      <c r="S1463" s="18" t="n">
        <f aca="false">L1463*INDEX(Parametros!$B$20:$B$22,MATCH($E1463,Parametros!$A$20:$A$22,0))</f>
        <v>602.4</v>
      </c>
      <c r="T1463" s="18" t="n">
        <f aca="false">P1463*INDEX(Parametros!$B$13:$B$16,MATCH($F1463,Parametros!$A$13:$A$16,0))</f>
        <v>997.41376</v>
      </c>
      <c r="U1463" s="21" t="n">
        <f aca="false">P1463-R1463-S1463-T1463</f>
        <v>8365.89024</v>
      </c>
      <c r="V1463" s="19" t="n">
        <f aca="false">IFERROR(U1463/P1463,0)</f>
        <v>0.335503301658882</v>
      </c>
      <c r="W1463" s="48" t="n">
        <f aca="false">B1463+INDEX(Parametros!$C$13:$C$16,MATCH($F1463,Parametros!$A$13:$A$16,0))</f>
        <v>46228</v>
      </c>
      <c r="X1463" s="31" t="s">
        <v>67</v>
      </c>
      <c r="Y1463" s="53" t="n">
        <f aca="false">IF(COUNTIF($A$2:$A1463,A1463)=1,1,0)</f>
        <v>0</v>
      </c>
    </row>
    <row r="1464" customFormat="false" ht="15" hidden="false" customHeight="false" outlineLevel="0" collapsed="false">
      <c r="A1464" s="31" t="s">
        <v>1031</v>
      </c>
      <c r="B1464" s="36" t="n">
        <v>46153</v>
      </c>
      <c r="C1464" s="49" t="n">
        <f aca="false">DATE(YEAR(B1464),MONTH(B1464),1)</f>
        <v>46143</v>
      </c>
      <c r="D1464" s="31" t="s">
        <v>220</v>
      </c>
      <c r="E1464" s="31" t="s">
        <v>42</v>
      </c>
      <c r="F1464" s="31" t="s">
        <v>46</v>
      </c>
      <c r="G1464" s="31" t="s">
        <v>61</v>
      </c>
      <c r="H1464" s="31" t="s">
        <v>171</v>
      </c>
      <c r="I1464" s="32" t="str">
        <f aca="false">INDEX(Productos!$B$2:$B$13,MATCH($H1464,Productos!$A$2:$A$13,0))</f>
        <v>Tornillo DIN 7991 M8x30 avellanado inox A2</v>
      </c>
      <c r="J1464" s="32" t="str">
        <f aca="false">INDEX(Productos!$C$2:$C$13,MATCH($H1464,Productos!$A$2:$A$13,0))</f>
        <v>Inoxidable</v>
      </c>
      <c r="K1464" s="31" t="s">
        <v>246</v>
      </c>
      <c r="L1464" s="46" t="n">
        <v>105</v>
      </c>
      <c r="M1464" s="50" t="n">
        <f aca="false">INDEX(Productos!$F$2:$F$13,MATCH($H1464,Productos!$A$2:$A$13,0))</f>
        <v>88</v>
      </c>
      <c r="N1464" s="51" t="n">
        <v>0.104</v>
      </c>
      <c r="O1464" s="52" t="n">
        <f aca="false">M1464*(1-N1464)</f>
        <v>78.848</v>
      </c>
      <c r="P1464" s="21" t="n">
        <f aca="false">L1464*O1464</f>
        <v>8279.04</v>
      </c>
      <c r="Q1464" s="50" t="n">
        <f aca="false">INDEX(Productos!$E$2:$E$13,MATCH($H1464,Productos!$A$2:$A$13,0))*INDEX(Parametros!$B$26:$B$43,MATCH($C1464,Parametros!$A$26:$A$43,0))</f>
        <v>46.221</v>
      </c>
      <c r="R1464" s="21" t="n">
        <f aca="false">L1464*Q1464</f>
        <v>4853.205</v>
      </c>
      <c r="S1464" s="18" t="n">
        <f aca="false">L1464*INDEX(Parametros!$B$20:$B$22,MATCH($E1464,Parametros!$A$20:$A$22,0))</f>
        <v>252</v>
      </c>
      <c r="T1464" s="18" t="n">
        <f aca="false">P1464*INDEX(Parametros!$B$13:$B$16,MATCH($F1464,Parametros!$A$13:$A$16,0))</f>
        <v>331.1616</v>
      </c>
      <c r="U1464" s="21" t="n">
        <f aca="false">P1464-R1464-S1464-T1464</f>
        <v>2842.6734</v>
      </c>
      <c r="V1464" s="19" t="n">
        <f aca="false">IFERROR(U1464/P1464,0)</f>
        <v>0.343357853084416</v>
      </c>
      <c r="W1464" s="48" t="n">
        <f aca="false">B1464+INDEX(Parametros!$C$13:$C$16,MATCH($F1464,Parametros!$A$13:$A$16,0))</f>
        <v>46228</v>
      </c>
      <c r="X1464" s="31" t="s">
        <v>69</v>
      </c>
      <c r="Y1464" s="53" t="n">
        <f aca="false">IF(COUNTIF($A$2:$A1464,A1464)=1,1,0)</f>
        <v>0</v>
      </c>
    </row>
    <row r="1465" customFormat="false" ht="15" hidden="false" customHeight="false" outlineLevel="0" collapsed="false">
      <c r="A1465" s="31" t="s">
        <v>1032</v>
      </c>
      <c r="B1465" s="36" t="n">
        <v>46153</v>
      </c>
      <c r="C1465" s="49" t="n">
        <f aca="false">DATE(YEAR(B1465),MONTH(B1465),1)</f>
        <v>46143</v>
      </c>
      <c r="D1465" s="31" t="s">
        <v>212</v>
      </c>
      <c r="E1465" s="31" t="s">
        <v>42</v>
      </c>
      <c r="F1465" s="31" t="s">
        <v>45</v>
      </c>
      <c r="G1465" s="31" t="s">
        <v>61</v>
      </c>
      <c r="H1465" s="31" t="s">
        <v>171</v>
      </c>
      <c r="I1465" s="32" t="str">
        <f aca="false">INDEX(Productos!$B$2:$B$13,MATCH($H1465,Productos!$A$2:$A$13,0))</f>
        <v>Tornillo DIN 7991 M8x30 avellanado inox A2</v>
      </c>
      <c r="J1465" s="32" t="str">
        <f aca="false">INDEX(Productos!$C$2:$C$13,MATCH($H1465,Productos!$A$2:$A$13,0))</f>
        <v>Inoxidable</v>
      </c>
      <c r="K1465" s="31" t="s">
        <v>246</v>
      </c>
      <c r="L1465" s="46" t="n">
        <v>53</v>
      </c>
      <c r="M1465" s="50" t="n">
        <f aca="false">INDEX(Productos!$F$2:$F$13,MATCH($H1465,Productos!$A$2:$A$13,0))</f>
        <v>88</v>
      </c>
      <c r="N1465" s="51" t="n">
        <v>0.123</v>
      </c>
      <c r="O1465" s="52" t="n">
        <f aca="false">M1465*(1-N1465)</f>
        <v>77.176</v>
      </c>
      <c r="P1465" s="21" t="n">
        <f aca="false">L1465*O1465</f>
        <v>4090.328</v>
      </c>
      <c r="Q1465" s="50" t="n">
        <f aca="false">INDEX(Productos!$E$2:$E$13,MATCH($H1465,Productos!$A$2:$A$13,0))*INDEX(Parametros!$B$26:$B$43,MATCH($C1465,Parametros!$A$26:$A$43,0))</f>
        <v>46.221</v>
      </c>
      <c r="R1465" s="21" t="n">
        <f aca="false">L1465*Q1465</f>
        <v>2449.713</v>
      </c>
      <c r="S1465" s="18" t="n">
        <f aca="false">L1465*INDEX(Parametros!$B$20:$B$22,MATCH($E1465,Parametros!$A$20:$A$22,0))</f>
        <v>127.2</v>
      </c>
      <c r="T1465" s="18" t="n">
        <f aca="false">P1465*INDEX(Parametros!$B$13:$B$16,MATCH($F1465,Parametros!$A$13:$A$16,0))</f>
        <v>122.70984</v>
      </c>
      <c r="U1465" s="21" t="n">
        <f aca="false">P1465-R1465-S1465-T1465</f>
        <v>1390.70516</v>
      </c>
      <c r="V1465" s="19" t="n">
        <f aca="false">IFERROR(U1465/P1465,0)</f>
        <v>0.33999844511247</v>
      </c>
      <c r="W1465" s="48" t="n">
        <f aca="false">B1465+INDEX(Parametros!$C$13:$C$16,MATCH($F1465,Parametros!$A$13:$A$16,0))</f>
        <v>46213</v>
      </c>
      <c r="X1465" s="31" t="s">
        <v>67</v>
      </c>
      <c r="Y1465" s="53" t="n">
        <f aca="false">IF(COUNTIF($A$2:$A1465,A1465)=1,1,0)</f>
        <v>1</v>
      </c>
    </row>
    <row r="1466" customFormat="false" ht="15" hidden="false" customHeight="false" outlineLevel="0" collapsed="false">
      <c r="A1466" s="31" t="s">
        <v>1033</v>
      </c>
      <c r="B1466" s="36" t="n">
        <v>46153</v>
      </c>
      <c r="C1466" s="49" t="n">
        <f aca="false">DATE(YEAR(B1466),MONTH(B1466),1)</f>
        <v>46143</v>
      </c>
      <c r="D1466" s="31" t="s">
        <v>206</v>
      </c>
      <c r="E1466" s="31" t="s">
        <v>41</v>
      </c>
      <c r="F1466" s="31" t="s">
        <v>46</v>
      </c>
      <c r="G1466" s="31" t="s">
        <v>58</v>
      </c>
      <c r="H1466" s="31" t="s">
        <v>167</v>
      </c>
      <c r="I1466" s="32" t="str">
        <f aca="false">INDEX(Productos!$B$2:$B$13,MATCH($H1466,Productos!$A$2:$A$13,0))</f>
        <v>Tornillo DIN 912 M6x25 Allen zincado</v>
      </c>
      <c r="J1466" s="32" t="str">
        <f aca="false">INDEX(Productos!$C$2:$C$13,MATCH($H1466,Productos!$A$2:$A$13,0))</f>
        <v>Métrica</v>
      </c>
      <c r="K1466" s="31" t="s">
        <v>246</v>
      </c>
      <c r="L1466" s="46" t="n">
        <v>288</v>
      </c>
      <c r="M1466" s="50" t="n">
        <f aca="false">INDEX(Productos!$F$2:$F$13,MATCH($H1466,Productos!$A$2:$A$13,0))</f>
        <v>42</v>
      </c>
      <c r="N1466" s="51" t="n">
        <v>0.098</v>
      </c>
      <c r="O1466" s="52" t="n">
        <f aca="false">M1466*(1-N1466)</f>
        <v>37.884</v>
      </c>
      <c r="P1466" s="21" t="n">
        <f aca="false">L1466*O1466</f>
        <v>10910.592</v>
      </c>
      <c r="Q1466" s="50" t="n">
        <f aca="false">INDEX(Productos!$E$2:$E$13,MATCH($H1466,Productos!$A$2:$A$13,0))*INDEX(Parametros!$B$26:$B$43,MATCH($C1466,Parametros!$A$26:$A$43,0))</f>
        <v>21.6692</v>
      </c>
      <c r="R1466" s="21" t="n">
        <f aca="false">L1466*Q1466</f>
        <v>6240.7296</v>
      </c>
      <c r="S1466" s="18" t="n">
        <f aca="false">L1466*INDEX(Parametros!$B$20:$B$22,MATCH($E1466,Parametros!$A$20:$A$22,0))</f>
        <v>244.8</v>
      </c>
      <c r="T1466" s="18" t="n">
        <f aca="false">P1466*INDEX(Parametros!$B$13:$B$16,MATCH($F1466,Parametros!$A$13:$A$16,0))</f>
        <v>436.42368</v>
      </c>
      <c r="U1466" s="21" t="n">
        <f aca="false">P1466-R1466-S1466-T1466</f>
        <v>3988.63872</v>
      </c>
      <c r="V1466" s="19" t="n">
        <f aca="false">IFERROR(U1466/P1466,0)</f>
        <v>0.365574912891986</v>
      </c>
      <c r="W1466" s="48" t="n">
        <f aca="false">B1466+INDEX(Parametros!$C$13:$C$16,MATCH($F1466,Parametros!$A$13:$A$16,0))</f>
        <v>46228</v>
      </c>
      <c r="X1466" s="31" t="s">
        <v>67</v>
      </c>
      <c r="Y1466" s="53" t="n">
        <f aca="false">IF(COUNTIF($A$2:$A1466,A1466)=1,1,0)</f>
        <v>1</v>
      </c>
    </row>
    <row r="1467" customFormat="false" ht="15" hidden="false" customHeight="false" outlineLevel="0" collapsed="false">
      <c r="A1467" s="31" t="s">
        <v>1033</v>
      </c>
      <c r="B1467" s="36" t="n">
        <v>46153</v>
      </c>
      <c r="C1467" s="49" t="n">
        <f aca="false">DATE(YEAR(B1467),MONTH(B1467),1)</f>
        <v>46143</v>
      </c>
      <c r="D1467" s="31" t="s">
        <v>206</v>
      </c>
      <c r="E1467" s="31" t="s">
        <v>41</v>
      </c>
      <c r="F1467" s="31" t="s">
        <v>46</v>
      </c>
      <c r="G1467" s="31" t="s">
        <v>58</v>
      </c>
      <c r="H1467" s="31" t="s">
        <v>177</v>
      </c>
      <c r="I1467" s="32" t="str">
        <f aca="false">INDEX(Productos!$B$2:$B$13,MATCH($H1467,Productos!$A$2:$A$13,0))</f>
        <v>Tirafondo madera 6x100 cabeza plana Torx</v>
      </c>
      <c r="J1467" s="32" t="str">
        <f aca="false">INDEX(Productos!$C$2:$C$13,MATCH($H1467,Productos!$A$2:$A$13,0))</f>
        <v>Madera</v>
      </c>
      <c r="K1467" s="31" t="s">
        <v>246</v>
      </c>
      <c r="L1467" s="46" t="n">
        <v>118</v>
      </c>
      <c r="M1467" s="50" t="n">
        <f aca="false">INDEX(Productos!$F$2:$F$13,MATCH($H1467,Productos!$A$2:$A$13,0))</f>
        <v>34</v>
      </c>
      <c r="N1467" s="51" t="n">
        <v>0.132</v>
      </c>
      <c r="O1467" s="52" t="n">
        <f aca="false">M1467*(1-N1467)</f>
        <v>29.512</v>
      </c>
      <c r="P1467" s="21" t="n">
        <f aca="false">L1467*O1467</f>
        <v>3482.416</v>
      </c>
      <c r="Q1467" s="50" t="n">
        <f aca="false">INDEX(Productos!$E$2:$E$13,MATCH($H1467,Productos!$A$2:$A$13,0))*INDEX(Parametros!$B$26:$B$43,MATCH($C1467,Parametros!$A$26:$A$43,0))</f>
        <v>17.6932</v>
      </c>
      <c r="R1467" s="21" t="n">
        <f aca="false">L1467*Q1467</f>
        <v>2087.7976</v>
      </c>
      <c r="S1467" s="18" t="n">
        <f aca="false">L1467*INDEX(Parametros!$B$20:$B$22,MATCH($E1467,Parametros!$A$20:$A$22,0))</f>
        <v>100.3</v>
      </c>
      <c r="T1467" s="18" t="n">
        <f aca="false">P1467*INDEX(Parametros!$B$13:$B$16,MATCH($F1467,Parametros!$A$13:$A$16,0))</f>
        <v>139.29664</v>
      </c>
      <c r="U1467" s="21" t="n">
        <f aca="false">P1467-R1467-S1467-T1467</f>
        <v>1155.02176</v>
      </c>
      <c r="V1467" s="19" t="n">
        <f aca="false">IFERROR(U1467/P1467,0)</f>
        <v>0.331672539983735</v>
      </c>
      <c r="W1467" s="48" t="n">
        <f aca="false">B1467+INDEX(Parametros!$C$13:$C$16,MATCH($F1467,Parametros!$A$13:$A$16,0))</f>
        <v>46228</v>
      </c>
      <c r="X1467" s="31" t="s">
        <v>67</v>
      </c>
      <c r="Y1467" s="53" t="n">
        <f aca="false">IF(COUNTIF($A$2:$A1467,A1467)=1,1,0)</f>
        <v>0</v>
      </c>
    </row>
    <row r="1468" customFormat="false" ht="15" hidden="false" customHeight="false" outlineLevel="0" collapsed="false">
      <c r="A1468" s="31" t="s">
        <v>1034</v>
      </c>
      <c r="B1468" s="36" t="n">
        <v>46153</v>
      </c>
      <c r="C1468" s="49" t="n">
        <f aca="false">DATE(YEAR(B1468),MONTH(B1468),1)</f>
        <v>46143</v>
      </c>
      <c r="D1468" s="31" t="s">
        <v>198</v>
      </c>
      <c r="E1468" s="31" t="s">
        <v>41</v>
      </c>
      <c r="F1468" s="31" t="s">
        <v>46</v>
      </c>
      <c r="G1468" s="31" t="s">
        <v>58</v>
      </c>
      <c r="H1468" s="31" t="s">
        <v>181</v>
      </c>
      <c r="I1468" s="32" t="str">
        <f aca="false">INDEX(Productos!$B$2:$B$13,MATCH($H1468,Productos!$A$2:$A$13,0))</f>
        <v>Autotaladrante 5,5x55 punta broca</v>
      </c>
      <c r="J1468" s="32" t="str">
        <f aca="false">INDEX(Productos!$C$2:$C$13,MATCH($H1468,Productos!$A$2:$A$13,0))</f>
        <v>Autotaladrante</v>
      </c>
      <c r="K1468" s="31" t="s">
        <v>246</v>
      </c>
      <c r="L1468" s="46" t="n">
        <v>197</v>
      </c>
      <c r="M1468" s="50" t="n">
        <f aca="false">INDEX(Productos!$F$2:$F$13,MATCH($H1468,Productos!$A$2:$A$13,0))</f>
        <v>39</v>
      </c>
      <c r="N1468" s="51" t="n">
        <v>0.114</v>
      </c>
      <c r="O1468" s="52" t="n">
        <f aca="false">M1468*(1-N1468)</f>
        <v>34.554</v>
      </c>
      <c r="P1468" s="21" t="n">
        <f aca="false">L1468*O1468</f>
        <v>6807.138</v>
      </c>
      <c r="Q1468" s="50" t="n">
        <f aca="false">INDEX(Productos!$E$2:$E$13,MATCH($H1468,Productos!$A$2:$A$13,0))*INDEX(Parametros!$B$26:$B$43,MATCH($C1468,Parametros!$A$26:$A$43,0))</f>
        <v>20.1782</v>
      </c>
      <c r="R1468" s="21" t="n">
        <f aca="false">L1468*Q1468</f>
        <v>3975.1054</v>
      </c>
      <c r="S1468" s="18" t="n">
        <f aca="false">L1468*INDEX(Parametros!$B$20:$B$22,MATCH($E1468,Parametros!$A$20:$A$22,0))</f>
        <v>167.45</v>
      </c>
      <c r="T1468" s="18" t="n">
        <f aca="false">P1468*INDEX(Parametros!$B$13:$B$16,MATCH($F1468,Parametros!$A$13:$A$16,0))</f>
        <v>272.28552</v>
      </c>
      <c r="U1468" s="21" t="n">
        <f aca="false">P1468-R1468-S1468-T1468</f>
        <v>2392.29708</v>
      </c>
      <c r="V1468" s="19" t="n">
        <f aca="false">IFERROR(U1468/P1468,0)</f>
        <v>0.351439486021879</v>
      </c>
      <c r="W1468" s="48" t="n">
        <f aca="false">B1468+INDEX(Parametros!$C$13:$C$16,MATCH($F1468,Parametros!$A$13:$A$16,0))</f>
        <v>46228</v>
      </c>
      <c r="X1468" s="31" t="s">
        <v>67</v>
      </c>
      <c r="Y1468" s="53" t="n">
        <f aca="false">IF(COUNTIF($A$2:$A1468,A1468)=1,1,0)</f>
        <v>1</v>
      </c>
    </row>
    <row r="1469" customFormat="false" ht="15" hidden="false" customHeight="false" outlineLevel="0" collapsed="false">
      <c r="A1469" s="31" t="s">
        <v>1035</v>
      </c>
      <c r="B1469" s="36" t="n">
        <v>46153</v>
      </c>
      <c r="C1469" s="49" t="n">
        <f aca="false">DATE(YEAR(B1469),MONTH(B1469),1)</f>
        <v>46143</v>
      </c>
      <c r="D1469" s="31" t="s">
        <v>195</v>
      </c>
      <c r="E1469" s="31" t="s">
        <v>41</v>
      </c>
      <c r="F1469" s="31" t="s">
        <v>45</v>
      </c>
      <c r="G1469" s="31" t="s">
        <v>58</v>
      </c>
      <c r="H1469" s="31" t="s">
        <v>179</v>
      </c>
      <c r="I1469" s="32" t="str">
        <f aca="false">INDEX(Productos!$B$2:$B$13,MATCH($H1469,Productos!$A$2:$A$13,0))</f>
        <v>Autotaladrante DIN 7504 4,8x38 zincado</v>
      </c>
      <c r="J1469" s="32" t="str">
        <f aca="false">INDEX(Productos!$C$2:$C$13,MATCH($H1469,Productos!$A$2:$A$13,0))</f>
        <v>Autotaladrante</v>
      </c>
      <c r="K1469" s="31" t="s">
        <v>246</v>
      </c>
      <c r="L1469" s="46" t="n">
        <v>144</v>
      </c>
      <c r="M1469" s="50" t="n">
        <f aca="false">INDEX(Productos!$F$2:$F$13,MATCH($H1469,Productos!$A$2:$A$13,0))</f>
        <v>29.5</v>
      </c>
      <c r="N1469" s="51" t="n">
        <v>0.216</v>
      </c>
      <c r="O1469" s="52" t="n">
        <f aca="false">M1469*(1-N1469)</f>
        <v>23.128</v>
      </c>
      <c r="P1469" s="21" t="n">
        <f aca="false">L1469*O1469</f>
        <v>3330.432</v>
      </c>
      <c r="Q1469" s="50" t="n">
        <f aca="false">INDEX(Productos!$E$2:$E$13,MATCH($H1469,Productos!$A$2:$A$13,0))*INDEX(Parametros!$B$26:$B$43,MATCH($C1469,Parametros!$A$26:$A$43,0))</f>
        <v>15.1088</v>
      </c>
      <c r="R1469" s="21" t="n">
        <f aca="false">L1469*Q1469</f>
        <v>2175.6672</v>
      </c>
      <c r="S1469" s="18" t="n">
        <f aca="false">L1469*INDEX(Parametros!$B$20:$B$22,MATCH($E1469,Parametros!$A$20:$A$22,0))</f>
        <v>122.4</v>
      </c>
      <c r="T1469" s="18" t="n">
        <f aca="false">P1469*INDEX(Parametros!$B$13:$B$16,MATCH($F1469,Parametros!$A$13:$A$16,0))</f>
        <v>99.91296</v>
      </c>
      <c r="U1469" s="21" t="n">
        <f aca="false">P1469-R1469-S1469-T1469</f>
        <v>932.45184</v>
      </c>
      <c r="V1469" s="19" t="n">
        <f aca="false">IFERROR(U1469/P1469,0)</f>
        <v>0.279979245935662</v>
      </c>
      <c r="W1469" s="48" t="n">
        <f aca="false">B1469+INDEX(Parametros!$C$13:$C$16,MATCH($F1469,Parametros!$A$13:$A$16,0))</f>
        <v>46213</v>
      </c>
      <c r="X1469" s="31" t="s">
        <v>67</v>
      </c>
      <c r="Y1469" s="53" t="n">
        <f aca="false">IF(COUNTIF($A$2:$A1469,A1469)=1,1,0)</f>
        <v>1</v>
      </c>
    </row>
    <row r="1470" customFormat="false" ht="15" hidden="false" customHeight="false" outlineLevel="0" collapsed="false">
      <c r="A1470" s="31" t="s">
        <v>1035</v>
      </c>
      <c r="B1470" s="36" t="n">
        <v>46153</v>
      </c>
      <c r="C1470" s="49" t="n">
        <f aca="false">DATE(YEAR(B1470),MONTH(B1470),1)</f>
        <v>46143</v>
      </c>
      <c r="D1470" s="31" t="s">
        <v>195</v>
      </c>
      <c r="E1470" s="31" t="s">
        <v>41</v>
      </c>
      <c r="F1470" s="31" t="s">
        <v>45</v>
      </c>
      <c r="G1470" s="31" t="s">
        <v>58</v>
      </c>
      <c r="H1470" s="31" t="s">
        <v>185</v>
      </c>
      <c r="I1470" s="32" t="str">
        <f aca="false">INDEX(Productos!$B$2:$B$13,MATCH($H1470,Productos!$A$2:$A$13,0))</f>
        <v>Varilla roscada M10 x 1 m zincada</v>
      </c>
      <c r="J1470" s="32" t="str">
        <f aca="false">INDEX(Productos!$C$2:$C$13,MATCH($H1470,Productos!$A$2:$A$13,0))</f>
        <v>Especial</v>
      </c>
      <c r="K1470" s="31" t="s">
        <v>246</v>
      </c>
      <c r="L1470" s="46" t="n">
        <v>168</v>
      </c>
      <c r="M1470" s="50" t="n">
        <f aca="false">INDEX(Productos!$F$2:$F$13,MATCH($H1470,Productos!$A$2:$A$13,0))</f>
        <v>54</v>
      </c>
      <c r="N1470" s="51" t="n">
        <v>0.167</v>
      </c>
      <c r="O1470" s="52" t="n">
        <f aca="false">M1470*(1-N1470)</f>
        <v>44.982</v>
      </c>
      <c r="P1470" s="21" t="n">
        <f aca="false">L1470*O1470</f>
        <v>7556.976</v>
      </c>
      <c r="Q1470" s="50" t="n">
        <f aca="false">INDEX(Productos!$E$2:$E$13,MATCH($H1470,Productos!$A$2:$A$13,0))*INDEX(Parametros!$B$26:$B$43,MATCH($C1470,Parametros!$A$26:$A$43,0))</f>
        <v>28.329</v>
      </c>
      <c r="R1470" s="21" t="n">
        <f aca="false">L1470*Q1470</f>
        <v>4759.272</v>
      </c>
      <c r="S1470" s="18" t="n">
        <f aca="false">L1470*INDEX(Parametros!$B$20:$B$22,MATCH($E1470,Parametros!$A$20:$A$22,0))</f>
        <v>142.8</v>
      </c>
      <c r="T1470" s="18" t="n">
        <f aca="false">P1470*INDEX(Parametros!$B$13:$B$16,MATCH($F1470,Parametros!$A$13:$A$16,0))</f>
        <v>226.70928</v>
      </c>
      <c r="U1470" s="21" t="n">
        <f aca="false">P1470-R1470-S1470-T1470</f>
        <v>2428.19472</v>
      </c>
      <c r="V1470" s="19" t="n">
        <f aca="false">IFERROR(U1470/P1470,0)</f>
        <v>0.321318305099818</v>
      </c>
      <c r="W1470" s="48" t="n">
        <f aca="false">B1470+INDEX(Parametros!$C$13:$C$16,MATCH($F1470,Parametros!$A$13:$A$16,0))</f>
        <v>46213</v>
      </c>
      <c r="X1470" s="31" t="s">
        <v>67</v>
      </c>
      <c r="Y1470" s="53" t="n">
        <f aca="false">IF(COUNTIF($A$2:$A1470,A1470)=1,1,0)</f>
        <v>0</v>
      </c>
    </row>
    <row r="1471" customFormat="false" ht="15" hidden="false" customHeight="false" outlineLevel="0" collapsed="false">
      <c r="A1471" s="31" t="s">
        <v>1036</v>
      </c>
      <c r="B1471" s="36" t="n">
        <v>46154</v>
      </c>
      <c r="C1471" s="49" t="n">
        <f aca="false">DATE(YEAR(B1471),MONTH(B1471),1)</f>
        <v>46143</v>
      </c>
      <c r="D1471" s="31" t="s">
        <v>195</v>
      </c>
      <c r="E1471" s="31" t="s">
        <v>41</v>
      </c>
      <c r="F1471" s="31" t="s">
        <v>45</v>
      </c>
      <c r="G1471" s="31" t="s">
        <v>58</v>
      </c>
      <c r="H1471" s="31" t="s">
        <v>177</v>
      </c>
      <c r="I1471" s="32" t="str">
        <f aca="false">INDEX(Productos!$B$2:$B$13,MATCH($H1471,Productos!$A$2:$A$13,0))</f>
        <v>Tirafondo madera 6x100 cabeza plana Torx</v>
      </c>
      <c r="J1471" s="32" t="str">
        <f aca="false">INDEX(Productos!$C$2:$C$13,MATCH($H1471,Productos!$A$2:$A$13,0))</f>
        <v>Madera</v>
      </c>
      <c r="K1471" s="31" t="s">
        <v>246</v>
      </c>
      <c r="L1471" s="46" t="n">
        <v>57</v>
      </c>
      <c r="M1471" s="50" t="n">
        <f aca="false">INDEX(Productos!$F$2:$F$13,MATCH($H1471,Productos!$A$2:$A$13,0))</f>
        <v>34</v>
      </c>
      <c r="N1471" s="51" t="n">
        <v>0.205</v>
      </c>
      <c r="O1471" s="52" t="n">
        <f aca="false">M1471*(1-N1471)</f>
        <v>27.03</v>
      </c>
      <c r="P1471" s="21" t="n">
        <f aca="false">L1471*O1471</f>
        <v>1540.71</v>
      </c>
      <c r="Q1471" s="50" t="n">
        <f aca="false">INDEX(Productos!$E$2:$E$13,MATCH($H1471,Productos!$A$2:$A$13,0))*INDEX(Parametros!$B$26:$B$43,MATCH($C1471,Parametros!$A$26:$A$43,0))</f>
        <v>17.6932</v>
      </c>
      <c r="R1471" s="21" t="n">
        <f aca="false">L1471*Q1471</f>
        <v>1008.5124</v>
      </c>
      <c r="S1471" s="18" t="n">
        <f aca="false">L1471*INDEX(Parametros!$B$20:$B$22,MATCH($E1471,Parametros!$A$20:$A$22,0))</f>
        <v>48.45</v>
      </c>
      <c r="T1471" s="18" t="n">
        <f aca="false">P1471*INDEX(Parametros!$B$13:$B$16,MATCH($F1471,Parametros!$A$13:$A$16,0))</f>
        <v>46.2213</v>
      </c>
      <c r="U1471" s="21" t="n">
        <f aca="false">P1471-R1471-S1471-T1471</f>
        <v>437.5263</v>
      </c>
      <c r="V1471" s="19" t="n">
        <f aca="false">IFERROR(U1471/P1471,0)</f>
        <v>0.283977062523122</v>
      </c>
      <c r="W1471" s="48" t="n">
        <f aca="false">B1471+INDEX(Parametros!$C$13:$C$16,MATCH($F1471,Parametros!$A$13:$A$16,0))</f>
        <v>46214</v>
      </c>
      <c r="X1471" s="31" t="s">
        <v>67</v>
      </c>
      <c r="Y1471" s="53" t="n">
        <f aca="false">IF(COUNTIF($A$2:$A1471,A1471)=1,1,0)</f>
        <v>1</v>
      </c>
    </row>
    <row r="1472" customFormat="false" ht="15" hidden="false" customHeight="false" outlineLevel="0" collapsed="false">
      <c r="A1472" s="31" t="s">
        <v>1037</v>
      </c>
      <c r="B1472" s="36" t="n">
        <v>46155</v>
      </c>
      <c r="C1472" s="49" t="n">
        <f aca="false">DATE(YEAR(B1472),MONTH(B1472),1)</f>
        <v>46143</v>
      </c>
      <c r="D1472" s="31" t="s">
        <v>212</v>
      </c>
      <c r="E1472" s="31" t="s">
        <v>42</v>
      </c>
      <c r="F1472" s="31" t="s">
        <v>45</v>
      </c>
      <c r="G1472" s="31" t="s">
        <v>61</v>
      </c>
      <c r="H1472" s="31" t="s">
        <v>163</v>
      </c>
      <c r="I1472" s="32" t="str">
        <f aca="false">INDEX(Productos!$B$2:$B$13,MATCH($H1472,Productos!$A$2:$A$13,0))</f>
        <v>Tornillo DIN 933 M6x30 rosca completa zincado</v>
      </c>
      <c r="J1472" s="32" t="str">
        <f aca="false">INDEX(Productos!$C$2:$C$13,MATCH($H1472,Productos!$A$2:$A$13,0))</f>
        <v>Métrica</v>
      </c>
      <c r="K1472" s="31" t="s">
        <v>246</v>
      </c>
      <c r="L1472" s="46" t="n">
        <v>38</v>
      </c>
      <c r="M1472" s="50" t="n">
        <f aca="false">INDEX(Productos!$F$2:$F$13,MATCH($H1472,Productos!$A$2:$A$13,0))</f>
        <v>32</v>
      </c>
      <c r="N1472" s="51" t="n">
        <v>0.166</v>
      </c>
      <c r="O1472" s="52" t="n">
        <f aca="false">M1472*(1-N1472)</f>
        <v>26.688</v>
      </c>
      <c r="P1472" s="21" t="n">
        <f aca="false">L1472*O1472</f>
        <v>1014.144</v>
      </c>
      <c r="Q1472" s="50" t="n">
        <f aca="false">INDEX(Productos!$E$2:$E$13,MATCH($H1472,Productos!$A$2:$A$13,0))*INDEX(Parametros!$B$26:$B$43,MATCH($C1472,Parametros!$A$26:$A$43,0))</f>
        <v>16.5004</v>
      </c>
      <c r="R1472" s="21" t="n">
        <f aca="false">L1472*Q1472</f>
        <v>627.0152</v>
      </c>
      <c r="S1472" s="18" t="n">
        <f aca="false">L1472*INDEX(Parametros!$B$20:$B$22,MATCH($E1472,Parametros!$A$20:$A$22,0))</f>
        <v>91.2</v>
      </c>
      <c r="T1472" s="18" t="n">
        <f aca="false">P1472*INDEX(Parametros!$B$13:$B$16,MATCH($F1472,Parametros!$A$13:$A$16,0))</f>
        <v>30.42432</v>
      </c>
      <c r="U1472" s="21" t="n">
        <f aca="false">P1472-R1472-S1472-T1472</f>
        <v>265.50448</v>
      </c>
      <c r="V1472" s="19" t="n">
        <f aca="false">IFERROR(U1472/P1472,0)</f>
        <v>0.261801558752998</v>
      </c>
      <c r="W1472" s="48" t="n">
        <f aca="false">B1472+INDEX(Parametros!$C$13:$C$16,MATCH($F1472,Parametros!$A$13:$A$16,0))</f>
        <v>46215</v>
      </c>
      <c r="X1472" s="31" t="s">
        <v>67</v>
      </c>
      <c r="Y1472" s="53" t="n">
        <f aca="false">IF(COUNTIF($A$2:$A1472,A1472)=1,1,0)</f>
        <v>1</v>
      </c>
    </row>
    <row r="1473" customFormat="false" ht="15" hidden="false" customHeight="false" outlineLevel="0" collapsed="false">
      <c r="A1473" s="31" t="s">
        <v>1038</v>
      </c>
      <c r="B1473" s="36" t="n">
        <v>46155</v>
      </c>
      <c r="C1473" s="49" t="n">
        <f aca="false">DATE(YEAR(B1473),MONTH(B1473),1)</f>
        <v>46143</v>
      </c>
      <c r="D1473" s="31" t="s">
        <v>215</v>
      </c>
      <c r="E1473" s="31" t="s">
        <v>42</v>
      </c>
      <c r="F1473" s="31" t="s">
        <v>46</v>
      </c>
      <c r="G1473" s="31" t="s">
        <v>61</v>
      </c>
      <c r="H1473" s="31" t="s">
        <v>177</v>
      </c>
      <c r="I1473" s="32" t="str">
        <f aca="false">INDEX(Productos!$B$2:$B$13,MATCH($H1473,Productos!$A$2:$A$13,0))</f>
        <v>Tirafondo madera 6x100 cabeza plana Torx</v>
      </c>
      <c r="J1473" s="32" t="str">
        <f aca="false">INDEX(Productos!$C$2:$C$13,MATCH($H1473,Productos!$A$2:$A$13,0))</f>
        <v>Madera</v>
      </c>
      <c r="K1473" s="31" t="s">
        <v>246</v>
      </c>
      <c r="L1473" s="46" t="n">
        <v>55</v>
      </c>
      <c r="M1473" s="50" t="n">
        <f aca="false">INDEX(Productos!$F$2:$F$13,MATCH($H1473,Productos!$A$2:$A$13,0))</f>
        <v>34</v>
      </c>
      <c r="N1473" s="51" t="n">
        <v>0.098</v>
      </c>
      <c r="O1473" s="52" t="n">
        <f aca="false">M1473*(1-N1473)</f>
        <v>30.668</v>
      </c>
      <c r="P1473" s="21" t="n">
        <f aca="false">L1473*O1473</f>
        <v>1686.74</v>
      </c>
      <c r="Q1473" s="50" t="n">
        <f aca="false">INDEX(Productos!$E$2:$E$13,MATCH($H1473,Productos!$A$2:$A$13,0))*INDEX(Parametros!$B$26:$B$43,MATCH($C1473,Parametros!$A$26:$A$43,0))</f>
        <v>17.6932</v>
      </c>
      <c r="R1473" s="21" t="n">
        <f aca="false">L1473*Q1473</f>
        <v>973.126</v>
      </c>
      <c r="S1473" s="18" t="n">
        <f aca="false">L1473*INDEX(Parametros!$B$20:$B$22,MATCH($E1473,Parametros!$A$20:$A$22,0))</f>
        <v>132</v>
      </c>
      <c r="T1473" s="18" t="n">
        <f aca="false">P1473*INDEX(Parametros!$B$13:$B$16,MATCH($F1473,Parametros!$A$13:$A$16,0))</f>
        <v>67.4696</v>
      </c>
      <c r="U1473" s="21" t="n">
        <f aca="false">P1473-R1473-S1473-T1473</f>
        <v>514.1444</v>
      </c>
      <c r="V1473" s="19" t="n">
        <f aca="false">IFERROR(U1473/P1473,0)</f>
        <v>0.304815442806834</v>
      </c>
      <c r="W1473" s="48" t="n">
        <f aca="false">B1473+INDEX(Parametros!$C$13:$C$16,MATCH($F1473,Parametros!$A$13:$A$16,0))</f>
        <v>46230</v>
      </c>
      <c r="X1473" s="31" t="s">
        <v>67</v>
      </c>
      <c r="Y1473" s="53" t="n">
        <f aca="false">IF(COUNTIF($A$2:$A1473,A1473)=1,1,0)</f>
        <v>1</v>
      </c>
    </row>
    <row r="1474" customFormat="false" ht="15" hidden="false" customHeight="false" outlineLevel="0" collapsed="false">
      <c r="A1474" s="31" t="s">
        <v>1039</v>
      </c>
      <c r="B1474" s="36" t="n">
        <v>46156</v>
      </c>
      <c r="C1474" s="49" t="n">
        <f aca="false">DATE(YEAR(B1474),MONTH(B1474),1)</f>
        <v>46143</v>
      </c>
      <c r="D1474" s="31" t="s">
        <v>224</v>
      </c>
      <c r="E1474" s="31" t="s">
        <v>43</v>
      </c>
      <c r="F1474" s="31" t="s">
        <v>45</v>
      </c>
      <c r="G1474" s="31" t="s">
        <v>59</v>
      </c>
      <c r="H1474" s="31" t="s">
        <v>165</v>
      </c>
      <c r="I1474" s="32" t="str">
        <f aca="false">INDEX(Productos!$B$2:$B$13,MATCH($H1474,Productos!$A$2:$A$13,0))</f>
        <v>Tornillo DIN 933 M8x40 rosca completa zincado</v>
      </c>
      <c r="J1474" s="32" t="str">
        <f aca="false">INDEX(Productos!$C$2:$C$13,MATCH($H1474,Productos!$A$2:$A$13,0))</f>
        <v>Métrica</v>
      </c>
      <c r="K1474" s="31" t="s">
        <v>246</v>
      </c>
      <c r="L1474" s="46" t="n">
        <v>318</v>
      </c>
      <c r="M1474" s="50" t="n">
        <f aca="false">INDEX(Productos!$F$2:$F$13,MATCH($H1474,Productos!$A$2:$A$13,0))</f>
        <v>37.5</v>
      </c>
      <c r="N1474" s="51" t="n">
        <v>0.167</v>
      </c>
      <c r="O1474" s="52" t="n">
        <f aca="false">M1474*(1-N1474)</f>
        <v>31.2375</v>
      </c>
      <c r="P1474" s="21" t="n">
        <f aca="false">L1474*O1474</f>
        <v>9933.525</v>
      </c>
      <c r="Q1474" s="50" t="n">
        <f aca="false">INDEX(Productos!$E$2:$E$13,MATCH($H1474,Productos!$A$2:$A$13,0))*INDEX(Parametros!$B$26:$B$43,MATCH($C1474,Parametros!$A$26:$A$43,0))</f>
        <v>19.2836</v>
      </c>
      <c r="R1474" s="21" t="n">
        <f aca="false">L1474*Q1474</f>
        <v>6132.1848</v>
      </c>
      <c r="S1474" s="18" t="n">
        <f aca="false">L1474*INDEX(Parametros!$B$20:$B$22,MATCH($E1474,Parametros!$A$20:$A$22,0))</f>
        <v>604.2</v>
      </c>
      <c r="T1474" s="18" t="n">
        <f aca="false">P1474*INDEX(Parametros!$B$13:$B$16,MATCH($F1474,Parametros!$A$13:$A$16,0))</f>
        <v>298.00575</v>
      </c>
      <c r="U1474" s="21" t="n">
        <f aca="false">P1474-R1474-S1474-T1474</f>
        <v>2899.13445</v>
      </c>
      <c r="V1474" s="19" t="n">
        <f aca="false">IFERROR(U1474/P1474,0)</f>
        <v>0.291853541416567</v>
      </c>
      <c r="W1474" s="48" t="n">
        <f aca="false">B1474+INDEX(Parametros!$C$13:$C$16,MATCH($F1474,Parametros!$A$13:$A$16,0))</f>
        <v>46216</v>
      </c>
      <c r="X1474" s="31" t="s">
        <v>67</v>
      </c>
      <c r="Y1474" s="53" t="n">
        <f aca="false">IF(COUNTIF($A$2:$A1474,A1474)=1,1,0)</f>
        <v>1</v>
      </c>
    </row>
    <row r="1475" customFormat="false" ht="15" hidden="false" customHeight="false" outlineLevel="0" collapsed="false">
      <c r="A1475" s="31" t="s">
        <v>1039</v>
      </c>
      <c r="B1475" s="36" t="n">
        <v>46156</v>
      </c>
      <c r="C1475" s="49" t="n">
        <f aca="false">DATE(YEAR(B1475),MONTH(B1475),1)</f>
        <v>46143</v>
      </c>
      <c r="D1475" s="31" t="s">
        <v>224</v>
      </c>
      <c r="E1475" s="31" t="s">
        <v>43</v>
      </c>
      <c r="F1475" s="31" t="s">
        <v>45</v>
      </c>
      <c r="G1475" s="31" t="s">
        <v>59</v>
      </c>
      <c r="H1475" s="31" t="s">
        <v>169</v>
      </c>
      <c r="I1475" s="32" t="str">
        <f aca="false">INDEX(Productos!$B$2:$B$13,MATCH($H1475,Productos!$A$2:$A$13,0))</f>
        <v>Tornillo DIN 912 M10x60 Allen inox A2</v>
      </c>
      <c r="J1475" s="32" t="str">
        <f aca="false">INDEX(Productos!$C$2:$C$13,MATCH($H1475,Productos!$A$2:$A$13,0))</f>
        <v>Inoxidable</v>
      </c>
      <c r="K1475" s="31" t="s">
        <v>246</v>
      </c>
      <c r="L1475" s="46" t="n">
        <v>48</v>
      </c>
      <c r="M1475" s="50" t="n">
        <f aca="false">INDEX(Productos!$F$2:$F$13,MATCH($H1475,Productos!$A$2:$A$13,0))</f>
        <v>79</v>
      </c>
      <c r="N1475" s="51" t="n">
        <v>0.152</v>
      </c>
      <c r="O1475" s="52" t="n">
        <f aca="false">M1475*(1-N1475)</f>
        <v>66.992</v>
      </c>
      <c r="P1475" s="21" t="n">
        <f aca="false">L1475*O1475</f>
        <v>3215.616</v>
      </c>
      <c r="Q1475" s="50" t="n">
        <f aca="false">INDEX(Productos!$E$2:$E$13,MATCH($H1475,Productos!$A$2:$A$13,0))*INDEX(Parametros!$B$26:$B$43,MATCH($C1475,Parametros!$A$26:$A$43,0))</f>
        <v>41.748</v>
      </c>
      <c r="R1475" s="21" t="n">
        <f aca="false">L1475*Q1475</f>
        <v>2003.904</v>
      </c>
      <c r="S1475" s="18" t="n">
        <f aca="false">L1475*INDEX(Parametros!$B$20:$B$22,MATCH($E1475,Parametros!$A$20:$A$22,0))</f>
        <v>91.2</v>
      </c>
      <c r="T1475" s="18" t="n">
        <f aca="false">P1475*INDEX(Parametros!$B$13:$B$16,MATCH($F1475,Parametros!$A$13:$A$16,0))</f>
        <v>96.46848</v>
      </c>
      <c r="U1475" s="21" t="n">
        <f aca="false">P1475-R1475-S1475-T1475</f>
        <v>1024.04352</v>
      </c>
      <c r="V1475" s="19" t="n">
        <f aca="false">IFERROR(U1475/P1475,0)</f>
        <v>0.318459517554335</v>
      </c>
      <c r="W1475" s="48" t="n">
        <f aca="false">B1475+INDEX(Parametros!$C$13:$C$16,MATCH($F1475,Parametros!$A$13:$A$16,0))</f>
        <v>46216</v>
      </c>
      <c r="X1475" s="31" t="s">
        <v>69</v>
      </c>
      <c r="Y1475" s="53" t="n">
        <f aca="false">IF(COUNTIF($A$2:$A1475,A1475)=1,1,0)</f>
        <v>0</v>
      </c>
    </row>
    <row r="1476" customFormat="false" ht="15" hidden="false" customHeight="false" outlineLevel="0" collapsed="false">
      <c r="A1476" s="31" t="s">
        <v>1040</v>
      </c>
      <c r="B1476" s="36" t="n">
        <v>46156</v>
      </c>
      <c r="C1476" s="49" t="n">
        <f aca="false">DATE(YEAR(B1476),MONTH(B1476),1)</f>
        <v>46143</v>
      </c>
      <c r="D1476" s="31" t="s">
        <v>219</v>
      </c>
      <c r="E1476" s="31" t="s">
        <v>42</v>
      </c>
      <c r="F1476" s="31" t="s">
        <v>45</v>
      </c>
      <c r="G1476" s="31" t="s">
        <v>61</v>
      </c>
      <c r="H1476" s="31" t="s">
        <v>167</v>
      </c>
      <c r="I1476" s="32" t="str">
        <f aca="false">INDEX(Productos!$B$2:$B$13,MATCH($H1476,Productos!$A$2:$A$13,0))</f>
        <v>Tornillo DIN 912 M6x25 Allen zincado</v>
      </c>
      <c r="J1476" s="32" t="str">
        <f aca="false">INDEX(Productos!$C$2:$C$13,MATCH($H1476,Productos!$A$2:$A$13,0))</f>
        <v>Métrica</v>
      </c>
      <c r="K1476" s="31" t="s">
        <v>246</v>
      </c>
      <c r="L1476" s="46" t="n">
        <v>55</v>
      </c>
      <c r="M1476" s="50" t="n">
        <f aca="false">INDEX(Productos!$F$2:$F$13,MATCH($H1476,Productos!$A$2:$A$13,0))</f>
        <v>42</v>
      </c>
      <c r="N1476" s="51" t="n">
        <v>0.177</v>
      </c>
      <c r="O1476" s="52" t="n">
        <f aca="false">M1476*(1-N1476)</f>
        <v>34.566</v>
      </c>
      <c r="P1476" s="21" t="n">
        <f aca="false">L1476*O1476</f>
        <v>1901.13</v>
      </c>
      <c r="Q1476" s="50" t="n">
        <f aca="false">INDEX(Productos!$E$2:$E$13,MATCH($H1476,Productos!$A$2:$A$13,0))*INDEX(Parametros!$B$26:$B$43,MATCH($C1476,Parametros!$A$26:$A$43,0))</f>
        <v>21.6692</v>
      </c>
      <c r="R1476" s="21" t="n">
        <f aca="false">L1476*Q1476</f>
        <v>1191.806</v>
      </c>
      <c r="S1476" s="18" t="n">
        <f aca="false">L1476*INDEX(Parametros!$B$20:$B$22,MATCH($E1476,Parametros!$A$20:$A$22,0))</f>
        <v>132</v>
      </c>
      <c r="T1476" s="18" t="n">
        <f aca="false">P1476*INDEX(Parametros!$B$13:$B$16,MATCH($F1476,Parametros!$A$13:$A$16,0))</f>
        <v>57.0339</v>
      </c>
      <c r="U1476" s="21" t="n">
        <f aca="false">P1476-R1476-S1476-T1476</f>
        <v>520.2901</v>
      </c>
      <c r="V1476" s="19" t="n">
        <f aca="false">IFERROR(U1476/P1476,0)</f>
        <v>0.273674130648614</v>
      </c>
      <c r="W1476" s="48" t="n">
        <f aca="false">B1476+INDEX(Parametros!$C$13:$C$16,MATCH($F1476,Parametros!$A$13:$A$16,0))</f>
        <v>46216</v>
      </c>
      <c r="X1476" s="31" t="s">
        <v>67</v>
      </c>
      <c r="Y1476" s="53" t="n">
        <f aca="false">IF(COUNTIF($A$2:$A1476,A1476)=1,1,0)</f>
        <v>1</v>
      </c>
    </row>
    <row r="1477" customFormat="false" ht="15" hidden="false" customHeight="false" outlineLevel="0" collapsed="false">
      <c r="A1477" s="31" t="s">
        <v>1040</v>
      </c>
      <c r="B1477" s="36" t="n">
        <v>46156</v>
      </c>
      <c r="C1477" s="49" t="n">
        <f aca="false">DATE(YEAR(B1477),MONTH(B1477),1)</f>
        <v>46143</v>
      </c>
      <c r="D1477" s="31" t="s">
        <v>219</v>
      </c>
      <c r="E1477" s="31" t="s">
        <v>42</v>
      </c>
      <c r="F1477" s="31" t="s">
        <v>45</v>
      </c>
      <c r="G1477" s="31" t="s">
        <v>61</v>
      </c>
      <c r="H1477" s="31" t="s">
        <v>183</v>
      </c>
      <c r="I1477" s="32" t="str">
        <f aca="false">INDEX(Productos!$B$2:$B$13,MATCH($H1477,Productos!$A$2:$A$13,0))</f>
        <v>Tornillo estructural M16x90 clase 10.9</v>
      </c>
      <c r="J1477" s="32" t="str">
        <f aca="false">INDEX(Productos!$C$2:$C$13,MATCH($H1477,Productos!$A$2:$A$13,0))</f>
        <v>Especial</v>
      </c>
      <c r="K1477" s="31" t="s">
        <v>246</v>
      </c>
      <c r="L1477" s="46" t="n">
        <v>247</v>
      </c>
      <c r="M1477" s="50" t="n">
        <f aca="false">INDEX(Productos!$F$2:$F$13,MATCH($H1477,Productos!$A$2:$A$13,0))</f>
        <v>112</v>
      </c>
      <c r="N1477" s="51" t="n">
        <v>0.172</v>
      </c>
      <c r="O1477" s="52" t="n">
        <f aca="false">M1477*(1-N1477)</f>
        <v>92.736</v>
      </c>
      <c r="P1477" s="21" t="n">
        <f aca="false">L1477*O1477</f>
        <v>22905.792</v>
      </c>
      <c r="Q1477" s="50" t="n">
        <f aca="false">INDEX(Productos!$E$2:$E$13,MATCH($H1477,Productos!$A$2:$A$13,0))*INDEX(Parametros!$B$26:$B$43,MATCH($C1477,Parametros!$A$26:$A$43,0))</f>
        <v>59.64</v>
      </c>
      <c r="R1477" s="21" t="n">
        <f aca="false">L1477*Q1477</f>
        <v>14731.08</v>
      </c>
      <c r="S1477" s="18" t="n">
        <f aca="false">L1477*INDEX(Parametros!$B$20:$B$22,MATCH($E1477,Parametros!$A$20:$A$22,0))</f>
        <v>592.8</v>
      </c>
      <c r="T1477" s="18" t="n">
        <f aca="false">P1477*INDEX(Parametros!$B$13:$B$16,MATCH($F1477,Parametros!$A$13:$A$16,0))</f>
        <v>687.17376</v>
      </c>
      <c r="U1477" s="21" t="n">
        <f aca="false">P1477-R1477-S1477-T1477</f>
        <v>6894.73824</v>
      </c>
      <c r="V1477" s="19" t="n">
        <f aca="false">IFERROR(U1477/P1477,0)</f>
        <v>0.30100414078675</v>
      </c>
      <c r="W1477" s="48" t="n">
        <f aca="false">B1477+INDEX(Parametros!$C$13:$C$16,MATCH($F1477,Parametros!$A$13:$A$16,0))</f>
        <v>46216</v>
      </c>
      <c r="X1477" s="31" t="s">
        <v>67</v>
      </c>
      <c r="Y1477" s="53" t="n">
        <f aca="false">IF(COUNTIF($A$2:$A1477,A1477)=1,1,0)</f>
        <v>0</v>
      </c>
    </row>
    <row r="1478" customFormat="false" ht="15" hidden="false" customHeight="false" outlineLevel="0" collapsed="false">
      <c r="A1478" s="31" t="s">
        <v>1041</v>
      </c>
      <c r="B1478" s="36" t="n">
        <v>46156</v>
      </c>
      <c r="C1478" s="49" t="n">
        <f aca="false">DATE(YEAR(B1478),MONTH(B1478),1)</f>
        <v>46143</v>
      </c>
      <c r="D1478" s="31" t="s">
        <v>209</v>
      </c>
      <c r="E1478" s="31" t="s">
        <v>41</v>
      </c>
      <c r="F1478" s="31" t="s">
        <v>45</v>
      </c>
      <c r="G1478" s="31" t="s">
        <v>62</v>
      </c>
      <c r="H1478" s="31" t="s">
        <v>185</v>
      </c>
      <c r="I1478" s="32" t="str">
        <f aca="false">INDEX(Productos!$B$2:$B$13,MATCH($H1478,Productos!$A$2:$A$13,0))</f>
        <v>Varilla roscada M10 x 1 m zincada</v>
      </c>
      <c r="J1478" s="32" t="str">
        <f aca="false">INDEX(Productos!$C$2:$C$13,MATCH($H1478,Productos!$A$2:$A$13,0))</f>
        <v>Especial</v>
      </c>
      <c r="K1478" s="31" t="s">
        <v>246</v>
      </c>
      <c r="L1478" s="46" t="n">
        <v>59</v>
      </c>
      <c r="M1478" s="50" t="n">
        <f aca="false">INDEX(Productos!$F$2:$F$13,MATCH($H1478,Productos!$A$2:$A$13,0))</f>
        <v>54</v>
      </c>
      <c r="N1478" s="51" t="n">
        <v>0.212</v>
      </c>
      <c r="O1478" s="52" t="n">
        <f aca="false">M1478*(1-N1478)</f>
        <v>42.552</v>
      </c>
      <c r="P1478" s="21" t="n">
        <f aca="false">L1478*O1478</f>
        <v>2510.568</v>
      </c>
      <c r="Q1478" s="50" t="n">
        <f aca="false">INDEX(Productos!$E$2:$E$13,MATCH($H1478,Productos!$A$2:$A$13,0))*INDEX(Parametros!$B$26:$B$43,MATCH($C1478,Parametros!$A$26:$A$43,0))</f>
        <v>28.329</v>
      </c>
      <c r="R1478" s="21" t="n">
        <f aca="false">L1478*Q1478</f>
        <v>1671.411</v>
      </c>
      <c r="S1478" s="18" t="n">
        <f aca="false">L1478*INDEX(Parametros!$B$20:$B$22,MATCH($E1478,Parametros!$A$20:$A$22,0))</f>
        <v>50.15</v>
      </c>
      <c r="T1478" s="18" t="n">
        <f aca="false">P1478*INDEX(Parametros!$B$13:$B$16,MATCH($F1478,Parametros!$A$13:$A$16,0))</f>
        <v>75.31704</v>
      </c>
      <c r="U1478" s="21" t="n">
        <f aca="false">P1478-R1478-S1478-T1478</f>
        <v>713.68996</v>
      </c>
      <c r="V1478" s="19" t="n">
        <f aca="false">IFERROR(U1478/P1478,0)</f>
        <v>0.284274299680391</v>
      </c>
      <c r="W1478" s="48" t="n">
        <f aca="false">B1478+INDEX(Parametros!$C$13:$C$16,MATCH($F1478,Parametros!$A$13:$A$16,0))</f>
        <v>46216</v>
      </c>
      <c r="X1478" s="31" t="s">
        <v>67</v>
      </c>
      <c r="Y1478" s="53" t="n">
        <f aca="false">IF(COUNTIF($A$2:$A1478,A1478)=1,1,0)</f>
        <v>1</v>
      </c>
    </row>
    <row r="1479" customFormat="false" ht="15" hidden="false" customHeight="false" outlineLevel="0" collapsed="false">
      <c r="A1479" s="31" t="s">
        <v>1041</v>
      </c>
      <c r="B1479" s="36" t="n">
        <v>46156</v>
      </c>
      <c r="C1479" s="49" t="n">
        <f aca="false">DATE(YEAR(B1479),MONTH(B1479),1)</f>
        <v>46143</v>
      </c>
      <c r="D1479" s="31" t="s">
        <v>209</v>
      </c>
      <c r="E1479" s="31" t="s">
        <v>41</v>
      </c>
      <c r="F1479" s="31" t="s">
        <v>45</v>
      </c>
      <c r="G1479" s="31" t="s">
        <v>62</v>
      </c>
      <c r="H1479" s="31" t="s">
        <v>171</v>
      </c>
      <c r="I1479" s="32" t="str">
        <f aca="false">INDEX(Productos!$B$2:$B$13,MATCH($H1479,Productos!$A$2:$A$13,0))</f>
        <v>Tornillo DIN 7991 M8x30 avellanado inox A2</v>
      </c>
      <c r="J1479" s="32" t="str">
        <f aca="false">INDEX(Productos!$C$2:$C$13,MATCH($H1479,Productos!$A$2:$A$13,0))</f>
        <v>Inoxidable</v>
      </c>
      <c r="K1479" s="31" t="s">
        <v>246</v>
      </c>
      <c r="L1479" s="46" t="n">
        <v>34</v>
      </c>
      <c r="M1479" s="50" t="n">
        <f aca="false">INDEX(Productos!$F$2:$F$13,MATCH($H1479,Productos!$A$2:$A$13,0))</f>
        <v>88</v>
      </c>
      <c r="N1479" s="51" t="n">
        <v>0.177</v>
      </c>
      <c r="O1479" s="52" t="n">
        <f aca="false">M1479*(1-N1479)</f>
        <v>72.424</v>
      </c>
      <c r="P1479" s="21" t="n">
        <f aca="false">L1479*O1479</f>
        <v>2462.416</v>
      </c>
      <c r="Q1479" s="50" t="n">
        <f aca="false">INDEX(Productos!$E$2:$E$13,MATCH($H1479,Productos!$A$2:$A$13,0))*INDEX(Parametros!$B$26:$B$43,MATCH($C1479,Parametros!$A$26:$A$43,0))</f>
        <v>46.221</v>
      </c>
      <c r="R1479" s="21" t="n">
        <f aca="false">L1479*Q1479</f>
        <v>1571.514</v>
      </c>
      <c r="S1479" s="18" t="n">
        <f aca="false">L1479*INDEX(Parametros!$B$20:$B$22,MATCH($E1479,Parametros!$A$20:$A$22,0))</f>
        <v>28.9</v>
      </c>
      <c r="T1479" s="18" t="n">
        <f aca="false">P1479*INDEX(Parametros!$B$13:$B$16,MATCH($F1479,Parametros!$A$13:$A$16,0))</f>
        <v>73.87248</v>
      </c>
      <c r="U1479" s="21" t="n">
        <f aca="false">P1479-R1479-S1479-T1479</f>
        <v>788.12952</v>
      </c>
      <c r="V1479" s="19" t="n">
        <f aca="false">IFERROR(U1479/P1479,0)</f>
        <v>0.320063514856953</v>
      </c>
      <c r="W1479" s="48" t="n">
        <f aca="false">B1479+INDEX(Parametros!$C$13:$C$16,MATCH($F1479,Parametros!$A$13:$A$16,0))</f>
        <v>46216</v>
      </c>
      <c r="X1479" s="31" t="s">
        <v>67</v>
      </c>
      <c r="Y1479" s="53" t="n">
        <f aca="false">IF(COUNTIF($A$2:$A1479,A1479)=1,1,0)</f>
        <v>0</v>
      </c>
    </row>
    <row r="1480" customFormat="false" ht="15" hidden="false" customHeight="false" outlineLevel="0" collapsed="false">
      <c r="A1480" s="31" t="s">
        <v>1041</v>
      </c>
      <c r="B1480" s="36" t="n">
        <v>46156</v>
      </c>
      <c r="C1480" s="49" t="n">
        <f aca="false">DATE(YEAR(B1480),MONTH(B1480),1)</f>
        <v>46143</v>
      </c>
      <c r="D1480" s="31" t="s">
        <v>209</v>
      </c>
      <c r="E1480" s="31" t="s">
        <v>41</v>
      </c>
      <c r="F1480" s="31" t="s">
        <v>45</v>
      </c>
      <c r="G1480" s="31" t="s">
        <v>62</v>
      </c>
      <c r="H1480" s="31" t="s">
        <v>177</v>
      </c>
      <c r="I1480" s="32" t="str">
        <f aca="false">INDEX(Productos!$B$2:$B$13,MATCH($H1480,Productos!$A$2:$A$13,0))</f>
        <v>Tirafondo madera 6x100 cabeza plana Torx</v>
      </c>
      <c r="J1480" s="32" t="str">
        <f aca="false">INDEX(Productos!$C$2:$C$13,MATCH($H1480,Productos!$A$2:$A$13,0))</f>
        <v>Madera</v>
      </c>
      <c r="K1480" s="31" t="s">
        <v>246</v>
      </c>
      <c r="L1480" s="46" t="n">
        <v>37</v>
      </c>
      <c r="M1480" s="50" t="n">
        <f aca="false">INDEX(Productos!$F$2:$F$13,MATCH($H1480,Productos!$A$2:$A$13,0))</f>
        <v>34</v>
      </c>
      <c r="N1480" s="51" t="n">
        <v>0.158</v>
      </c>
      <c r="O1480" s="52" t="n">
        <f aca="false">M1480*(1-N1480)</f>
        <v>28.628</v>
      </c>
      <c r="P1480" s="21" t="n">
        <f aca="false">L1480*O1480</f>
        <v>1059.236</v>
      </c>
      <c r="Q1480" s="50" t="n">
        <f aca="false">INDEX(Productos!$E$2:$E$13,MATCH($H1480,Productos!$A$2:$A$13,0))*INDEX(Parametros!$B$26:$B$43,MATCH($C1480,Parametros!$A$26:$A$43,0))</f>
        <v>17.6932</v>
      </c>
      <c r="R1480" s="21" t="n">
        <f aca="false">L1480*Q1480</f>
        <v>654.6484</v>
      </c>
      <c r="S1480" s="18" t="n">
        <f aca="false">L1480*INDEX(Parametros!$B$20:$B$22,MATCH($E1480,Parametros!$A$20:$A$22,0))</f>
        <v>31.45</v>
      </c>
      <c r="T1480" s="18" t="n">
        <f aca="false">P1480*INDEX(Parametros!$B$13:$B$16,MATCH($F1480,Parametros!$A$13:$A$16,0))</f>
        <v>31.77708</v>
      </c>
      <c r="U1480" s="21" t="n">
        <f aca="false">P1480-R1480-S1480-T1480</f>
        <v>341.36052</v>
      </c>
      <c r="V1480" s="19" t="n">
        <f aca="false">IFERROR(U1480/P1480,0)</f>
        <v>0.322270504401285</v>
      </c>
      <c r="W1480" s="48" t="n">
        <f aca="false">B1480+INDEX(Parametros!$C$13:$C$16,MATCH($F1480,Parametros!$A$13:$A$16,0))</f>
        <v>46216</v>
      </c>
      <c r="X1480" s="31" t="s">
        <v>67</v>
      </c>
      <c r="Y1480" s="53" t="n">
        <f aca="false">IF(COUNTIF($A$2:$A1480,A1480)=1,1,0)</f>
        <v>0</v>
      </c>
    </row>
    <row r="1481" customFormat="false" ht="15" hidden="false" customHeight="false" outlineLevel="0" collapsed="false">
      <c r="A1481" s="31" t="s">
        <v>1041</v>
      </c>
      <c r="B1481" s="36" t="n">
        <v>46156</v>
      </c>
      <c r="C1481" s="49" t="n">
        <f aca="false">DATE(YEAR(B1481),MONTH(B1481),1)</f>
        <v>46143</v>
      </c>
      <c r="D1481" s="31" t="s">
        <v>209</v>
      </c>
      <c r="E1481" s="31" t="s">
        <v>41</v>
      </c>
      <c r="F1481" s="31" t="s">
        <v>45</v>
      </c>
      <c r="G1481" s="31" t="s">
        <v>62</v>
      </c>
      <c r="H1481" s="31" t="s">
        <v>175</v>
      </c>
      <c r="I1481" s="32" t="str">
        <f aca="false">INDEX(Productos!$B$2:$B$13,MATCH($H1481,Productos!$A$2:$A$13,0))</f>
        <v>Tirafondo madera 5x60 cabeza plana Torx</v>
      </c>
      <c r="J1481" s="32" t="str">
        <f aca="false">INDEX(Productos!$C$2:$C$13,MATCH($H1481,Productos!$A$2:$A$13,0))</f>
        <v>Madera</v>
      </c>
      <c r="K1481" s="31" t="s">
        <v>246</v>
      </c>
      <c r="L1481" s="46" t="n">
        <v>24</v>
      </c>
      <c r="M1481" s="50" t="n">
        <f aca="false">INDEX(Productos!$F$2:$F$13,MATCH($H1481,Productos!$A$2:$A$13,0))</f>
        <v>26</v>
      </c>
      <c r="N1481" s="51" t="n">
        <v>0.2</v>
      </c>
      <c r="O1481" s="52" t="n">
        <f aca="false">M1481*(1-N1481)</f>
        <v>20.8</v>
      </c>
      <c r="P1481" s="21" t="n">
        <f aca="false">L1481*O1481</f>
        <v>499.2</v>
      </c>
      <c r="Q1481" s="50" t="n">
        <f aca="false">INDEX(Productos!$E$2:$E$13,MATCH($H1481,Productos!$A$2:$A$13,0))*INDEX(Parametros!$B$26:$B$43,MATCH($C1481,Parametros!$A$26:$A$43,0))</f>
        <v>13.3196</v>
      </c>
      <c r="R1481" s="21" t="n">
        <f aca="false">L1481*Q1481</f>
        <v>319.6704</v>
      </c>
      <c r="S1481" s="18" t="n">
        <f aca="false">L1481*INDEX(Parametros!$B$20:$B$22,MATCH($E1481,Parametros!$A$20:$A$22,0))</f>
        <v>20.4</v>
      </c>
      <c r="T1481" s="18" t="n">
        <f aca="false">P1481*INDEX(Parametros!$B$13:$B$16,MATCH($F1481,Parametros!$A$13:$A$16,0))</f>
        <v>14.976</v>
      </c>
      <c r="U1481" s="21" t="n">
        <f aca="false">P1481-R1481-S1481-T1481</f>
        <v>144.1536</v>
      </c>
      <c r="V1481" s="19" t="n">
        <f aca="false">IFERROR(U1481/P1481,0)</f>
        <v>0.288769230769231</v>
      </c>
      <c r="W1481" s="48" t="n">
        <f aca="false">B1481+INDEX(Parametros!$C$13:$C$16,MATCH($F1481,Parametros!$A$13:$A$16,0))</f>
        <v>46216</v>
      </c>
      <c r="X1481" s="31" t="s">
        <v>67</v>
      </c>
      <c r="Y1481" s="53" t="n">
        <f aca="false">IF(COUNTIF($A$2:$A1481,A1481)=1,1,0)</f>
        <v>0</v>
      </c>
    </row>
    <row r="1482" customFormat="false" ht="15" hidden="false" customHeight="false" outlineLevel="0" collapsed="false">
      <c r="A1482" s="31" t="s">
        <v>1042</v>
      </c>
      <c r="B1482" s="36" t="n">
        <v>46156</v>
      </c>
      <c r="C1482" s="49" t="n">
        <f aca="false">DATE(YEAR(B1482),MONTH(B1482),1)</f>
        <v>46143</v>
      </c>
      <c r="D1482" s="31" t="s">
        <v>217</v>
      </c>
      <c r="E1482" s="31" t="s">
        <v>42</v>
      </c>
      <c r="F1482" s="31" t="s">
        <v>47</v>
      </c>
      <c r="G1482" s="31" t="s">
        <v>61</v>
      </c>
      <c r="H1482" s="31" t="s">
        <v>175</v>
      </c>
      <c r="I1482" s="32" t="str">
        <f aca="false">INDEX(Productos!$B$2:$B$13,MATCH($H1482,Productos!$A$2:$A$13,0))</f>
        <v>Tirafondo madera 5x60 cabeza plana Torx</v>
      </c>
      <c r="J1482" s="32" t="str">
        <f aca="false">INDEX(Productos!$C$2:$C$13,MATCH($H1482,Productos!$A$2:$A$13,0))</f>
        <v>Madera</v>
      </c>
      <c r="K1482" s="31" t="s">
        <v>246</v>
      </c>
      <c r="L1482" s="46" t="n">
        <v>19</v>
      </c>
      <c r="M1482" s="50" t="n">
        <f aca="false">INDEX(Productos!$F$2:$F$13,MATCH($H1482,Productos!$A$2:$A$13,0))</f>
        <v>26</v>
      </c>
      <c r="N1482" s="51" t="n">
        <v>0.069</v>
      </c>
      <c r="O1482" s="52" t="n">
        <f aca="false">M1482*(1-N1482)</f>
        <v>24.206</v>
      </c>
      <c r="P1482" s="21" t="n">
        <f aca="false">L1482*O1482</f>
        <v>459.914</v>
      </c>
      <c r="Q1482" s="50" t="n">
        <f aca="false">INDEX(Productos!$E$2:$E$13,MATCH($H1482,Productos!$A$2:$A$13,0))*INDEX(Parametros!$B$26:$B$43,MATCH($C1482,Parametros!$A$26:$A$43,0))</f>
        <v>13.3196</v>
      </c>
      <c r="R1482" s="21" t="n">
        <f aca="false">L1482*Q1482</f>
        <v>253.0724</v>
      </c>
      <c r="S1482" s="18" t="n">
        <f aca="false">L1482*INDEX(Parametros!$B$20:$B$22,MATCH($E1482,Parametros!$A$20:$A$22,0))</f>
        <v>45.6</v>
      </c>
      <c r="T1482" s="18" t="n">
        <f aca="false">P1482*INDEX(Parametros!$B$13:$B$16,MATCH($F1482,Parametros!$A$13:$A$16,0))</f>
        <v>16.09699</v>
      </c>
      <c r="U1482" s="21" t="n">
        <f aca="false">P1482-R1482-S1482-T1482</f>
        <v>145.14461</v>
      </c>
      <c r="V1482" s="19" t="n">
        <f aca="false">IFERROR(U1482/P1482,0)</f>
        <v>0.315590762620838</v>
      </c>
      <c r="W1482" s="48" t="n">
        <f aca="false">B1482+INDEX(Parametros!$C$13:$C$16,MATCH($F1482,Parametros!$A$13:$A$16,0))</f>
        <v>46201</v>
      </c>
      <c r="X1482" s="31" t="s">
        <v>67</v>
      </c>
      <c r="Y1482" s="53" t="n">
        <f aca="false">IF(COUNTIF($A$2:$A1482,A1482)=1,1,0)</f>
        <v>1</v>
      </c>
    </row>
    <row r="1483" customFormat="false" ht="15" hidden="false" customHeight="false" outlineLevel="0" collapsed="false">
      <c r="A1483" s="31" t="s">
        <v>1042</v>
      </c>
      <c r="B1483" s="36" t="n">
        <v>46156</v>
      </c>
      <c r="C1483" s="49" t="n">
        <f aca="false">DATE(YEAR(B1483),MONTH(B1483),1)</f>
        <v>46143</v>
      </c>
      <c r="D1483" s="31" t="s">
        <v>217</v>
      </c>
      <c r="E1483" s="31" t="s">
        <v>42</v>
      </c>
      <c r="F1483" s="31" t="s">
        <v>47</v>
      </c>
      <c r="G1483" s="31" t="s">
        <v>61</v>
      </c>
      <c r="H1483" s="31" t="s">
        <v>167</v>
      </c>
      <c r="I1483" s="32" t="str">
        <f aca="false">INDEX(Productos!$B$2:$B$13,MATCH($H1483,Productos!$A$2:$A$13,0))</f>
        <v>Tornillo DIN 912 M6x25 Allen zincado</v>
      </c>
      <c r="J1483" s="32" t="str">
        <f aca="false">INDEX(Productos!$C$2:$C$13,MATCH($H1483,Productos!$A$2:$A$13,0))</f>
        <v>Métrica</v>
      </c>
      <c r="K1483" s="31" t="s">
        <v>246</v>
      </c>
      <c r="L1483" s="46" t="n">
        <v>161</v>
      </c>
      <c r="M1483" s="50" t="n">
        <f aca="false">INDEX(Productos!$F$2:$F$13,MATCH($H1483,Productos!$A$2:$A$13,0))</f>
        <v>42</v>
      </c>
      <c r="N1483" s="51" t="n">
        <v>0.099</v>
      </c>
      <c r="O1483" s="52" t="n">
        <f aca="false">M1483*(1-N1483)</f>
        <v>37.842</v>
      </c>
      <c r="P1483" s="21" t="n">
        <f aca="false">L1483*O1483</f>
        <v>6092.562</v>
      </c>
      <c r="Q1483" s="50" t="n">
        <f aca="false">INDEX(Productos!$E$2:$E$13,MATCH($H1483,Productos!$A$2:$A$13,0))*INDEX(Parametros!$B$26:$B$43,MATCH($C1483,Parametros!$A$26:$A$43,0))</f>
        <v>21.6692</v>
      </c>
      <c r="R1483" s="21" t="n">
        <f aca="false">L1483*Q1483</f>
        <v>3488.7412</v>
      </c>
      <c r="S1483" s="18" t="n">
        <f aca="false">L1483*INDEX(Parametros!$B$20:$B$22,MATCH($E1483,Parametros!$A$20:$A$22,0))</f>
        <v>386.4</v>
      </c>
      <c r="T1483" s="18" t="n">
        <f aca="false">P1483*INDEX(Parametros!$B$13:$B$16,MATCH($F1483,Parametros!$A$13:$A$16,0))</f>
        <v>213.23967</v>
      </c>
      <c r="U1483" s="21" t="n">
        <f aca="false">P1483-R1483-S1483-T1483</f>
        <v>2004.18113</v>
      </c>
      <c r="V1483" s="19" t="n">
        <f aca="false">IFERROR(U1483/P1483,0)</f>
        <v>0.328955393478146</v>
      </c>
      <c r="W1483" s="48" t="n">
        <f aca="false">B1483+INDEX(Parametros!$C$13:$C$16,MATCH($F1483,Parametros!$A$13:$A$16,0))</f>
        <v>46201</v>
      </c>
      <c r="X1483" s="31" t="s">
        <v>67</v>
      </c>
      <c r="Y1483" s="53" t="n">
        <f aca="false">IF(COUNTIF($A$2:$A1483,A1483)=1,1,0)</f>
        <v>0</v>
      </c>
    </row>
    <row r="1484" customFormat="false" ht="15" hidden="false" customHeight="false" outlineLevel="0" collapsed="false">
      <c r="A1484" s="31" t="s">
        <v>1042</v>
      </c>
      <c r="B1484" s="36" t="n">
        <v>46156</v>
      </c>
      <c r="C1484" s="49" t="n">
        <f aca="false">DATE(YEAR(B1484),MONTH(B1484),1)</f>
        <v>46143</v>
      </c>
      <c r="D1484" s="31" t="s">
        <v>217</v>
      </c>
      <c r="E1484" s="31" t="s">
        <v>42</v>
      </c>
      <c r="F1484" s="31" t="s">
        <v>47</v>
      </c>
      <c r="G1484" s="31" t="s">
        <v>61</v>
      </c>
      <c r="H1484" s="31" t="s">
        <v>165</v>
      </c>
      <c r="I1484" s="32" t="str">
        <f aca="false">INDEX(Productos!$B$2:$B$13,MATCH($H1484,Productos!$A$2:$A$13,0))</f>
        <v>Tornillo DIN 933 M8x40 rosca completa zincado</v>
      </c>
      <c r="J1484" s="32" t="str">
        <f aca="false">INDEX(Productos!$C$2:$C$13,MATCH($H1484,Productos!$A$2:$A$13,0))</f>
        <v>Métrica</v>
      </c>
      <c r="K1484" s="31" t="s">
        <v>246</v>
      </c>
      <c r="L1484" s="46" t="n">
        <v>16</v>
      </c>
      <c r="M1484" s="50" t="n">
        <f aca="false">INDEX(Productos!$F$2:$F$13,MATCH($H1484,Productos!$A$2:$A$13,0))</f>
        <v>37.5</v>
      </c>
      <c r="N1484" s="51" t="n">
        <v>0.097</v>
      </c>
      <c r="O1484" s="52" t="n">
        <f aca="false">M1484*(1-N1484)</f>
        <v>33.8625</v>
      </c>
      <c r="P1484" s="21" t="n">
        <f aca="false">L1484*O1484</f>
        <v>541.8</v>
      </c>
      <c r="Q1484" s="50" t="n">
        <f aca="false">INDEX(Productos!$E$2:$E$13,MATCH($H1484,Productos!$A$2:$A$13,0))*INDEX(Parametros!$B$26:$B$43,MATCH($C1484,Parametros!$A$26:$A$43,0))</f>
        <v>19.2836</v>
      </c>
      <c r="R1484" s="21" t="n">
        <f aca="false">L1484*Q1484</f>
        <v>308.5376</v>
      </c>
      <c r="S1484" s="18" t="n">
        <f aca="false">L1484*INDEX(Parametros!$B$20:$B$22,MATCH($E1484,Parametros!$A$20:$A$22,0))</f>
        <v>38.4</v>
      </c>
      <c r="T1484" s="18" t="n">
        <f aca="false">P1484*INDEX(Parametros!$B$13:$B$16,MATCH($F1484,Parametros!$A$13:$A$16,0))</f>
        <v>18.963</v>
      </c>
      <c r="U1484" s="21" t="n">
        <f aca="false">P1484-R1484-S1484-T1484</f>
        <v>175.8994</v>
      </c>
      <c r="V1484" s="19" t="n">
        <f aca="false">IFERROR(U1484/P1484,0)</f>
        <v>0.324657438169066</v>
      </c>
      <c r="W1484" s="48" t="n">
        <f aca="false">B1484+INDEX(Parametros!$C$13:$C$16,MATCH($F1484,Parametros!$A$13:$A$16,0))</f>
        <v>46201</v>
      </c>
      <c r="X1484" s="31" t="s">
        <v>67</v>
      </c>
      <c r="Y1484" s="53" t="n">
        <f aca="false">IF(COUNTIF($A$2:$A1484,A1484)=1,1,0)</f>
        <v>0</v>
      </c>
    </row>
    <row r="1485" customFormat="false" ht="15" hidden="false" customHeight="false" outlineLevel="0" collapsed="false">
      <c r="A1485" s="31" t="s">
        <v>1043</v>
      </c>
      <c r="B1485" s="36" t="n">
        <v>46157</v>
      </c>
      <c r="C1485" s="49" t="n">
        <f aca="false">DATE(YEAR(B1485),MONTH(B1485),1)</f>
        <v>46143</v>
      </c>
      <c r="D1485" s="31" t="s">
        <v>218</v>
      </c>
      <c r="E1485" s="31" t="s">
        <v>42</v>
      </c>
      <c r="F1485" s="31" t="s">
        <v>45</v>
      </c>
      <c r="G1485" s="31" t="s">
        <v>61</v>
      </c>
      <c r="H1485" s="31" t="s">
        <v>167</v>
      </c>
      <c r="I1485" s="32" t="str">
        <f aca="false">INDEX(Productos!$B$2:$B$13,MATCH($H1485,Productos!$A$2:$A$13,0))</f>
        <v>Tornillo DIN 912 M6x25 Allen zincado</v>
      </c>
      <c r="J1485" s="32" t="str">
        <f aca="false">INDEX(Productos!$C$2:$C$13,MATCH($H1485,Productos!$A$2:$A$13,0))</f>
        <v>Métrica</v>
      </c>
      <c r="K1485" s="31" t="s">
        <v>246</v>
      </c>
      <c r="L1485" s="46" t="n">
        <v>33</v>
      </c>
      <c r="M1485" s="50" t="n">
        <f aca="false">INDEX(Productos!$F$2:$F$13,MATCH($H1485,Productos!$A$2:$A$13,0))</f>
        <v>42</v>
      </c>
      <c r="N1485" s="51" t="n">
        <v>0.177</v>
      </c>
      <c r="O1485" s="52" t="n">
        <f aca="false">M1485*(1-N1485)</f>
        <v>34.566</v>
      </c>
      <c r="P1485" s="21" t="n">
        <f aca="false">L1485*O1485</f>
        <v>1140.678</v>
      </c>
      <c r="Q1485" s="50" t="n">
        <f aca="false">INDEX(Productos!$E$2:$E$13,MATCH($H1485,Productos!$A$2:$A$13,0))*INDEX(Parametros!$B$26:$B$43,MATCH($C1485,Parametros!$A$26:$A$43,0))</f>
        <v>21.6692</v>
      </c>
      <c r="R1485" s="21" t="n">
        <f aca="false">L1485*Q1485</f>
        <v>715.0836</v>
      </c>
      <c r="S1485" s="18" t="n">
        <f aca="false">L1485*INDEX(Parametros!$B$20:$B$22,MATCH($E1485,Parametros!$A$20:$A$22,0))</f>
        <v>79.2</v>
      </c>
      <c r="T1485" s="18" t="n">
        <f aca="false">P1485*INDEX(Parametros!$B$13:$B$16,MATCH($F1485,Parametros!$A$13:$A$16,0))</f>
        <v>34.22034</v>
      </c>
      <c r="U1485" s="21" t="n">
        <f aca="false">P1485-R1485-S1485-T1485</f>
        <v>312.17406</v>
      </c>
      <c r="V1485" s="19" t="n">
        <f aca="false">IFERROR(U1485/P1485,0)</f>
        <v>0.273674130648614</v>
      </c>
      <c r="W1485" s="48" t="n">
        <f aca="false">B1485+INDEX(Parametros!$C$13:$C$16,MATCH($F1485,Parametros!$A$13:$A$16,0))</f>
        <v>46217</v>
      </c>
      <c r="X1485" s="31" t="s">
        <v>67</v>
      </c>
      <c r="Y1485" s="53" t="n">
        <f aca="false">IF(COUNTIF($A$2:$A1485,A1485)=1,1,0)</f>
        <v>1</v>
      </c>
    </row>
    <row r="1486" customFormat="false" ht="15" hidden="false" customHeight="false" outlineLevel="0" collapsed="false">
      <c r="A1486" s="31" t="s">
        <v>1043</v>
      </c>
      <c r="B1486" s="36" t="n">
        <v>46157</v>
      </c>
      <c r="C1486" s="49" t="n">
        <f aca="false">DATE(YEAR(B1486),MONTH(B1486),1)</f>
        <v>46143</v>
      </c>
      <c r="D1486" s="31" t="s">
        <v>218</v>
      </c>
      <c r="E1486" s="31" t="s">
        <v>42</v>
      </c>
      <c r="F1486" s="31" t="s">
        <v>45</v>
      </c>
      <c r="G1486" s="31" t="s">
        <v>61</v>
      </c>
      <c r="H1486" s="31" t="s">
        <v>165</v>
      </c>
      <c r="I1486" s="32" t="str">
        <f aca="false">INDEX(Productos!$B$2:$B$13,MATCH($H1486,Productos!$A$2:$A$13,0))</f>
        <v>Tornillo DIN 933 M8x40 rosca completa zincado</v>
      </c>
      <c r="J1486" s="32" t="str">
        <f aca="false">INDEX(Productos!$C$2:$C$13,MATCH($H1486,Productos!$A$2:$A$13,0))</f>
        <v>Métrica</v>
      </c>
      <c r="K1486" s="31" t="s">
        <v>246</v>
      </c>
      <c r="L1486" s="46" t="n">
        <v>137</v>
      </c>
      <c r="M1486" s="50" t="n">
        <f aca="false">INDEX(Productos!$F$2:$F$13,MATCH($H1486,Productos!$A$2:$A$13,0))</f>
        <v>37.5</v>
      </c>
      <c r="N1486" s="51" t="n">
        <v>0.136</v>
      </c>
      <c r="O1486" s="52" t="n">
        <f aca="false">M1486*(1-N1486)</f>
        <v>32.4</v>
      </c>
      <c r="P1486" s="21" t="n">
        <f aca="false">L1486*O1486</f>
        <v>4438.8</v>
      </c>
      <c r="Q1486" s="50" t="n">
        <f aca="false">INDEX(Productos!$E$2:$E$13,MATCH($H1486,Productos!$A$2:$A$13,0))*INDEX(Parametros!$B$26:$B$43,MATCH($C1486,Parametros!$A$26:$A$43,0))</f>
        <v>19.2836</v>
      </c>
      <c r="R1486" s="21" t="n">
        <f aca="false">L1486*Q1486</f>
        <v>2641.8532</v>
      </c>
      <c r="S1486" s="18" t="n">
        <f aca="false">L1486*INDEX(Parametros!$B$20:$B$22,MATCH($E1486,Parametros!$A$20:$A$22,0))</f>
        <v>328.8</v>
      </c>
      <c r="T1486" s="18" t="n">
        <f aca="false">P1486*INDEX(Parametros!$B$13:$B$16,MATCH($F1486,Parametros!$A$13:$A$16,0))</f>
        <v>133.164</v>
      </c>
      <c r="U1486" s="21" t="n">
        <f aca="false">P1486-R1486-S1486-T1486</f>
        <v>1334.9828</v>
      </c>
      <c r="V1486" s="19" t="n">
        <f aca="false">IFERROR(U1486/P1486,0)</f>
        <v>0.300753086419753</v>
      </c>
      <c r="W1486" s="48" t="n">
        <f aca="false">B1486+INDEX(Parametros!$C$13:$C$16,MATCH($F1486,Parametros!$A$13:$A$16,0))</f>
        <v>46217</v>
      </c>
      <c r="X1486" s="31" t="s">
        <v>67</v>
      </c>
      <c r="Y1486" s="53" t="n">
        <f aca="false">IF(COUNTIF($A$2:$A1486,A1486)=1,1,0)</f>
        <v>0</v>
      </c>
    </row>
    <row r="1487" customFormat="false" ht="15" hidden="false" customHeight="false" outlineLevel="0" collapsed="false">
      <c r="A1487" s="31" t="s">
        <v>1044</v>
      </c>
      <c r="B1487" s="36" t="n">
        <v>46160</v>
      </c>
      <c r="C1487" s="49" t="n">
        <f aca="false">DATE(YEAR(B1487),MONTH(B1487),1)</f>
        <v>46143</v>
      </c>
      <c r="D1487" s="31" t="s">
        <v>225</v>
      </c>
      <c r="E1487" s="31" t="s">
        <v>43</v>
      </c>
      <c r="F1487" s="31" t="s">
        <v>47</v>
      </c>
      <c r="G1487" s="31" t="s">
        <v>59</v>
      </c>
      <c r="H1487" s="31" t="s">
        <v>171</v>
      </c>
      <c r="I1487" s="32" t="str">
        <f aca="false">INDEX(Productos!$B$2:$B$13,MATCH($H1487,Productos!$A$2:$A$13,0))</f>
        <v>Tornillo DIN 7991 M8x30 avellanado inox A2</v>
      </c>
      <c r="J1487" s="32" t="str">
        <f aca="false">INDEX(Productos!$C$2:$C$13,MATCH($H1487,Productos!$A$2:$A$13,0))</f>
        <v>Inoxidable</v>
      </c>
      <c r="K1487" s="31" t="s">
        <v>246</v>
      </c>
      <c r="L1487" s="46" t="n">
        <v>81</v>
      </c>
      <c r="M1487" s="50" t="n">
        <f aca="false">INDEX(Productos!$F$2:$F$13,MATCH($H1487,Productos!$A$2:$A$13,0))</f>
        <v>88</v>
      </c>
      <c r="N1487" s="51" t="n">
        <v>0.059</v>
      </c>
      <c r="O1487" s="52" t="n">
        <f aca="false">M1487*(1-N1487)</f>
        <v>82.808</v>
      </c>
      <c r="P1487" s="21" t="n">
        <f aca="false">L1487*O1487</f>
        <v>6707.448</v>
      </c>
      <c r="Q1487" s="50" t="n">
        <f aca="false">INDEX(Productos!$E$2:$E$13,MATCH($H1487,Productos!$A$2:$A$13,0))*INDEX(Parametros!$B$26:$B$43,MATCH($C1487,Parametros!$A$26:$A$43,0))</f>
        <v>46.221</v>
      </c>
      <c r="R1487" s="21" t="n">
        <f aca="false">L1487*Q1487</f>
        <v>3743.901</v>
      </c>
      <c r="S1487" s="18" t="n">
        <f aca="false">L1487*INDEX(Parametros!$B$20:$B$22,MATCH($E1487,Parametros!$A$20:$A$22,0))</f>
        <v>153.9</v>
      </c>
      <c r="T1487" s="18" t="n">
        <f aca="false">P1487*INDEX(Parametros!$B$13:$B$16,MATCH($F1487,Parametros!$A$13:$A$16,0))</f>
        <v>234.76068</v>
      </c>
      <c r="U1487" s="21" t="n">
        <f aca="false">P1487-R1487-S1487-T1487</f>
        <v>2574.88632</v>
      </c>
      <c r="V1487" s="19" t="n">
        <f aca="false">IFERROR(U1487/P1487,0)</f>
        <v>0.3838846488262</v>
      </c>
      <c r="W1487" s="48" t="n">
        <f aca="false">B1487+INDEX(Parametros!$C$13:$C$16,MATCH($F1487,Parametros!$A$13:$A$16,0))</f>
        <v>46205</v>
      </c>
      <c r="X1487" s="31" t="s">
        <v>67</v>
      </c>
      <c r="Y1487" s="53" t="n">
        <f aca="false">IF(COUNTIF($A$2:$A1487,A1487)=1,1,0)</f>
        <v>1</v>
      </c>
    </row>
    <row r="1488" customFormat="false" ht="15" hidden="false" customHeight="false" outlineLevel="0" collapsed="false">
      <c r="A1488" s="31" t="s">
        <v>1044</v>
      </c>
      <c r="B1488" s="36" t="n">
        <v>46160</v>
      </c>
      <c r="C1488" s="49" t="n">
        <f aca="false">DATE(YEAR(B1488),MONTH(B1488),1)</f>
        <v>46143</v>
      </c>
      <c r="D1488" s="31" t="s">
        <v>225</v>
      </c>
      <c r="E1488" s="31" t="s">
        <v>43</v>
      </c>
      <c r="F1488" s="31" t="s">
        <v>47</v>
      </c>
      <c r="G1488" s="31" t="s">
        <v>59</v>
      </c>
      <c r="H1488" s="31" t="s">
        <v>169</v>
      </c>
      <c r="I1488" s="32" t="str">
        <f aca="false">INDEX(Productos!$B$2:$B$13,MATCH($H1488,Productos!$A$2:$A$13,0))</f>
        <v>Tornillo DIN 912 M10x60 Allen inox A2</v>
      </c>
      <c r="J1488" s="32" t="str">
        <f aca="false">INDEX(Productos!$C$2:$C$13,MATCH($H1488,Productos!$A$2:$A$13,0))</f>
        <v>Inoxidable</v>
      </c>
      <c r="K1488" s="31" t="s">
        <v>246</v>
      </c>
      <c r="L1488" s="46" t="n">
        <v>11</v>
      </c>
      <c r="M1488" s="50" t="n">
        <f aca="false">INDEX(Productos!$F$2:$F$13,MATCH($H1488,Productos!$A$2:$A$13,0))</f>
        <v>79</v>
      </c>
      <c r="N1488" s="51" t="n">
        <v>0.077</v>
      </c>
      <c r="O1488" s="52" t="n">
        <f aca="false">M1488*(1-N1488)</f>
        <v>72.917</v>
      </c>
      <c r="P1488" s="21" t="n">
        <f aca="false">L1488*O1488</f>
        <v>802.087</v>
      </c>
      <c r="Q1488" s="50" t="n">
        <f aca="false">INDEX(Productos!$E$2:$E$13,MATCH($H1488,Productos!$A$2:$A$13,0))*INDEX(Parametros!$B$26:$B$43,MATCH($C1488,Parametros!$A$26:$A$43,0))</f>
        <v>41.748</v>
      </c>
      <c r="R1488" s="21" t="n">
        <f aca="false">L1488*Q1488</f>
        <v>459.228</v>
      </c>
      <c r="S1488" s="18" t="n">
        <f aca="false">L1488*INDEX(Parametros!$B$20:$B$22,MATCH($E1488,Parametros!$A$20:$A$22,0))</f>
        <v>20.9</v>
      </c>
      <c r="T1488" s="18" t="n">
        <f aca="false">P1488*INDEX(Parametros!$B$13:$B$16,MATCH($F1488,Parametros!$A$13:$A$16,0))</f>
        <v>28.073045</v>
      </c>
      <c r="U1488" s="21" t="n">
        <f aca="false">P1488-R1488-S1488-T1488</f>
        <v>293.885955</v>
      </c>
      <c r="V1488" s="19" t="n">
        <f aca="false">IFERROR(U1488/P1488,0)</f>
        <v>0.366401593592715</v>
      </c>
      <c r="W1488" s="48" t="n">
        <f aca="false">B1488+INDEX(Parametros!$C$13:$C$16,MATCH($F1488,Parametros!$A$13:$A$16,0))</f>
        <v>46205</v>
      </c>
      <c r="X1488" s="31" t="s">
        <v>67</v>
      </c>
      <c r="Y1488" s="53" t="n">
        <f aca="false">IF(COUNTIF($A$2:$A1488,A1488)=1,1,0)</f>
        <v>0</v>
      </c>
    </row>
    <row r="1489" customFormat="false" ht="15" hidden="false" customHeight="false" outlineLevel="0" collapsed="false">
      <c r="A1489" s="31" t="s">
        <v>1044</v>
      </c>
      <c r="B1489" s="36" t="n">
        <v>46160</v>
      </c>
      <c r="C1489" s="49" t="n">
        <f aca="false">DATE(YEAR(B1489),MONTH(B1489),1)</f>
        <v>46143</v>
      </c>
      <c r="D1489" s="31" t="s">
        <v>225</v>
      </c>
      <c r="E1489" s="31" t="s">
        <v>43</v>
      </c>
      <c r="F1489" s="31" t="s">
        <v>47</v>
      </c>
      <c r="G1489" s="31" t="s">
        <v>59</v>
      </c>
      <c r="H1489" s="31" t="s">
        <v>177</v>
      </c>
      <c r="I1489" s="32" t="str">
        <f aca="false">INDEX(Productos!$B$2:$B$13,MATCH($H1489,Productos!$A$2:$A$13,0))</f>
        <v>Tirafondo madera 6x100 cabeza plana Torx</v>
      </c>
      <c r="J1489" s="32" t="str">
        <f aca="false">INDEX(Productos!$C$2:$C$13,MATCH($H1489,Productos!$A$2:$A$13,0))</f>
        <v>Madera</v>
      </c>
      <c r="K1489" s="31" t="s">
        <v>246</v>
      </c>
      <c r="L1489" s="46" t="n">
        <v>38</v>
      </c>
      <c r="M1489" s="50" t="n">
        <f aca="false">INDEX(Productos!$F$2:$F$13,MATCH($H1489,Productos!$A$2:$A$13,0))</f>
        <v>34</v>
      </c>
      <c r="N1489" s="51" t="n">
        <v>0.086</v>
      </c>
      <c r="O1489" s="52" t="n">
        <f aca="false">M1489*(1-N1489)</f>
        <v>31.076</v>
      </c>
      <c r="P1489" s="21" t="n">
        <f aca="false">L1489*O1489</f>
        <v>1180.888</v>
      </c>
      <c r="Q1489" s="50" t="n">
        <f aca="false">INDEX(Productos!$E$2:$E$13,MATCH($H1489,Productos!$A$2:$A$13,0))*INDEX(Parametros!$B$26:$B$43,MATCH($C1489,Parametros!$A$26:$A$43,0))</f>
        <v>17.6932</v>
      </c>
      <c r="R1489" s="21" t="n">
        <f aca="false">L1489*Q1489</f>
        <v>672.3416</v>
      </c>
      <c r="S1489" s="18" t="n">
        <f aca="false">L1489*INDEX(Parametros!$B$20:$B$22,MATCH($E1489,Parametros!$A$20:$A$22,0))</f>
        <v>72.2</v>
      </c>
      <c r="T1489" s="18" t="n">
        <f aca="false">P1489*INDEX(Parametros!$B$13:$B$16,MATCH($F1489,Parametros!$A$13:$A$16,0))</f>
        <v>41.33108</v>
      </c>
      <c r="U1489" s="21" t="n">
        <f aca="false">P1489-R1489-S1489-T1489</f>
        <v>395.01532</v>
      </c>
      <c r="V1489" s="19" t="n">
        <f aca="false">IFERROR(U1489/P1489,0)</f>
        <v>0.334507015059853</v>
      </c>
      <c r="W1489" s="48" t="n">
        <f aca="false">B1489+INDEX(Parametros!$C$13:$C$16,MATCH($F1489,Parametros!$A$13:$A$16,0))</f>
        <v>46205</v>
      </c>
      <c r="X1489" s="31" t="s">
        <v>67</v>
      </c>
      <c r="Y1489" s="53" t="n">
        <f aca="false">IF(COUNTIF($A$2:$A1489,A1489)=1,1,0)</f>
        <v>0</v>
      </c>
    </row>
    <row r="1490" customFormat="false" ht="15" hidden="false" customHeight="false" outlineLevel="0" collapsed="false">
      <c r="A1490" s="31" t="s">
        <v>1045</v>
      </c>
      <c r="B1490" s="36" t="n">
        <v>46160</v>
      </c>
      <c r="C1490" s="49" t="n">
        <f aca="false">DATE(YEAR(B1490),MONTH(B1490),1)</f>
        <v>46143</v>
      </c>
      <c r="D1490" s="31" t="s">
        <v>194</v>
      </c>
      <c r="E1490" s="31" t="s">
        <v>41</v>
      </c>
      <c r="F1490" s="31" t="s">
        <v>46</v>
      </c>
      <c r="G1490" s="31" t="s">
        <v>58</v>
      </c>
      <c r="H1490" s="31" t="s">
        <v>179</v>
      </c>
      <c r="I1490" s="32" t="str">
        <f aca="false">INDEX(Productos!$B$2:$B$13,MATCH($H1490,Productos!$A$2:$A$13,0))</f>
        <v>Autotaladrante DIN 7504 4,8x38 zincado</v>
      </c>
      <c r="J1490" s="32" t="str">
        <f aca="false">INDEX(Productos!$C$2:$C$13,MATCH($H1490,Productos!$A$2:$A$13,0))</f>
        <v>Autotaladrante</v>
      </c>
      <c r="K1490" s="31" t="s">
        <v>246</v>
      </c>
      <c r="L1490" s="46" t="n">
        <v>55</v>
      </c>
      <c r="M1490" s="50" t="n">
        <f aca="false">INDEX(Productos!$F$2:$F$13,MATCH($H1490,Productos!$A$2:$A$13,0))</f>
        <v>29.5</v>
      </c>
      <c r="N1490" s="51" t="n">
        <v>0.179</v>
      </c>
      <c r="O1490" s="52" t="n">
        <f aca="false">M1490*(1-N1490)</f>
        <v>24.2195</v>
      </c>
      <c r="P1490" s="21" t="n">
        <f aca="false">L1490*O1490</f>
        <v>1332.0725</v>
      </c>
      <c r="Q1490" s="50" t="n">
        <f aca="false">INDEX(Productos!$E$2:$E$13,MATCH($H1490,Productos!$A$2:$A$13,0))*INDEX(Parametros!$B$26:$B$43,MATCH($C1490,Parametros!$A$26:$A$43,0))</f>
        <v>15.1088</v>
      </c>
      <c r="R1490" s="21" t="n">
        <f aca="false">L1490*Q1490</f>
        <v>830.984</v>
      </c>
      <c r="S1490" s="18" t="n">
        <f aca="false">L1490*INDEX(Parametros!$B$20:$B$22,MATCH($E1490,Parametros!$A$20:$A$22,0))</f>
        <v>46.75</v>
      </c>
      <c r="T1490" s="18" t="n">
        <f aca="false">P1490*INDEX(Parametros!$B$13:$B$16,MATCH($F1490,Parametros!$A$13:$A$16,0))</f>
        <v>53.2829</v>
      </c>
      <c r="U1490" s="21" t="n">
        <f aca="false">P1490-R1490-S1490-T1490</f>
        <v>401.0556</v>
      </c>
      <c r="V1490" s="19" t="n">
        <f aca="false">IFERROR(U1490/P1490,0)</f>
        <v>0.301076405375834</v>
      </c>
      <c r="W1490" s="48" t="n">
        <f aca="false">B1490+INDEX(Parametros!$C$13:$C$16,MATCH($F1490,Parametros!$A$13:$A$16,0))</f>
        <v>46235</v>
      </c>
      <c r="X1490" s="31" t="s">
        <v>68</v>
      </c>
      <c r="Y1490" s="53" t="n">
        <f aca="false">IF(COUNTIF($A$2:$A1490,A1490)=1,1,0)</f>
        <v>1</v>
      </c>
    </row>
    <row r="1491" customFormat="false" ht="15" hidden="false" customHeight="false" outlineLevel="0" collapsed="false">
      <c r="A1491" s="31" t="s">
        <v>1046</v>
      </c>
      <c r="B1491" s="36" t="n">
        <v>46160</v>
      </c>
      <c r="C1491" s="49" t="n">
        <f aca="false">DATE(YEAR(B1491),MONTH(B1491),1)</f>
        <v>46143</v>
      </c>
      <c r="D1491" s="31" t="s">
        <v>209</v>
      </c>
      <c r="E1491" s="31" t="s">
        <v>41</v>
      </c>
      <c r="F1491" s="31" t="s">
        <v>45</v>
      </c>
      <c r="G1491" s="31" t="s">
        <v>62</v>
      </c>
      <c r="H1491" s="31" t="s">
        <v>183</v>
      </c>
      <c r="I1491" s="32" t="str">
        <f aca="false">INDEX(Productos!$B$2:$B$13,MATCH($H1491,Productos!$A$2:$A$13,0))</f>
        <v>Tornillo estructural M16x90 clase 10.9</v>
      </c>
      <c r="J1491" s="32" t="str">
        <f aca="false">INDEX(Productos!$C$2:$C$13,MATCH($H1491,Productos!$A$2:$A$13,0))</f>
        <v>Especial</v>
      </c>
      <c r="K1491" s="31" t="s">
        <v>246</v>
      </c>
      <c r="L1491" s="46" t="n">
        <v>34</v>
      </c>
      <c r="M1491" s="50" t="n">
        <f aca="false">INDEX(Productos!$F$2:$F$13,MATCH($H1491,Productos!$A$2:$A$13,0))</f>
        <v>112</v>
      </c>
      <c r="N1491" s="51" t="n">
        <v>0.161</v>
      </c>
      <c r="O1491" s="52" t="n">
        <f aca="false">M1491*(1-N1491)</f>
        <v>93.968</v>
      </c>
      <c r="P1491" s="21" t="n">
        <f aca="false">L1491*O1491</f>
        <v>3194.912</v>
      </c>
      <c r="Q1491" s="50" t="n">
        <f aca="false">INDEX(Productos!$E$2:$E$13,MATCH($H1491,Productos!$A$2:$A$13,0))*INDEX(Parametros!$B$26:$B$43,MATCH($C1491,Parametros!$A$26:$A$43,0))</f>
        <v>59.64</v>
      </c>
      <c r="R1491" s="21" t="n">
        <f aca="false">L1491*Q1491</f>
        <v>2027.76</v>
      </c>
      <c r="S1491" s="18" t="n">
        <f aca="false">L1491*INDEX(Parametros!$B$20:$B$22,MATCH($E1491,Parametros!$A$20:$A$22,0))</f>
        <v>28.9</v>
      </c>
      <c r="T1491" s="18" t="n">
        <f aca="false">P1491*INDEX(Parametros!$B$13:$B$16,MATCH($F1491,Parametros!$A$13:$A$16,0))</f>
        <v>95.84736</v>
      </c>
      <c r="U1491" s="21" t="n">
        <f aca="false">P1491-R1491-S1491-T1491</f>
        <v>1042.40464</v>
      </c>
      <c r="V1491" s="19" t="n">
        <f aca="false">IFERROR(U1491/P1491,0)</f>
        <v>0.326270219649242</v>
      </c>
      <c r="W1491" s="48" t="n">
        <f aca="false">B1491+INDEX(Parametros!$C$13:$C$16,MATCH($F1491,Parametros!$A$13:$A$16,0))</f>
        <v>46220</v>
      </c>
      <c r="X1491" s="31" t="s">
        <v>67</v>
      </c>
      <c r="Y1491" s="53" t="n">
        <f aca="false">IF(COUNTIF($A$2:$A1491,A1491)=1,1,0)</f>
        <v>1</v>
      </c>
    </row>
    <row r="1492" customFormat="false" ht="15" hidden="false" customHeight="false" outlineLevel="0" collapsed="false">
      <c r="A1492" s="31" t="s">
        <v>1047</v>
      </c>
      <c r="B1492" s="36" t="n">
        <v>46160</v>
      </c>
      <c r="C1492" s="49" t="n">
        <f aca="false">DATE(YEAR(B1492),MONTH(B1492),1)</f>
        <v>46143</v>
      </c>
      <c r="D1492" s="31" t="s">
        <v>228</v>
      </c>
      <c r="E1492" s="31" t="s">
        <v>43</v>
      </c>
      <c r="F1492" s="31" t="s">
        <v>47</v>
      </c>
      <c r="G1492" s="31" t="s">
        <v>59</v>
      </c>
      <c r="H1492" s="31" t="s">
        <v>165</v>
      </c>
      <c r="I1492" s="32" t="str">
        <f aca="false">INDEX(Productos!$B$2:$B$13,MATCH($H1492,Productos!$A$2:$A$13,0))</f>
        <v>Tornillo DIN 933 M8x40 rosca completa zincado</v>
      </c>
      <c r="J1492" s="32" t="str">
        <f aca="false">INDEX(Productos!$C$2:$C$13,MATCH($H1492,Productos!$A$2:$A$13,0))</f>
        <v>Métrica</v>
      </c>
      <c r="K1492" s="31" t="s">
        <v>246</v>
      </c>
      <c r="L1492" s="46" t="n">
        <v>49</v>
      </c>
      <c r="M1492" s="50" t="n">
        <f aca="false">INDEX(Productos!$F$2:$F$13,MATCH($H1492,Productos!$A$2:$A$13,0))</f>
        <v>37.5</v>
      </c>
      <c r="N1492" s="51" t="n">
        <v>0.075</v>
      </c>
      <c r="O1492" s="52" t="n">
        <f aca="false">M1492*(1-N1492)</f>
        <v>34.6875</v>
      </c>
      <c r="P1492" s="21" t="n">
        <f aca="false">L1492*O1492</f>
        <v>1699.6875</v>
      </c>
      <c r="Q1492" s="50" t="n">
        <f aca="false">INDEX(Productos!$E$2:$E$13,MATCH($H1492,Productos!$A$2:$A$13,0))*INDEX(Parametros!$B$26:$B$43,MATCH($C1492,Parametros!$A$26:$A$43,0))</f>
        <v>19.2836</v>
      </c>
      <c r="R1492" s="21" t="n">
        <f aca="false">L1492*Q1492</f>
        <v>944.8964</v>
      </c>
      <c r="S1492" s="18" t="n">
        <f aca="false">L1492*INDEX(Parametros!$B$20:$B$22,MATCH($E1492,Parametros!$A$20:$A$22,0))</f>
        <v>93.1</v>
      </c>
      <c r="T1492" s="18" t="n">
        <f aca="false">P1492*INDEX(Parametros!$B$13:$B$16,MATCH($F1492,Parametros!$A$13:$A$16,0))</f>
        <v>59.4890625</v>
      </c>
      <c r="U1492" s="21" t="n">
        <f aca="false">P1492-R1492-S1492-T1492</f>
        <v>602.2020375</v>
      </c>
      <c r="V1492" s="19" t="n">
        <f aca="false">IFERROR(U1492/P1492,0)</f>
        <v>0.354301621621622</v>
      </c>
      <c r="W1492" s="48" t="n">
        <f aca="false">B1492+INDEX(Parametros!$C$13:$C$16,MATCH($F1492,Parametros!$A$13:$A$16,0))</f>
        <v>46205</v>
      </c>
      <c r="X1492" s="31" t="s">
        <v>67</v>
      </c>
      <c r="Y1492" s="53" t="n">
        <f aca="false">IF(COUNTIF($A$2:$A1492,A1492)=1,1,0)</f>
        <v>1</v>
      </c>
    </row>
    <row r="1493" customFormat="false" ht="15" hidden="false" customHeight="false" outlineLevel="0" collapsed="false">
      <c r="A1493" s="31" t="s">
        <v>1047</v>
      </c>
      <c r="B1493" s="36" t="n">
        <v>46160</v>
      </c>
      <c r="C1493" s="49" t="n">
        <f aca="false">DATE(YEAR(B1493),MONTH(B1493),1)</f>
        <v>46143</v>
      </c>
      <c r="D1493" s="31" t="s">
        <v>228</v>
      </c>
      <c r="E1493" s="31" t="s">
        <v>43</v>
      </c>
      <c r="F1493" s="31" t="s">
        <v>47</v>
      </c>
      <c r="G1493" s="31" t="s">
        <v>59</v>
      </c>
      <c r="H1493" s="31" t="s">
        <v>173</v>
      </c>
      <c r="I1493" s="32" t="str">
        <f aca="false">INDEX(Productos!$B$2:$B$13,MATCH($H1493,Productos!$A$2:$A$13,0))</f>
        <v>Tornillo DIN 933 M12x70 clase 8.8</v>
      </c>
      <c r="J1493" s="32" t="str">
        <f aca="false">INDEX(Productos!$C$2:$C$13,MATCH($H1493,Productos!$A$2:$A$13,0))</f>
        <v>Métrica</v>
      </c>
      <c r="K1493" s="31" t="s">
        <v>246</v>
      </c>
      <c r="L1493" s="46" t="n">
        <v>31</v>
      </c>
      <c r="M1493" s="50" t="n">
        <f aca="false">INDEX(Productos!$F$2:$F$13,MATCH($H1493,Productos!$A$2:$A$13,0))</f>
        <v>64</v>
      </c>
      <c r="N1493" s="51" t="n">
        <v>0.051</v>
      </c>
      <c r="O1493" s="52" t="n">
        <f aca="false">M1493*(1-N1493)</f>
        <v>60.736</v>
      </c>
      <c r="P1493" s="21" t="n">
        <f aca="false">L1493*O1493</f>
        <v>1882.816</v>
      </c>
      <c r="Q1493" s="50" t="n">
        <f aca="false">INDEX(Productos!$E$2:$E$13,MATCH($H1493,Productos!$A$2:$A$13,0))*INDEX(Parametros!$B$26:$B$43,MATCH($C1493,Parametros!$A$26:$A$43,0))</f>
        <v>33.299</v>
      </c>
      <c r="R1493" s="21" t="n">
        <f aca="false">L1493*Q1493</f>
        <v>1032.269</v>
      </c>
      <c r="S1493" s="18" t="n">
        <f aca="false">L1493*INDEX(Parametros!$B$20:$B$22,MATCH($E1493,Parametros!$A$20:$A$22,0))</f>
        <v>58.9</v>
      </c>
      <c r="T1493" s="18" t="n">
        <f aca="false">P1493*INDEX(Parametros!$B$13:$B$16,MATCH($F1493,Parametros!$A$13:$A$16,0))</f>
        <v>65.89856</v>
      </c>
      <c r="U1493" s="21" t="n">
        <f aca="false">P1493-R1493-S1493-T1493</f>
        <v>725.74844</v>
      </c>
      <c r="V1493" s="19" t="n">
        <f aca="false">IFERROR(U1493/P1493,0)</f>
        <v>0.385459035827187</v>
      </c>
      <c r="W1493" s="48" t="n">
        <f aca="false">B1493+INDEX(Parametros!$C$13:$C$16,MATCH($F1493,Parametros!$A$13:$A$16,0))</f>
        <v>46205</v>
      </c>
      <c r="X1493" s="31" t="s">
        <v>67</v>
      </c>
      <c r="Y1493" s="53" t="n">
        <f aca="false">IF(COUNTIF($A$2:$A1493,A1493)=1,1,0)</f>
        <v>0</v>
      </c>
    </row>
    <row r="1494" customFormat="false" ht="15" hidden="false" customHeight="false" outlineLevel="0" collapsed="false">
      <c r="A1494" s="31" t="s">
        <v>1048</v>
      </c>
      <c r="B1494" s="36" t="n">
        <v>46160</v>
      </c>
      <c r="C1494" s="49" t="n">
        <f aca="false">DATE(YEAR(B1494),MONTH(B1494),1)</f>
        <v>46143</v>
      </c>
      <c r="D1494" s="31" t="s">
        <v>191</v>
      </c>
      <c r="E1494" s="31" t="s">
        <v>41</v>
      </c>
      <c r="F1494" s="31" t="s">
        <v>47</v>
      </c>
      <c r="G1494" s="31" t="s">
        <v>58</v>
      </c>
      <c r="H1494" s="31" t="s">
        <v>183</v>
      </c>
      <c r="I1494" s="32" t="str">
        <f aca="false">INDEX(Productos!$B$2:$B$13,MATCH($H1494,Productos!$A$2:$A$13,0))</f>
        <v>Tornillo estructural M16x90 clase 10.9</v>
      </c>
      <c r="J1494" s="32" t="str">
        <f aca="false">INDEX(Productos!$C$2:$C$13,MATCH($H1494,Productos!$A$2:$A$13,0))</f>
        <v>Especial</v>
      </c>
      <c r="K1494" s="31" t="s">
        <v>246</v>
      </c>
      <c r="L1494" s="46" t="n">
        <v>30</v>
      </c>
      <c r="M1494" s="50" t="n">
        <f aca="false">INDEX(Productos!$F$2:$F$13,MATCH($H1494,Productos!$A$2:$A$13,0))</f>
        <v>112</v>
      </c>
      <c r="N1494" s="51" t="n">
        <v>0.097</v>
      </c>
      <c r="O1494" s="52" t="n">
        <f aca="false">M1494*(1-N1494)</f>
        <v>101.136</v>
      </c>
      <c r="P1494" s="21" t="n">
        <f aca="false">L1494*O1494</f>
        <v>3034.08</v>
      </c>
      <c r="Q1494" s="50" t="n">
        <f aca="false">INDEX(Productos!$E$2:$E$13,MATCH($H1494,Productos!$A$2:$A$13,0))*INDEX(Parametros!$B$26:$B$43,MATCH($C1494,Parametros!$A$26:$A$43,0))</f>
        <v>59.64</v>
      </c>
      <c r="R1494" s="21" t="n">
        <f aca="false">L1494*Q1494</f>
        <v>1789.2</v>
      </c>
      <c r="S1494" s="18" t="n">
        <f aca="false">L1494*INDEX(Parametros!$B$20:$B$22,MATCH($E1494,Parametros!$A$20:$A$22,0))</f>
        <v>25.5</v>
      </c>
      <c r="T1494" s="18" t="n">
        <f aca="false">P1494*INDEX(Parametros!$B$13:$B$16,MATCH($F1494,Parametros!$A$13:$A$16,0))</f>
        <v>106.1928</v>
      </c>
      <c r="U1494" s="21" t="n">
        <f aca="false">P1494-R1494-S1494-T1494</f>
        <v>1113.1872</v>
      </c>
      <c r="V1494" s="19" t="n">
        <f aca="false">IFERROR(U1494/P1494,0)</f>
        <v>0.366894478721721</v>
      </c>
      <c r="W1494" s="48" t="n">
        <f aca="false">B1494+INDEX(Parametros!$C$13:$C$16,MATCH($F1494,Parametros!$A$13:$A$16,0))</f>
        <v>46205</v>
      </c>
      <c r="X1494" s="31" t="s">
        <v>67</v>
      </c>
      <c r="Y1494" s="53" t="n">
        <f aca="false">IF(COUNTIF($A$2:$A1494,A1494)=1,1,0)</f>
        <v>1</v>
      </c>
    </row>
    <row r="1495" customFormat="false" ht="15" hidden="false" customHeight="false" outlineLevel="0" collapsed="false">
      <c r="A1495" s="31" t="s">
        <v>1049</v>
      </c>
      <c r="B1495" s="36" t="n">
        <v>46161</v>
      </c>
      <c r="C1495" s="49" t="n">
        <f aca="false">DATE(YEAR(B1495),MONTH(B1495),1)</f>
        <v>46143</v>
      </c>
      <c r="D1495" s="31" t="s">
        <v>197</v>
      </c>
      <c r="E1495" s="31" t="s">
        <v>41</v>
      </c>
      <c r="F1495" s="31" t="s">
        <v>46</v>
      </c>
      <c r="G1495" s="31" t="s">
        <v>58</v>
      </c>
      <c r="H1495" s="31" t="s">
        <v>179</v>
      </c>
      <c r="I1495" s="32" t="str">
        <f aca="false">INDEX(Productos!$B$2:$B$13,MATCH($H1495,Productos!$A$2:$A$13,0))</f>
        <v>Autotaladrante DIN 7504 4,8x38 zincado</v>
      </c>
      <c r="J1495" s="32" t="str">
        <f aca="false">INDEX(Productos!$C$2:$C$13,MATCH($H1495,Productos!$A$2:$A$13,0))</f>
        <v>Autotaladrante</v>
      </c>
      <c r="K1495" s="31" t="s">
        <v>246</v>
      </c>
      <c r="L1495" s="46" t="n">
        <v>24</v>
      </c>
      <c r="M1495" s="50" t="n">
        <f aca="false">INDEX(Productos!$F$2:$F$13,MATCH($H1495,Productos!$A$2:$A$13,0))</f>
        <v>29.5</v>
      </c>
      <c r="N1495" s="51" t="n">
        <v>0.102</v>
      </c>
      <c r="O1495" s="52" t="n">
        <f aca="false">M1495*(1-N1495)</f>
        <v>26.491</v>
      </c>
      <c r="P1495" s="21" t="n">
        <f aca="false">L1495*O1495</f>
        <v>635.784</v>
      </c>
      <c r="Q1495" s="50" t="n">
        <f aca="false">INDEX(Productos!$E$2:$E$13,MATCH($H1495,Productos!$A$2:$A$13,0))*INDEX(Parametros!$B$26:$B$43,MATCH($C1495,Parametros!$A$26:$A$43,0))</f>
        <v>15.1088</v>
      </c>
      <c r="R1495" s="21" t="n">
        <f aca="false">L1495*Q1495</f>
        <v>362.6112</v>
      </c>
      <c r="S1495" s="18" t="n">
        <f aca="false">L1495*INDEX(Parametros!$B$20:$B$22,MATCH($E1495,Parametros!$A$20:$A$22,0))</f>
        <v>20.4</v>
      </c>
      <c r="T1495" s="18" t="n">
        <f aca="false">P1495*INDEX(Parametros!$B$13:$B$16,MATCH($F1495,Parametros!$A$13:$A$16,0))</f>
        <v>25.43136</v>
      </c>
      <c r="U1495" s="21" t="n">
        <f aca="false">P1495-R1495-S1495-T1495</f>
        <v>227.34144</v>
      </c>
      <c r="V1495" s="19" t="n">
        <f aca="false">IFERROR(U1495/P1495,0)</f>
        <v>0.357576535427126</v>
      </c>
      <c r="W1495" s="48" t="n">
        <f aca="false">B1495+INDEX(Parametros!$C$13:$C$16,MATCH($F1495,Parametros!$A$13:$A$16,0))</f>
        <v>46236</v>
      </c>
      <c r="X1495" s="31" t="s">
        <v>68</v>
      </c>
      <c r="Y1495" s="53" t="n">
        <f aca="false">IF(COUNTIF($A$2:$A1495,A1495)=1,1,0)</f>
        <v>1</v>
      </c>
    </row>
    <row r="1496" customFormat="false" ht="15" hidden="false" customHeight="false" outlineLevel="0" collapsed="false">
      <c r="A1496" s="31" t="s">
        <v>1049</v>
      </c>
      <c r="B1496" s="36" t="n">
        <v>46161</v>
      </c>
      <c r="C1496" s="49" t="n">
        <f aca="false">DATE(YEAR(B1496),MONTH(B1496),1)</f>
        <v>46143</v>
      </c>
      <c r="D1496" s="31" t="s">
        <v>197</v>
      </c>
      <c r="E1496" s="31" t="s">
        <v>41</v>
      </c>
      <c r="F1496" s="31" t="s">
        <v>46</v>
      </c>
      <c r="G1496" s="31" t="s">
        <v>58</v>
      </c>
      <c r="H1496" s="31" t="s">
        <v>167</v>
      </c>
      <c r="I1496" s="32" t="str">
        <f aca="false">INDEX(Productos!$B$2:$B$13,MATCH($H1496,Productos!$A$2:$A$13,0))</f>
        <v>Tornillo DIN 912 M6x25 Allen zincado</v>
      </c>
      <c r="J1496" s="32" t="str">
        <f aca="false">INDEX(Productos!$C$2:$C$13,MATCH($H1496,Productos!$A$2:$A$13,0))</f>
        <v>Métrica</v>
      </c>
      <c r="K1496" s="31" t="s">
        <v>246</v>
      </c>
      <c r="L1496" s="46" t="n">
        <v>104</v>
      </c>
      <c r="M1496" s="50" t="n">
        <f aca="false">INDEX(Productos!$F$2:$F$13,MATCH($H1496,Productos!$A$2:$A$13,0))</f>
        <v>42</v>
      </c>
      <c r="N1496" s="51" t="n">
        <v>0.152</v>
      </c>
      <c r="O1496" s="52" t="n">
        <f aca="false">M1496*(1-N1496)</f>
        <v>35.616</v>
      </c>
      <c r="P1496" s="21" t="n">
        <f aca="false">L1496*O1496</f>
        <v>3704.064</v>
      </c>
      <c r="Q1496" s="50" t="n">
        <f aca="false">INDEX(Productos!$E$2:$E$13,MATCH($H1496,Productos!$A$2:$A$13,0))*INDEX(Parametros!$B$26:$B$43,MATCH($C1496,Parametros!$A$26:$A$43,0))</f>
        <v>21.6692</v>
      </c>
      <c r="R1496" s="21" t="n">
        <f aca="false">L1496*Q1496</f>
        <v>2253.5968</v>
      </c>
      <c r="S1496" s="18" t="n">
        <f aca="false">L1496*INDEX(Parametros!$B$20:$B$22,MATCH($E1496,Parametros!$A$20:$A$22,0))</f>
        <v>88.4</v>
      </c>
      <c r="T1496" s="18" t="n">
        <f aca="false">P1496*INDEX(Parametros!$B$13:$B$16,MATCH($F1496,Parametros!$A$13:$A$16,0))</f>
        <v>148.16256</v>
      </c>
      <c r="U1496" s="21" t="n">
        <f aca="false">P1496-R1496-S1496-T1496</f>
        <v>1213.90464</v>
      </c>
      <c r="V1496" s="19" t="n">
        <f aca="false">IFERROR(U1496/P1496,0)</f>
        <v>0.327722371967655</v>
      </c>
      <c r="W1496" s="48" t="n">
        <f aca="false">B1496+INDEX(Parametros!$C$13:$C$16,MATCH($F1496,Parametros!$A$13:$A$16,0))</f>
        <v>46236</v>
      </c>
      <c r="X1496" s="31" t="s">
        <v>68</v>
      </c>
      <c r="Y1496" s="53" t="n">
        <f aca="false">IF(COUNTIF($A$2:$A1496,A1496)=1,1,0)</f>
        <v>0</v>
      </c>
    </row>
    <row r="1497" customFormat="false" ht="15" hidden="false" customHeight="false" outlineLevel="0" collapsed="false">
      <c r="A1497" s="31" t="s">
        <v>1049</v>
      </c>
      <c r="B1497" s="36" t="n">
        <v>46161</v>
      </c>
      <c r="C1497" s="49" t="n">
        <f aca="false">DATE(YEAR(B1497),MONTH(B1497),1)</f>
        <v>46143</v>
      </c>
      <c r="D1497" s="31" t="s">
        <v>197</v>
      </c>
      <c r="E1497" s="31" t="s">
        <v>41</v>
      </c>
      <c r="F1497" s="31" t="s">
        <v>46</v>
      </c>
      <c r="G1497" s="31" t="s">
        <v>58</v>
      </c>
      <c r="H1497" s="31" t="s">
        <v>165</v>
      </c>
      <c r="I1497" s="32" t="str">
        <f aca="false">INDEX(Productos!$B$2:$B$13,MATCH($H1497,Productos!$A$2:$A$13,0))</f>
        <v>Tornillo DIN 933 M8x40 rosca completa zincado</v>
      </c>
      <c r="J1497" s="32" t="str">
        <f aca="false">INDEX(Productos!$C$2:$C$13,MATCH($H1497,Productos!$A$2:$A$13,0))</f>
        <v>Métrica</v>
      </c>
      <c r="K1497" s="31" t="s">
        <v>246</v>
      </c>
      <c r="L1497" s="46" t="n">
        <v>115</v>
      </c>
      <c r="M1497" s="50" t="n">
        <f aca="false">INDEX(Productos!$F$2:$F$13,MATCH($H1497,Productos!$A$2:$A$13,0))</f>
        <v>37.5</v>
      </c>
      <c r="N1497" s="51" t="n">
        <v>0.179</v>
      </c>
      <c r="O1497" s="52" t="n">
        <f aca="false">M1497*(1-N1497)</f>
        <v>30.7875</v>
      </c>
      <c r="P1497" s="21" t="n">
        <f aca="false">L1497*O1497</f>
        <v>3540.5625</v>
      </c>
      <c r="Q1497" s="50" t="n">
        <f aca="false">INDEX(Productos!$E$2:$E$13,MATCH($H1497,Productos!$A$2:$A$13,0))*INDEX(Parametros!$B$26:$B$43,MATCH($C1497,Parametros!$A$26:$A$43,0))</f>
        <v>19.2836</v>
      </c>
      <c r="R1497" s="21" t="n">
        <f aca="false">L1497*Q1497</f>
        <v>2217.614</v>
      </c>
      <c r="S1497" s="18" t="n">
        <f aca="false">L1497*INDEX(Parametros!$B$20:$B$22,MATCH($E1497,Parametros!$A$20:$A$22,0))</f>
        <v>97.75</v>
      </c>
      <c r="T1497" s="18" t="n">
        <f aca="false">P1497*INDEX(Parametros!$B$13:$B$16,MATCH($F1497,Parametros!$A$13:$A$16,0))</f>
        <v>141.6225</v>
      </c>
      <c r="U1497" s="21" t="n">
        <f aca="false">P1497-R1497-S1497-T1497</f>
        <v>1083.576</v>
      </c>
      <c r="V1497" s="19" t="n">
        <f aca="false">IFERROR(U1497/P1497,0)</f>
        <v>0.30604628501827</v>
      </c>
      <c r="W1497" s="48" t="n">
        <f aca="false">B1497+INDEX(Parametros!$C$13:$C$16,MATCH($F1497,Parametros!$A$13:$A$16,0))</f>
        <v>46236</v>
      </c>
      <c r="X1497" s="31" t="s">
        <v>68</v>
      </c>
      <c r="Y1497" s="53" t="n">
        <f aca="false">IF(COUNTIF($A$2:$A1497,A1497)=1,1,0)</f>
        <v>0</v>
      </c>
    </row>
    <row r="1498" customFormat="false" ht="15" hidden="false" customHeight="false" outlineLevel="0" collapsed="false">
      <c r="A1498" s="31" t="s">
        <v>1050</v>
      </c>
      <c r="B1498" s="36" t="n">
        <v>46161</v>
      </c>
      <c r="C1498" s="49" t="n">
        <f aca="false">DATE(YEAR(B1498),MONTH(B1498),1)</f>
        <v>46143</v>
      </c>
      <c r="D1498" s="31" t="s">
        <v>217</v>
      </c>
      <c r="E1498" s="31" t="s">
        <v>42</v>
      </c>
      <c r="F1498" s="31" t="s">
        <v>47</v>
      </c>
      <c r="G1498" s="31" t="s">
        <v>61</v>
      </c>
      <c r="H1498" s="31" t="s">
        <v>183</v>
      </c>
      <c r="I1498" s="32" t="str">
        <f aca="false">INDEX(Productos!$B$2:$B$13,MATCH($H1498,Productos!$A$2:$A$13,0))</f>
        <v>Tornillo estructural M16x90 clase 10.9</v>
      </c>
      <c r="J1498" s="32" t="str">
        <f aca="false">INDEX(Productos!$C$2:$C$13,MATCH($H1498,Productos!$A$2:$A$13,0))</f>
        <v>Especial</v>
      </c>
      <c r="K1498" s="31" t="s">
        <v>275</v>
      </c>
      <c r="L1498" s="46" t="n">
        <v>-27</v>
      </c>
      <c r="M1498" s="50" t="n">
        <f aca="false">INDEX(Productos!$F$2:$F$13,MATCH($H1498,Productos!$A$2:$A$13,0))</f>
        <v>112</v>
      </c>
      <c r="N1498" s="51" t="n">
        <v>0.099</v>
      </c>
      <c r="O1498" s="52" t="n">
        <f aca="false">M1498*(1-N1498)</f>
        <v>100.912</v>
      </c>
      <c r="P1498" s="21" t="n">
        <f aca="false">L1498*O1498</f>
        <v>-2724.624</v>
      </c>
      <c r="Q1498" s="50" t="n">
        <f aca="false">INDEX(Productos!$E$2:$E$13,MATCH($H1498,Productos!$A$2:$A$13,0))*INDEX(Parametros!$B$26:$B$43,MATCH($C1498,Parametros!$A$26:$A$43,0))</f>
        <v>59.64</v>
      </c>
      <c r="R1498" s="21" t="n">
        <f aca="false">L1498*Q1498</f>
        <v>-1610.28</v>
      </c>
      <c r="S1498" s="18" t="n">
        <f aca="false">L1498*INDEX(Parametros!$B$20:$B$22,MATCH($E1498,Parametros!$A$20:$A$22,0))</f>
        <v>-64.8</v>
      </c>
      <c r="T1498" s="18" t="n">
        <f aca="false">P1498*INDEX(Parametros!$B$13:$B$16,MATCH($F1498,Parametros!$A$13:$A$16,0))</f>
        <v>-95.36184</v>
      </c>
      <c r="U1498" s="21" t="n">
        <f aca="false">P1498-R1498-S1498-T1498</f>
        <v>-954.18216</v>
      </c>
      <c r="V1498" s="19" t="n">
        <f aca="false">IFERROR(U1498/P1498,0)</f>
        <v>0.350206912953861</v>
      </c>
      <c r="W1498" s="48" t="n">
        <f aca="false">B1498+INDEX(Parametros!$C$13:$C$16,MATCH($F1498,Parametros!$A$13:$A$16,0))</f>
        <v>46206</v>
      </c>
      <c r="X1498" s="31" t="s">
        <v>67</v>
      </c>
      <c r="Y1498" s="53" t="n">
        <f aca="false">IF(COUNTIF($A$2:$A1498,A1498)=1,1,0)</f>
        <v>1</v>
      </c>
    </row>
    <row r="1499" customFormat="false" ht="15" hidden="false" customHeight="false" outlineLevel="0" collapsed="false">
      <c r="A1499" s="31" t="s">
        <v>1051</v>
      </c>
      <c r="B1499" s="36" t="n">
        <v>46162</v>
      </c>
      <c r="C1499" s="49" t="n">
        <f aca="false">DATE(YEAR(B1499),MONTH(B1499),1)</f>
        <v>46143</v>
      </c>
      <c r="D1499" s="31" t="s">
        <v>219</v>
      </c>
      <c r="E1499" s="31" t="s">
        <v>42</v>
      </c>
      <c r="F1499" s="31" t="s">
        <v>45</v>
      </c>
      <c r="G1499" s="31" t="s">
        <v>61</v>
      </c>
      <c r="H1499" s="31" t="s">
        <v>173</v>
      </c>
      <c r="I1499" s="32" t="str">
        <f aca="false">INDEX(Productos!$B$2:$B$13,MATCH($H1499,Productos!$A$2:$A$13,0))</f>
        <v>Tornillo DIN 933 M12x70 clase 8.8</v>
      </c>
      <c r="J1499" s="32" t="str">
        <f aca="false">INDEX(Productos!$C$2:$C$13,MATCH($H1499,Productos!$A$2:$A$13,0))</f>
        <v>Métrica</v>
      </c>
      <c r="K1499" s="31" t="s">
        <v>246</v>
      </c>
      <c r="L1499" s="46" t="n">
        <v>132</v>
      </c>
      <c r="M1499" s="50" t="n">
        <f aca="false">INDEX(Productos!$F$2:$F$13,MATCH($H1499,Productos!$A$2:$A$13,0))</f>
        <v>64</v>
      </c>
      <c r="N1499" s="51" t="n">
        <v>0.154</v>
      </c>
      <c r="O1499" s="52" t="n">
        <f aca="false">M1499*(1-N1499)</f>
        <v>54.144</v>
      </c>
      <c r="P1499" s="21" t="n">
        <f aca="false">L1499*O1499</f>
        <v>7147.008</v>
      </c>
      <c r="Q1499" s="50" t="n">
        <f aca="false">INDEX(Productos!$E$2:$E$13,MATCH($H1499,Productos!$A$2:$A$13,0))*INDEX(Parametros!$B$26:$B$43,MATCH($C1499,Parametros!$A$26:$A$43,0))</f>
        <v>33.299</v>
      </c>
      <c r="R1499" s="21" t="n">
        <f aca="false">L1499*Q1499</f>
        <v>4395.468</v>
      </c>
      <c r="S1499" s="18" t="n">
        <f aca="false">L1499*INDEX(Parametros!$B$20:$B$22,MATCH($E1499,Parametros!$A$20:$A$22,0))</f>
        <v>316.8</v>
      </c>
      <c r="T1499" s="18" t="n">
        <f aca="false">P1499*INDEX(Parametros!$B$13:$B$16,MATCH($F1499,Parametros!$A$13:$A$16,0))</f>
        <v>214.41024</v>
      </c>
      <c r="U1499" s="21" t="n">
        <f aca="false">P1499-R1499-S1499-T1499</f>
        <v>2220.32976</v>
      </c>
      <c r="V1499" s="19" t="n">
        <f aca="false">IFERROR(U1499/P1499,0)</f>
        <v>0.310665632387707</v>
      </c>
      <c r="W1499" s="48" t="n">
        <f aca="false">B1499+INDEX(Parametros!$C$13:$C$16,MATCH($F1499,Parametros!$A$13:$A$16,0))</f>
        <v>46222</v>
      </c>
      <c r="X1499" s="31" t="s">
        <v>67</v>
      </c>
      <c r="Y1499" s="53" t="n">
        <f aca="false">IF(COUNTIF($A$2:$A1499,A1499)=1,1,0)</f>
        <v>1</v>
      </c>
    </row>
    <row r="1500" customFormat="false" ht="15" hidden="false" customHeight="false" outlineLevel="0" collapsed="false">
      <c r="A1500" s="31" t="s">
        <v>1052</v>
      </c>
      <c r="B1500" s="36" t="n">
        <v>46163</v>
      </c>
      <c r="C1500" s="49" t="n">
        <f aca="false">DATE(YEAR(B1500),MONTH(B1500),1)</f>
        <v>46143</v>
      </c>
      <c r="D1500" s="31" t="s">
        <v>194</v>
      </c>
      <c r="E1500" s="31" t="s">
        <v>41</v>
      </c>
      <c r="F1500" s="31" t="s">
        <v>46</v>
      </c>
      <c r="G1500" s="31" t="s">
        <v>58</v>
      </c>
      <c r="H1500" s="31" t="s">
        <v>183</v>
      </c>
      <c r="I1500" s="32" t="str">
        <f aca="false">INDEX(Productos!$B$2:$B$13,MATCH($H1500,Productos!$A$2:$A$13,0))</f>
        <v>Tornillo estructural M16x90 clase 10.9</v>
      </c>
      <c r="J1500" s="32" t="str">
        <f aca="false">INDEX(Productos!$C$2:$C$13,MATCH($H1500,Productos!$A$2:$A$13,0))</f>
        <v>Especial</v>
      </c>
      <c r="K1500" s="31" t="s">
        <v>246</v>
      </c>
      <c r="L1500" s="46" t="n">
        <v>133</v>
      </c>
      <c r="M1500" s="50" t="n">
        <f aca="false">INDEX(Productos!$F$2:$F$13,MATCH($H1500,Productos!$A$2:$A$13,0))</f>
        <v>112</v>
      </c>
      <c r="N1500" s="51" t="n">
        <v>0.096</v>
      </c>
      <c r="O1500" s="52" t="n">
        <f aca="false">M1500*(1-N1500)</f>
        <v>101.248</v>
      </c>
      <c r="P1500" s="21" t="n">
        <f aca="false">L1500*O1500</f>
        <v>13465.984</v>
      </c>
      <c r="Q1500" s="50" t="n">
        <f aca="false">INDEX(Productos!$E$2:$E$13,MATCH($H1500,Productos!$A$2:$A$13,0))*INDEX(Parametros!$B$26:$B$43,MATCH($C1500,Parametros!$A$26:$A$43,0))</f>
        <v>59.64</v>
      </c>
      <c r="R1500" s="21" t="n">
        <f aca="false">L1500*Q1500</f>
        <v>7932.12</v>
      </c>
      <c r="S1500" s="18" t="n">
        <f aca="false">L1500*INDEX(Parametros!$B$20:$B$22,MATCH($E1500,Parametros!$A$20:$A$22,0))</f>
        <v>113.05</v>
      </c>
      <c r="T1500" s="18" t="n">
        <f aca="false">P1500*INDEX(Parametros!$B$13:$B$16,MATCH($F1500,Parametros!$A$13:$A$16,0))</f>
        <v>538.63936</v>
      </c>
      <c r="U1500" s="21" t="n">
        <f aca="false">P1500-R1500-S1500-T1500</f>
        <v>4882.17464</v>
      </c>
      <c r="V1500" s="19" t="n">
        <f aca="false">IFERROR(U1500/P1500,0)</f>
        <v>0.362556099873578</v>
      </c>
      <c r="W1500" s="48" t="n">
        <f aca="false">B1500+INDEX(Parametros!$C$13:$C$16,MATCH($F1500,Parametros!$A$13:$A$16,0))</f>
        <v>46238</v>
      </c>
      <c r="X1500" s="31" t="s">
        <v>68</v>
      </c>
      <c r="Y1500" s="53" t="n">
        <f aca="false">IF(COUNTIF($A$2:$A1500,A1500)=1,1,0)</f>
        <v>1</v>
      </c>
    </row>
    <row r="1501" customFormat="false" ht="15" hidden="false" customHeight="false" outlineLevel="0" collapsed="false">
      <c r="A1501" s="31" t="s">
        <v>1052</v>
      </c>
      <c r="B1501" s="36" t="n">
        <v>46163</v>
      </c>
      <c r="C1501" s="49" t="n">
        <f aca="false">DATE(YEAR(B1501),MONTH(B1501),1)</f>
        <v>46143</v>
      </c>
      <c r="D1501" s="31" t="s">
        <v>194</v>
      </c>
      <c r="E1501" s="31" t="s">
        <v>41</v>
      </c>
      <c r="F1501" s="31" t="s">
        <v>46</v>
      </c>
      <c r="G1501" s="31" t="s">
        <v>58</v>
      </c>
      <c r="H1501" s="31" t="s">
        <v>169</v>
      </c>
      <c r="I1501" s="32" t="str">
        <f aca="false">INDEX(Productos!$B$2:$B$13,MATCH($H1501,Productos!$A$2:$A$13,0))</f>
        <v>Tornillo DIN 912 M10x60 Allen inox A2</v>
      </c>
      <c r="J1501" s="32" t="str">
        <f aca="false">INDEX(Productos!$C$2:$C$13,MATCH($H1501,Productos!$A$2:$A$13,0))</f>
        <v>Inoxidable</v>
      </c>
      <c r="K1501" s="31" t="s">
        <v>246</v>
      </c>
      <c r="L1501" s="46" t="n">
        <v>134</v>
      </c>
      <c r="M1501" s="50" t="n">
        <f aca="false">INDEX(Productos!$F$2:$F$13,MATCH($H1501,Productos!$A$2:$A$13,0))</f>
        <v>79</v>
      </c>
      <c r="N1501" s="51" t="n">
        <v>0.09</v>
      </c>
      <c r="O1501" s="52" t="n">
        <f aca="false">M1501*(1-N1501)</f>
        <v>71.89</v>
      </c>
      <c r="P1501" s="21" t="n">
        <f aca="false">L1501*O1501</f>
        <v>9633.26</v>
      </c>
      <c r="Q1501" s="50" t="n">
        <f aca="false">INDEX(Productos!$E$2:$E$13,MATCH($H1501,Productos!$A$2:$A$13,0))*INDEX(Parametros!$B$26:$B$43,MATCH($C1501,Parametros!$A$26:$A$43,0))</f>
        <v>41.748</v>
      </c>
      <c r="R1501" s="21" t="n">
        <f aca="false">L1501*Q1501</f>
        <v>5594.232</v>
      </c>
      <c r="S1501" s="18" t="n">
        <f aca="false">L1501*INDEX(Parametros!$B$20:$B$22,MATCH($E1501,Parametros!$A$20:$A$22,0))</f>
        <v>113.9</v>
      </c>
      <c r="T1501" s="18" t="n">
        <f aca="false">P1501*INDEX(Parametros!$B$13:$B$16,MATCH($F1501,Parametros!$A$13:$A$16,0))</f>
        <v>385.3304</v>
      </c>
      <c r="U1501" s="21" t="n">
        <f aca="false">P1501-R1501-S1501-T1501</f>
        <v>3539.7976</v>
      </c>
      <c r="V1501" s="19" t="n">
        <f aca="false">IFERROR(U1501/P1501,0)</f>
        <v>0.367455835303937</v>
      </c>
      <c r="W1501" s="48" t="n">
        <f aca="false">B1501+INDEX(Parametros!$C$13:$C$16,MATCH($F1501,Parametros!$A$13:$A$16,0))</f>
        <v>46238</v>
      </c>
      <c r="X1501" s="31" t="s">
        <v>68</v>
      </c>
      <c r="Y1501" s="53" t="n">
        <f aca="false">IF(COUNTIF($A$2:$A1501,A1501)=1,1,0)</f>
        <v>0</v>
      </c>
    </row>
    <row r="1502" customFormat="false" ht="15" hidden="false" customHeight="false" outlineLevel="0" collapsed="false">
      <c r="A1502" s="31" t="s">
        <v>1052</v>
      </c>
      <c r="B1502" s="36" t="n">
        <v>46163</v>
      </c>
      <c r="C1502" s="49" t="n">
        <f aca="false">DATE(YEAR(B1502),MONTH(B1502),1)</f>
        <v>46143</v>
      </c>
      <c r="D1502" s="31" t="s">
        <v>194</v>
      </c>
      <c r="E1502" s="31" t="s">
        <v>41</v>
      </c>
      <c r="F1502" s="31" t="s">
        <v>46</v>
      </c>
      <c r="G1502" s="31" t="s">
        <v>58</v>
      </c>
      <c r="H1502" s="31" t="s">
        <v>163</v>
      </c>
      <c r="I1502" s="32" t="str">
        <f aca="false">INDEX(Productos!$B$2:$B$13,MATCH($H1502,Productos!$A$2:$A$13,0))</f>
        <v>Tornillo DIN 933 M6x30 rosca completa zincado</v>
      </c>
      <c r="J1502" s="32" t="str">
        <f aca="false">INDEX(Productos!$C$2:$C$13,MATCH($H1502,Productos!$A$2:$A$13,0))</f>
        <v>Métrica</v>
      </c>
      <c r="K1502" s="31" t="s">
        <v>246</v>
      </c>
      <c r="L1502" s="46" t="n">
        <v>225</v>
      </c>
      <c r="M1502" s="50" t="n">
        <f aca="false">INDEX(Productos!$F$2:$F$13,MATCH($H1502,Productos!$A$2:$A$13,0))</f>
        <v>32</v>
      </c>
      <c r="N1502" s="51" t="n">
        <v>0.149</v>
      </c>
      <c r="O1502" s="52" t="n">
        <f aca="false">M1502*(1-N1502)</f>
        <v>27.232</v>
      </c>
      <c r="P1502" s="21" t="n">
        <f aca="false">L1502*O1502</f>
        <v>6127.2</v>
      </c>
      <c r="Q1502" s="50" t="n">
        <f aca="false">INDEX(Productos!$E$2:$E$13,MATCH($H1502,Productos!$A$2:$A$13,0))*INDEX(Parametros!$B$26:$B$43,MATCH($C1502,Parametros!$A$26:$A$43,0))</f>
        <v>16.5004</v>
      </c>
      <c r="R1502" s="21" t="n">
        <f aca="false">L1502*Q1502</f>
        <v>3712.59</v>
      </c>
      <c r="S1502" s="18" t="n">
        <f aca="false">L1502*INDEX(Parametros!$B$20:$B$22,MATCH($E1502,Parametros!$A$20:$A$22,0))</f>
        <v>191.25</v>
      </c>
      <c r="T1502" s="18" t="n">
        <f aca="false">P1502*INDEX(Parametros!$B$13:$B$16,MATCH($F1502,Parametros!$A$13:$A$16,0))</f>
        <v>245.088</v>
      </c>
      <c r="U1502" s="21" t="n">
        <f aca="false">P1502-R1502-S1502-T1502</f>
        <v>1978.272</v>
      </c>
      <c r="V1502" s="19" t="n">
        <f aca="false">IFERROR(U1502/P1502,0)</f>
        <v>0.322867215041128</v>
      </c>
      <c r="W1502" s="48" t="n">
        <f aca="false">B1502+INDEX(Parametros!$C$13:$C$16,MATCH($F1502,Parametros!$A$13:$A$16,0))</f>
        <v>46238</v>
      </c>
      <c r="X1502" s="31" t="s">
        <v>68</v>
      </c>
      <c r="Y1502" s="53" t="n">
        <f aca="false">IF(COUNTIF($A$2:$A1502,A1502)=1,1,0)</f>
        <v>0</v>
      </c>
    </row>
    <row r="1503" customFormat="false" ht="15" hidden="false" customHeight="false" outlineLevel="0" collapsed="false">
      <c r="A1503" s="31" t="s">
        <v>1053</v>
      </c>
      <c r="B1503" s="36" t="n">
        <v>46167</v>
      </c>
      <c r="C1503" s="49" t="n">
        <f aca="false">DATE(YEAR(B1503),MONTH(B1503),1)</f>
        <v>46143</v>
      </c>
      <c r="D1503" s="31" t="s">
        <v>206</v>
      </c>
      <c r="E1503" s="31" t="s">
        <v>41</v>
      </c>
      <c r="F1503" s="31" t="s">
        <v>46</v>
      </c>
      <c r="G1503" s="31" t="s">
        <v>58</v>
      </c>
      <c r="H1503" s="31" t="s">
        <v>165</v>
      </c>
      <c r="I1503" s="32" t="str">
        <f aca="false">INDEX(Productos!$B$2:$B$13,MATCH($H1503,Productos!$A$2:$A$13,0))</f>
        <v>Tornillo DIN 933 M8x40 rosca completa zincado</v>
      </c>
      <c r="J1503" s="32" t="str">
        <f aca="false">INDEX(Productos!$C$2:$C$13,MATCH($H1503,Productos!$A$2:$A$13,0))</f>
        <v>Métrica</v>
      </c>
      <c r="K1503" s="31" t="s">
        <v>246</v>
      </c>
      <c r="L1503" s="46" t="n">
        <v>55</v>
      </c>
      <c r="M1503" s="50" t="n">
        <f aca="false">INDEX(Productos!$F$2:$F$13,MATCH($H1503,Productos!$A$2:$A$13,0))</f>
        <v>37.5</v>
      </c>
      <c r="N1503" s="51" t="n">
        <v>0.101</v>
      </c>
      <c r="O1503" s="52" t="n">
        <f aca="false">M1503*(1-N1503)</f>
        <v>33.7125</v>
      </c>
      <c r="P1503" s="21" t="n">
        <f aca="false">L1503*O1503</f>
        <v>1854.1875</v>
      </c>
      <c r="Q1503" s="50" t="n">
        <f aca="false">INDEX(Productos!$E$2:$E$13,MATCH($H1503,Productos!$A$2:$A$13,0))*INDEX(Parametros!$B$26:$B$43,MATCH($C1503,Parametros!$A$26:$A$43,0))</f>
        <v>19.2836</v>
      </c>
      <c r="R1503" s="21" t="n">
        <f aca="false">L1503*Q1503</f>
        <v>1060.598</v>
      </c>
      <c r="S1503" s="18" t="n">
        <f aca="false">L1503*INDEX(Parametros!$B$20:$B$22,MATCH($E1503,Parametros!$A$20:$A$22,0))</f>
        <v>46.75</v>
      </c>
      <c r="T1503" s="18" t="n">
        <f aca="false">P1503*INDEX(Parametros!$B$13:$B$16,MATCH($F1503,Parametros!$A$13:$A$16,0))</f>
        <v>74.1675</v>
      </c>
      <c r="U1503" s="21" t="n">
        <f aca="false">P1503-R1503-S1503-T1503</f>
        <v>672.672</v>
      </c>
      <c r="V1503" s="19" t="n">
        <f aca="false">IFERROR(U1503/P1503,0)</f>
        <v>0.36278531701891</v>
      </c>
      <c r="W1503" s="48" t="n">
        <f aca="false">B1503+INDEX(Parametros!$C$13:$C$16,MATCH($F1503,Parametros!$A$13:$A$16,0))</f>
        <v>46242</v>
      </c>
      <c r="X1503" s="31" t="s">
        <v>68</v>
      </c>
      <c r="Y1503" s="53" t="n">
        <f aca="false">IF(COUNTIF($A$2:$A1503,A1503)=1,1,0)</f>
        <v>1</v>
      </c>
    </row>
    <row r="1504" customFormat="false" ht="15" hidden="false" customHeight="false" outlineLevel="0" collapsed="false">
      <c r="A1504" s="31" t="s">
        <v>1054</v>
      </c>
      <c r="B1504" s="36" t="n">
        <v>46167</v>
      </c>
      <c r="C1504" s="49" t="n">
        <f aca="false">DATE(YEAR(B1504),MONTH(B1504),1)</f>
        <v>46143</v>
      </c>
      <c r="D1504" s="31" t="s">
        <v>223</v>
      </c>
      <c r="E1504" s="31" t="s">
        <v>43</v>
      </c>
      <c r="F1504" s="31" t="s">
        <v>46</v>
      </c>
      <c r="G1504" s="31" t="s">
        <v>59</v>
      </c>
      <c r="H1504" s="31" t="s">
        <v>163</v>
      </c>
      <c r="I1504" s="32" t="str">
        <f aca="false">INDEX(Productos!$B$2:$B$13,MATCH($H1504,Productos!$A$2:$A$13,0))</f>
        <v>Tornillo DIN 933 M6x30 rosca completa zincado</v>
      </c>
      <c r="J1504" s="32" t="str">
        <f aca="false">INDEX(Productos!$C$2:$C$13,MATCH($H1504,Productos!$A$2:$A$13,0))</f>
        <v>Métrica</v>
      </c>
      <c r="K1504" s="31" t="s">
        <v>246</v>
      </c>
      <c r="L1504" s="46" t="n">
        <v>36</v>
      </c>
      <c r="M1504" s="50" t="n">
        <f aca="false">INDEX(Productos!$F$2:$F$13,MATCH($H1504,Productos!$A$2:$A$13,0))</f>
        <v>32</v>
      </c>
      <c r="N1504" s="51" t="n">
        <v>0.104</v>
      </c>
      <c r="O1504" s="52" t="n">
        <f aca="false">M1504*(1-N1504)</f>
        <v>28.672</v>
      </c>
      <c r="P1504" s="21" t="n">
        <f aca="false">L1504*O1504</f>
        <v>1032.192</v>
      </c>
      <c r="Q1504" s="50" t="n">
        <f aca="false">INDEX(Productos!$E$2:$E$13,MATCH($H1504,Productos!$A$2:$A$13,0))*INDEX(Parametros!$B$26:$B$43,MATCH($C1504,Parametros!$A$26:$A$43,0))</f>
        <v>16.5004</v>
      </c>
      <c r="R1504" s="21" t="n">
        <f aca="false">L1504*Q1504</f>
        <v>594.0144</v>
      </c>
      <c r="S1504" s="18" t="n">
        <f aca="false">L1504*INDEX(Parametros!$B$20:$B$22,MATCH($E1504,Parametros!$A$20:$A$22,0))</f>
        <v>68.4</v>
      </c>
      <c r="T1504" s="18" t="n">
        <f aca="false">P1504*INDEX(Parametros!$B$13:$B$16,MATCH($F1504,Parametros!$A$13:$A$16,0))</f>
        <v>41.28768</v>
      </c>
      <c r="U1504" s="21" t="n">
        <f aca="false">P1504-R1504-S1504-T1504</f>
        <v>328.48992</v>
      </c>
      <c r="V1504" s="19" t="n">
        <f aca="false">IFERROR(U1504/P1504,0)</f>
        <v>0.318244977678571</v>
      </c>
      <c r="W1504" s="48" t="n">
        <f aca="false">B1504+INDEX(Parametros!$C$13:$C$16,MATCH($F1504,Parametros!$A$13:$A$16,0))</f>
        <v>46242</v>
      </c>
      <c r="X1504" s="31" t="s">
        <v>68</v>
      </c>
      <c r="Y1504" s="53" t="n">
        <f aca="false">IF(COUNTIF($A$2:$A1504,A1504)=1,1,0)</f>
        <v>1</v>
      </c>
    </row>
    <row r="1505" customFormat="false" ht="15" hidden="false" customHeight="false" outlineLevel="0" collapsed="false">
      <c r="A1505" s="31" t="s">
        <v>1054</v>
      </c>
      <c r="B1505" s="36" t="n">
        <v>46167</v>
      </c>
      <c r="C1505" s="49" t="n">
        <f aca="false">DATE(YEAR(B1505),MONTH(B1505),1)</f>
        <v>46143</v>
      </c>
      <c r="D1505" s="31" t="s">
        <v>223</v>
      </c>
      <c r="E1505" s="31" t="s">
        <v>43</v>
      </c>
      <c r="F1505" s="31" t="s">
        <v>46</v>
      </c>
      <c r="G1505" s="31" t="s">
        <v>59</v>
      </c>
      <c r="H1505" s="31" t="s">
        <v>175</v>
      </c>
      <c r="I1505" s="32" t="str">
        <f aca="false">INDEX(Productos!$B$2:$B$13,MATCH($H1505,Productos!$A$2:$A$13,0))</f>
        <v>Tirafondo madera 5x60 cabeza plana Torx</v>
      </c>
      <c r="J1505" s="32" t="str">
        <f aca="false">INDEX(Productos!$C$2:$C$13,MATCH($H1505,Productos!$A$2:$A$13,0))</f>
        <v>Madera</v>
      </c>
      <c r="K1505" s="31" t="s">
        <v>246</v>
      </c>
      <c r="L1505" s="46" t="n">
        <v>204</v>
      </c>
      <c r="M1505" s="50" t="n">
        <f aca="false">INDEX(Productos!$F$2:$F$13,MATCH($H1505,Productos!$A$2:$A$13,0))</f>
        <v>26</v>
      </c>
      <c r="N1505" s="51" t="n">
        <v>0.153</v>
      </c>
      <c r="O1505" s="52" t="n">
        <f aca="false">M1505*(1-N1505)</f>
        <v>22.022</v>
      </c>
      <c r="P1505" s="21" t="n">
        <f aca="false">L1505*O1505</f>
        <v>4492.488</v>
      </c>
      <c r="Q1505" s="50" t="n">
        <f aca="false">INDEX(Productos!$E$2:$E$13,MATCH($H1505,Productos!$A$2:$A$13,0))*INDEX(Parametros!$B$26:$B$43,MATCH($C1505,Parametros!$A$26:$A$43,0))</f>
        <v>13.3196</v>
      </c>
      <c r="R1505" s="21" t="n">
        <f aca="false">L1505*Q1505</f>
        <v>2717.1984</v>
      </c>
      <c r="S1505" s="18" t="n">
        <f aca="false">L1505*INDEX(Parametros!$B$20:$B$22,MATCH($E1505,Parametros!$A$20:$A$22,0))</f>
        <v>387.6</v>
      </c>
      <c r="T1505" s="18" t="n">
        <f aca="false">P1505*INDEX(Parametros!$B$13:$B$16,MATCH($F1505,Parametros!$A$13:$A$16,0))</f>
        <v>179.69952</v>
      </c>
      <c r="U1505" s="21" t="n">
        <f aca="false">P1505-R1505-S1505-T1505</f>
        <v>1207.99008</v>
      </c>
      <c r="V1505" s="19" t="n">
        <f aca="false">IFERROR(U1505/P1505,0)</f>
        <v>0.268891108891109</v>
      </c>
      <c r="W1505" s="48" t="n">
        <f aca="false">B1505+INDEX(Parametros!$C$13:$C$16,MATCH($F1505,Parametros!$A$13:$A$16,0))</f>
        <v>46242</v>
      </c>
      <c r="X1505" s="31" t="s">
        <v>68</v>
      </c>
      <c r="Y1505" s="53" t="n">
        <f aca="false">IF(COUNTIF($A$2:$A1505,A1505)=1,1,0)</f>
        <v>0</v>
      </c>
    </row>
    <row r="1506" customFormat="false" ht="15" hidden="false" customHeight="false" outlineLevel="0" collapsed="false">
      <c r="A1506" s="31" t="s">
        <v>1055</v>
      </c>
      <c r="B1506" s="36" t="n">
        <v>46167</v>
      </c>
      <c r="C1506" s="49" t="n">
        <f aca="false">DATE(YEAR(B1506),MONTH(B1506),1)</f>
        <v>46143</v>
      </c>
      <c r="D1506" s="31" t="s">
        <v>196</v>
      </c>
      <c r="E1506" s="31" t="s">
        <v>41</v>
      </c>
      <c r="F1506" s="31" t="s">
        <v>47</v>
      </c>
      <c r="G1506" s="31" t="s">
        <v>58</v>
      </c>
      <c r="H1506" s="31" t="s">
        <v>171</v>
      </c>
      <c r="I1506" s="32" t="str">
        <f aca="false">INDEX(Productos!$B$2:$B$13,MATCH($H1506,Productos!$A$2:$A$13,0))</f>
        <v>Tornillo DIN 7991 M8x30 avellanado inox A2</v>
      </c>
      <c r="J1506" s="32" t="str">
        <f aca="false">INDEX(Productos!$C$2:$C$13,MATCH($H1506,Productos!$A$2:$A$13,0))</f>
        <v>Inoxidable</v>
      </c>
      <c r="K1506" s="31" t="s">
        <v>246</v>
      </c>
      <c r="L1506" s="46" t="n">
        <v>25</v>
      </c>
      <c r="M1506" s="50" t="n">
        <f aca="false">INDEX(Productos!$F$2:$F$13,MATCH($H1506,Productos!$A$2:$A$13,0))</f>
        <v>88</v>
      </c>
      <c r="N1506" s="51" t="n">
        <v>0.068</v>
      </c>
      <c r="O1506" s="52" t="n">
        <f aca="false">M1506*(1-N1506)</f>
        <v>82.016</v>
      </c>
      <c r="P1506" s="21" t="n">
        <f aca="false">L1506*O1506</f>
        <v>2050.4</v>
      </c>
      <c r="Q1506" s="50" t="n">
        <f aca="false">INDEX(Productos!$E$2:$E$13,MATCH($H1506,Productos!$A$2:$A$13,0))*INDEX(Parametros!$B$26:$B$43,MATCH($C1506,Parametros!$A$26:$A$43,0))</f>
        <v>46.221</v>
      </c>
      <c r="R1506" s="21" t="n">
        <f aca="false">L1506*Q1506</f>
        <v>1155.525</v>
      </c>
      <c r="S1506" s="18" t="n">
        <f aca="false">L1506*INDEX(Parametros!$B$20:$B$22,MATCH($E1506,Parametros!$A$20:$A$22,0))</f>
        <v>21.25</v>
      </c>
      <c r="T1506" s="18" t="n">
        <f aca="false">P1506*INDEX(Parametros!$B$13:$B$16,MATCH($F1506,Parametros!$A$13:$A$16,0))</f>
        <v>71.764</v>
      </c>
      <c r="U1506" s="21" t="n">
        <f aca="false">P1506-R1506-S1506-T1506</f>
        <v>801.861</v>
      </c>
      <c r="V1506" s="19" t="n">
        <f aca="false">IFERROR(U1506/P1506,0)</f>
        <v>0.391075399921966</v>
      </c>
      <c r="W1506" s="48" t="n">
        <f aca="false">B1506+INDEX(Parametros!$C$13:$C$16,MATCH($F1506,Parametros!$A$13:$A$16,0))</f>
        <v>46212</v>
      </c>
      <c r="X1506" s="31" t="s">
        <v>67</v>
      </c>
      <c r="Y1506" s="53" t="n">
        <f aca="false">IF(COUNTIF($A$2:$A1506,A1506)=1,1,0)</f>
        <v>1</v>
      </c>
    </row>
    <row r="1507" customFormat="false" ht="15" hidden="false" customHeight="false" outlineLevel="0" collapsed="false">
      <c r="A1507" s="31" t="s">
        <v>1055</v>
      </c>
      <c r="B1507" s="36" t="n">
        <v>46167</v>
      </c>
      <c r="C1507" s="49" t="n">
        <f aca="false">DATE(YEAR(B1507),MONTH(B1507),1)</f>
        <v>46143</v>
      </c>
      <c r="D1507" s="31" t="s">
        <v>196</v>
      </c>
      <c r="E1507" s="31" t="s">
        <v>41</v>
      </c>
      <c r="F1507" s="31" t="s">
        <v>47</v>
      </c>
      <c r="G1507" s="31" t="s">
        <v>58</v>
      </c>
      <c r="H1507" s="31" t="s">
        <v>173</v>
      </c>
      <c r="I1507" s="32" t="str">
        <f aca="false">INDEX(Productos!$B$2:$B$13,MATCH($H1507,Productos!$A$2:$A$13,0))</f>
        <v>Tornillo DIN 933 M12x70 clase 8.8</v>
      </c>
      <c r="J1507" s="32" t="str">
        <f aca="false">INDEX(Productos!$C$2:$C$13,MATCH($H1507,Productos!$A$2:$A$13,0))</f>
        <v>Métrica</v>
      </c>
      <c r="K1507" s="31" t="s">
        <v>246</v>
      </c>
      <c r="L1507" s="46" t="n">
        <v>31</v>
      </c>
      <c r="M1507" s="50" t="n">
        <f aca="false">INDEX(Productos!$F$2:$F$13,MATCH($H1507,Productos!$A$2:$A$13,0))</f>
        <v>64</v>
      </c>
      <c r="N1507" s="51" t="n">
        <v>0.096</v>
      </c>
      <c r="O1507" s="52" t="n">
        <f aca="false">M1507*(1-N1507)</f>
        <v>57.856</v>
      </c>
      <c r="P1507" s="21" t="n">
        <f aca="false">L1507*O1507</f>
        <v>1793.536</v>
      </c>
      <c r="Q1507" s="50" t="n">
        <f aca="false">INDEX(Productos!$E$2:$E$13,MATCH($H1507,Productos!$A$2:$A$13,0))*INDEX(Parametros!$B$26:$B$43,MATCH($C1507,Parametros!$A$26:$A$43,0))</f>
        <v>33.299</v>
      </c>
      <c r="R1507" s="21" t="n">
        <f aca="false">L1507*Q1507</f>
        <v>1032.269</v>
      </c>
      <c r="S1507" s="18" t="n">
        <f aca="false">L1507*INDEX(Parametros!$B$20:$B$22,MATCH($E1507,Parametros!$A$20:$A$22,0))</f>
        <v>26.35</v>
      </c>
      <c r="T1507" s="18" t="n">
        <f aca="false">P1507*INDEX(Parametros!$B$13:$B$16,MATCH($F1507,Parametros!$A$13:$A$16,0))</f>
        <v>62.77376</v>
      </c>
      <c r="U1507" s="21" t="n">
        <f aca="false">P1507-R1507-S1507-T1507</f>
        <v>672.14324</v>
      </c>
      <c r="V1507" s="19" t="n">
        <f aca="false">IFERROR(U1507/P1507,0)</f>
        <v>0.374758711283186</v>
      </c>
      <c r="W1507" s="48" t="n">
        <f aca="false">B1507+INDEX(Parametros!$C$13:$C$16,MATCH($F1507,Parametros!$A$13:$A$16,0))</f>
        <v>46212</v>
      </c>
      <c r="X1507" s="31" t="s">
        <v>67</v>
      </c>
      <c r="Y1507" s="53" t="n">
        <f aca="false">IF(COUNTIF($A$2:$A1507,A1507)=1,1,0)</f>
        <v>0</v>
      </c>
    </row>
    <row r="1508" customFormat="false" ht="15" hidden="false" customHeight="false" outlineLevel="0" collapsed="false">
      <c r="A1508" s="31" t="s">
        <v>1056</v>
      </c>
      <c r="B1508" s="36" t="n">
        <v>46167</v>
      </c>
      <c r="C1508" s="49" t="n">
        <f aca="false">DATE(YEAR(B1508),MONTH(B1508),1)</f>
        <v>46143</v>
      </c>
      <c r="D1508" s="31" t="s">
        <v>195</v>
      </c>
      <c r="E1508" s="31" t="s">
        <v>41</v>
      </c>
      <c r="F1508" s="31" t="s">
        <v>45</v>
      </c>
      <c r="G1508" s="31" t="s">
        <v>58</v>
      </c>
      <c r="H1508" s="31" t="s">
        <v>179</v>
      </c>
      <c r="I1508" s="32" t="str">
        <f aca="false">INDEX(Productos!$B$2:$B$13,MATCH($H1508,Productos!$A$2:$A$13,0))</f>
        <v>Autotaladrante DIN 7504 4,8x38 zincado</v>
      </c>
      <c r="J1508" s="32" t="str">
        <f aca="false">INDEX(Productos!$C$2:$C$13,MATCH($H1508,Productos!$A$2:$A$13,0))</f>
        <v>Autotaladrante</v>
      </c>
      <c r="K1508" s="31" t="s">
        <v>246</v>
      </c>
      <c r="L1508" s="46" t="n">
        <v>34</v>
      </c>
      <c r="M1508" s="50" t="n">
        <f aca="false">INDEX(Productos!$F$2:$F$13,MATCH($H1508,Productos!$A$2:$A$13,0))</f>
        <v>29.5</v>
      </c>
      <c r="N1508" s="51" t="n">
        <v>0.169</v>
      </c>
      <c r="O1508" s="52" t="n">
        <f aca="false">M1508*(1-N1508)</f>
        <v>24.5145</v>
      </c>
      <c r="P1508" s="21" t="n">
        <f aca="false">L1508*O1508</f>
        <v>833.493</v>
      </c>
      <c r="Q1508" s="50" t="n">
        <f aca="false">INDEX(Productos!$E$2:$E$13,MATCH($H1508,Productos!$A$2:$A$13,0))*INDEX(Parametros!$B$26:$B$43,MATCH($C1508,Parametros!$A$26:$A$43,0))</f>
        <v>15.1088</v>
      </c>
      <c r="R1508" s="21" t="n">
        <f aca="false">L1508*Q1508</f>
        <v>513.6992</v>
      </c>
      <c r="S1508" s="18" t="n">
        <f aca="false">L1508*INDEX(Parametros!$B$20:$B$22,MATCH($E1508,Parametros!$A$20:$A$22,0))</f>
        <v>28.9</v>
      </c>
      <c r="T1508" s="18" t="n">
        <f aca="false">P1508*INDEX(Parametros!$B$13:$B$16,MATCH($F1508,Parametros!$A$13:$A$16,0))</f>
        <v>25.00479</v>
      </c>
      <c r="U1508" s="21" t="n">
        <f aca="false">P1508-R1508-S1508-T1508</f>
        <v>265.88901</v>
      </c>
      <c r="V1508" s="19" t="n">
        <f aca="false">IFERROR(U1508/P1508,0)</f>
        <v>0.319005690509698</v>
      </c>
      <c r="W1508" s="48" t="n">
        <f aca="false">B1508+INDEX(Parametros!$C$13:$C$16,MATCH($F1508,Parametros!$A$13:$A$16,0))</f>
        <v>46227</v>
      </c>
      <c r="X1508" s="31" t="s">
        <v>67</v>
      </c>
      <c r="Y1508" s="53" t="n">
        <f aca="false">IF(COUNTIF($A$2:$A1508,A1508)=1,1,0)</f>
        <v>1</v>
      </c>
    </row>
    <row r="1509" customFormat="false" ht="15" hidden="false" customHeight="false" outlineLevel="0" collapsed="false">
      <c r="A1509" s="31" t="s">
        <v>1057</v>
      </c>
      <c r="B1509" s="36" t="n">
        <v>46167</v>
      </c>
      <c r="C1509" s="49" t="n">
        <f aca="false">DATE(YEAR(B1509),MONTH(B1509),1)</f>
        <v>46143</v>
      </c>
      <c r="D1509" s="31" t="s">
        <v>225</v>
      </c>
      <c r="E1509" s="31" t="s">
        <v>43</v>
      </c>
      <c r="F1509" s="31" t="s">
        <v>47</v>
      </c>
      <c r="G1509" s="31" t="s">
        <v>59</v>
      </c>
      <c r="H1509" s="31" t="s">
        <v>185</v>
      </c>
      <c r="I1509" s="32" t="str">
        <f aca="false">INDEX(Productos!$B$2:$B$13,MATCH($H1509,Productos!$A$2:$A$13,0))</f>
        <v>Varilla roscada M10 x 1 m zincada</v>
      </c>
      <c r="J1509" s="32" t="str">
        <f aca="false">INDEX(Productos!$C$2:$C$13,MATCH($H1509,Productos!$A$2:$A$13,0))</f>
        <v>Especial</v>
      </c>
      <c r="K1509" s="31" t="s">
        <v>246</v>
      </c>
      <c r="L1509" s="46" t="n">
        <v>48</v>
      </c>
      <c r="M1509" s="50" t="n">
        <f aca="false">INDEX(Productos!$F$2:$F$13,MATCH($H1509,Productos!$A$2:$A$13,0))</f>
        <v>54</v>
      </c>
      <c r="N1509" s="51" t="n">
        <v>0.092</v>
      </c>
      <c r="O1509" s="52" t="n">
        <f aca="false">M1509*(1-N1509)</f>
        <v>49.032</v>
      </c>
      <c r="P1509" s="21" t="n">
        <f aca="false">L1509*O1509</f>
        <v>2353.536</v>
      </c>
      <c r="Q1509" s="50" t="n">
        <f aca="false">INDEX(Productos!$E$2:$E$13,MATCH($H1509,Productos!$A$2:$A$13,0))*INDEX(Parametros!$B$26:$B$43,MATCH($C1509,Parametros!$A$26:$A$43,0))</f>
        <v>28.329</v>
      </c>
      <c r="R1509" s="21" t="n">
        <f aca="false">L1509*Q1509</f>
        <v>1359.792</v>
      </c>
      <c r="S1509" s="18" t="n">
        <f aca="false">L1509*INDEX(Parametros!$B$20:$B$22,MATCH($E1509,Parametros!$A$20:$A$22,0))</f>
        <v>91.2</v>
      </c>
      <c r="T1509" s="18" t="n">
        <f aca="false">P1509*INDEX(Parametros!$B$13:$B$16,MATCH($F1509,Parametros!$A$13:$A$16,0))</f>
        <v>82.37376</v>
      </c>
      <c r="U1509" s="21" t="n">
        <f aca="false">P1509-R1509-S1509-T1509</f>
        <v>820.17024</v>
      </c>
      <c r="V1509" s="19" t="n">
        <f aca="false">IFERROR(U1509/P1509,0)</f>
        <v>0.34848425518029</v>
      </c>
      <c r="W1509" s="48" t="n">
        <f aca="false">B1509+INDEX(Parametros!$C$13:$C$16,MATCH($F1509,Parametros!$A$13:$A$16,0))</f>
        <v>46212</v>
      </c>
      <c r="X1509" s="31" t="s">
        <v>67</v>
      </c>
      <c r="Y1509" s="53" t="n">
        <f aca="false">IF(COUNTIF($A$2:$A1509,A1509)=1,1,0)</f>
        <v>1</v>
      </c>
    </row>
    <row r="1510" customFormat="false" ht="15" hidden="false" customHeight="false" outlineLevel="0" collapsed="false">
      <c r="A1510" s="31" t="s">
        <v>1058</v>
      </c>
      <c r="B1510" s="36" t="n">
        <v>46167</v>
      </c>
      <c r="C1510" s="49" t="n">
        <f aca="false">DATE(YEAR(B1510),MONTH(B1510),1)</f>
        <v>46143</v>
      </c>
      <c r="D1510" s="31" t="s">
        <v>195</v>
      </c>
      <c r="E1510" s="31" t="s">
        <v>41</v>
      </c>
      <c r="F1510" s="31" t="s">
        <v>45</v>
      </c>
      <c r="G1510" s="31" t="s">
        <v>58</v>
      </c>
      <c r="H1510" s="31" t="s">
        <v>185</v>
      </c>
      <c r="I1510" s="32" t="str">
        <f aca="false">INDEX(Productos!$B$2:$B$13,MATCH($H1510,Productos!$A$2:$A$13,0))</f>
        <v>Varilla roscada M10 x 1 m zincada</v>
      </c>
      <c r="J1510" s="32" t="str">
        <f aca="false">INDEX(Productos!$C$2:$C$13,MATCH($H1510,Productos!$A$2:$A$13,0))</f>
        <v>Especial</v>
      </c>
      <c r="K1510" s="31" t="s">
        <v>246</v>
      </c>
      <c r="L1510" s="46" t="n">
        <v>31</v>
      </c>
      <c r="M1510" s="50" t="n">
        <f aca="false">INDEX(Productos!$F$2:$F$13,MATCH($H1510,Productos!$A$2:$A$13,0))</f>
        <v>54</v>
      </c>
      <c r="N1510" s="51" t="n">
        <v>0.15</v>
      </c>
      <c r="O1510" s="52" t="n">
        <f aca="false">M1510*(1-N1510)</f>
        <v>45.9</v>
      </c>
      <c r="P1510" s="21" t="n">
        <f aca="false">L1510*O1510</f>
        <v>1422.9</v>
      </c>
      <c r="Q1510" s="50" t="n">
        <f aca="false">INDEX(Productos!$E$2:$E$13,MATCH($H1510,Productos!$A$2:$A$13,0))*INDEX(Parametros!$B$26:$B$43,MATCH($C1510,Parametros!$A$26:$A$43,0))</f>
        <v>28.329</v>
      </c>
      <c r="R1510" s="21" t="n">
        <f aca="false">L1510*Q1510</f>
        <v>878.199</v>
      </c>
      <c r="S1510" s="18" t="n">
        <f aca="false">L1510*INDEX(Parametros!$B$20:$B$22,MATCH($E1510,Parametros!$A$20:$A$22,0))</f>
        <v>26.35</v>
      </c>
      <c r="T1510" s="18" t="n">
        <f aca="false">P1510*INDEX(Parametros!$B$13:$B$16,MATCH($F1510,Parametros!$A$13:$A$16,0))</f>
        <v>42.687</v>
      </c>
      <c r="U1510" s="21" t="n">
        <f aca="false">P1510-R1510-S1510-T1510</f>
        <v>475.664</v>
      </c>
      <c r="V1510" s="19" t="n">
        <f aca="false">IFERROR(U1510/P1510,0)</f>
        <v>0.334291938997821</v>
      </c>
      <c r="W1510" s="48" t="n">
        <f aca="false">B1510+INDEX(Parametros!$C$13:$C$16,MATCH($F1510,Parametros!$A$13:$A$16,0))</f>
        <v>46227</v>
      </c>
      <c r="X1510" s="31" t="s">
        <v>67</v>
      </c>
      <c r="Y1510" s="53" t="n">
        <f aca="false">IF(COUNTIF($A$2:$A1510,A1510)=1,1,0)</f>
        <v>1</v>
      </c>
    </row>
    <row r="1511" customFormat="false" ht="15" hidden="false" customHeight="false" outlineLevel="0" collapsed="false">
      <c r="A1511" s="31" t="s">
        <v>1058</v>
      </c>
      <c r="B1511" s="36" t="n">
        <v>46167</v>
      </c>
      <c r="C1511" s="49" t="n">
        <f aca="false">DATE(YEAR(B1511),MONTH(B1511),1)</f>
        <v>46143</v>
      </c>
      <c r="D1511" s="31" t="s">
        <v>195</v>
      </c>
      <c r="E1511" s="31" t="s">
        <v>41</v>
      </c>
      <c r="F1511" s="31" t="s">
        <v>45</v>
      </c>
      <c r="G1511" s="31" t="s">
        <v>58</v>
      </c>
      <c r="H1511" s="31" t="s">
        <v>181</v>
      </c>
      <c r="I1511" s="32" t="str">
        <f aca="false">INDEX(Productos!$B$2:$B$13,MATCH($H1511,Productos!$A$2:$A$13,0))</f>
        <v>Autotaladrante 5,5x55 punta broca</v>
      </c>
      <c r="J1511" s="32" t="str">
        <f aca="false">INDEX(Productos!$C$2:$C$13,MATCH($H1511,Productos!$A$2:$A$13,0))</f>
        <v>Autotaladrante</v>
      </c>
      <c r="K1511" s="31" t="s">
        <v>246</v>
      </c>
      <c r="L1511" s="46" t="n">
        <v>126</v>
      </c>
      <c r="M1511" s="50" t="n">
        <f aca="false">INDEX(Productos!$F$2:$F$13,MATCH($H1511,Productos!$A$2:$A$13,0))</f>
        <v>39</v>
      </c>
      <c r="N1511" s="51" t="n">
        <v>0.186</v>
      </c>
      <c r="O1511" s="52" t="n">
        <f aca="false">M1511*(1-N1511)</f>
        <v>31.746</v>
      </c>
      <c r="P1511" s="21" t="n">
        <f aca="false">L1511*O1511</f>
        <v>3999.996</v>
      </c>
      <c r="Q1511" s="50" t="n">
        <f aca="false">INDEX(Productos!$E$2:$E$13,MATCH($H1511,Productos!$A$2:$A$13,0))*INDEX(Parametros!$B$26:$B$43,MATCH($C1511,Parametros!$A$26:$A$43,0))</f>
        <v>20.1782</v>
      </c>
      <c r="R1511" s="21" t="n">
        <f aca="false">L1511*Q1511</f>
        <v>2542.4532</v>
      </c>
      <c r="S1511" s="18" t="n">
        <f aca="false">L1511*INDEX(Parametros!$B$20:$B$22,MATCH($E1511,Parametros!$A$20:$A$22,0))</f>
        <v>107.1</v>
      </c>
      <c r="T1511" s="18" t="n">
        <f aca="false">P1511*INDEX(Parametros!$B$13:$B$16,MATCH($F1511,Parametros!$A$13:$A$16,0))</f>
        <v>119.99988</v>
      </c>
      <c r="U1511" s="21" t="n">
        <f aca="false">P1511-R1511-S1511-T1511</f>
        <v>1230.44292</v>
      </c>
      <c r="V1511" s="19" t="n">
        <f aca="false">IFERROR(U1511/P1511,0)</f>
        <v>0.307611037611038</v>
      </c>
      <c r="W1511" s="48" t="n">
        <f aca="false">B1511+INDEX(Parametros!$C$13:$C$16,MATCH($F1511,Parametros!$A$13:$A$16,0))</f>
        <v>46227</v>
      </c>
      <c r="X1511" s="31" t="s">
        <v>67</v>
      </c>
      <c r="Y1511" s="53" t="n">
        <f aca="false">IF(COUNTIF($A$2:$A1511,A1511)=1,1,0)</f>
        <v>0</v>
      </c>
    </row>
    <row r="1512" customFormat="false" ht="15" hidden="false" customHeight="false" outlineLevel="0" collapsed="false">
      <c r="A1512" s="31" t="s">
        <v>1058</v>
      </c>
      <c r="B1512" s="36" t="n">
        <v>46167</v>
      </c>
      <c r="C1512" s="49" t="n">
        <f aca="false">DATE(YEAR(B1512),MONTH(B1512),1)</f>
        <v>46143</v>
      </c>
      <c r="D1512" s="31" t="s">
        <v>195</v>
      </c>
      <c r="E1512" s="31" t="s">
        <v>41</v>
      </c>
      <c r="F1512" s="31" t="s">
        <v>45</v>
      </c>
      <c r="G1512" s="31" t="s">
        <v>58</v>
      </c>
      <c r="H1512" s="31" t="s">
        <v>165</v>
      </c>
      <c r="I1512" s="32" t="str">
        <f aca="false">INDEX(Productos!$B$2:$B$13,MATCH($H1512,Productos!$A$2:$A$13,0))</f>
        <v>Tornillo DIN 933 M8x40 rosca completa zincado</v>
      </c>
      <c r="J1512" s="32" t="str">
        <f aca="false">INDEX(Productos!$C$2:$C$13,MATCH($H1512,Productos!$A$2:$A$13,0))</f>
        <v>Métrica</v>
      </c>
      <c r="K1512" s="31" t="s">
        <v>246</v>
      </c>
      <c r="L1512" s="46" t="n">
        <v>279</v>
      </c>
      <c r="M1512" s="50" t="n">
        <f aca="false">INDEX(Productos!$F$2:$F$13,MATCH($H1512,Productos!$A$2:$A$13,0))</f>
        <v>37.5</v>
      </c>
      <c r="N1512" s="51" t="n">
        <v>0.204</v>
      </c>
      <c r="O1512" s="52" t="n">
        <f aca="false">M1512*(1-N1512)</f>
        <v>29.85</v>
      </c>
      <c r="P1512" s="21" t="n">
        <f aca="false">L1512*O1512</f>
        <v>8328.15</v>
      </c>
      <c r="Q1512" s="50" t="n">
        <f aca="false">INDEX(Productos!$E$2:$E$13,MATCH($H1512,Productos!$A$2:$A$13,0))*INDEX(Parametros!$B$26:$B$43,MATCH($C1512,Parametros!$A$26:$A$43,0))</f>
        <v>19.2836</v>
      </c>
      <c r="R1512" s="21" t="n">
        <f aca="false">L1512*Q1512</f>
        <v>5380.1244</v>
      </c>
      <c r="S1512" s="18" t="n">
        <f aca="false">L1512*INDEX(Parametros!$B$20:$B$22,MATCH($E1512,Parametros!$A$20:$A$22,0))</f>
        <v>237.15</v>
      </c>
      <c r="T1512" s="18" t="n">
        <f aca="false">P1512*INDEX(Parametros!$B$13:$B$16,MATCH($F1512,Parametros!$A$13:$A$16,0))</f>
        <v>249.8445</v>
      </c>
      <c r="U1512" s="21" t="n">
        <f aca="false">P1512-R1512-S1512-T1512</f>
        <v>2461.0311</v>
      </c>
      <c r="V1512" s="19" t="n">
        <f aca="false">IFERROR(U1512/P1512,0)</f>
        <v>0.295507537688442</v>
      </c>
      <c r="W1512" s="48" t="n">
        <f aca="false">B1512+INDEX(Parametros!$C$13:$C$16,MATCH($F1512,Parametros!$A$13:$A$16,0))</f>
        <v>46227</v>
      </c>
      <c r="X1512" s="31" t="s">
        <v>67</v>
      </c>
      <c r="Y1512" s="53" t="n">
        <f aca="false">IF(COUNTIF($A$2:$A1512,A1512)=1,1,0)</f>
        <v>0</v>
      </c>
    </row>
    <row r="1513" customFormat="false" ht="15" hidden="false" customHeight="false" outlineLevel="0" collapsed="false">
      <c r="A1513" s="31" t="s">
        <v>1059</v>
      </c>
      <c r="B1513" s="36" t="n">
        <v>46168</v>
      </c>
      <c r="C1513" s="49" t="n">
        <f aca="false">DATE(YEAR(B1513),MONTH(B1513),1)</f>
        <v>46143</v>
      </c>
      <c r="D1513" s="31" t="s">
        <v>218</v>
      </c>
      <c r="E1513" s="31" t="s">
        <v>42</v>
      </c>
      <c r="F1513" s="31" t="s">
        <v>45</v>
      </c>
      <c r="G1513" s="31" t="s">
        <v>61</v>
      </c>
      <c r="H1513" s="31" t="s">
        <v>181</v>
      </c>
      <c r="I1513" s="32" t="str">
        <f aca="false">INDEX(Productos!$B$2:$B$13,MATCH($H1513,Productos!$A$2:$A$13,0))</f>
        <v>Autotaladrante 5,5x55 punta broca</v>
      </c>
      <c r="J1513" s="32" t="str">
        <f aca="false">INDEX(Productos!$C$2:$C$13,MATCH($H1513,Productos!$A$2:$A$13,0))</f>
        <v>Autotaladrante</v>
      </c>
      <c r="K1513" s="31" t="s">
        <v>246</v>
      </c>
      <c r="L1513" s="46" t="n">
        <v>34</v>
      </c>
      <c r="M1513" s="50" t="n">
        <f aca="false">INDEX(Productos!$F$2:$F$13,MATCH($H1513,Productos!$A$2:$A$13,0))</f>
        <v>39</v>
      </c>
      <c r="N1513" s="51" t="n">
        <v>0.202</v>
      </c>
      <c r="O1513" s="52" t="n">
        <f aca="false">M1513*(1-N1513)</f>
        <v>31.122</v>
      </c>
      <c r="P1513" s="21" t="n">
        <f aca="false">L1513*O1513</f>
        <v>1058.148</v>
      </c>
      <c r="Q1513" s="50" t="n">
        <f aca="false">INDEX(Productos!$E$2:$E$13,MATCH($H1513,Productos!$A$2:$A$13,0))*INDEX(Parametros!$B$26:$B$43,MATCH($C1513,Parametros!$A$26:$A$43,0))</f>
        <v>20.1782</v>
      </c>
      <c r="R1513" s="21" t="n">
        <f aca="false">L1513*Q1513</f>
        <v>686.0588</v>
      </c>
      <c r="S1513" s="18" t="n">
        <f aca="false">L1513*INDEX(Parametros!$B$20:$B$22,MATCH($E1513,Parametros!$A$20:$A$22,0))</f>
        <v>81.6</v>
      </c>
      <c r="T1513" s="18" t="n">
        <f aca="false">P1513*INDEX(Parametros!$B$13:$B$16,MATCH($F1513,Parametros!$A$13:$A$16,0))</f>
        <v>31.74444</v>
      </c>
      <c r="U1513" s="21" t="n">
        <f aca="false">P1513-R1513-S1513-T1513</f>
        <v>258.74476</v>
      </c>
      <c r="V1513" s="19" t="n">
        <f aca="false">IFERROR(U1513/P1513,0)</f>
        <v>0.244526058736585</v>
      </c>
      <c r="W1513" s="48" t="n">
        <f aca="false">B1513+INDEX(Parametros!$C$13:$C$16,MATCH($F1513,Parametros!$A$13:$A$16,0))</f>
        <v>46228</v>
      </c>
      <c r="X1513" s="31" t="s">
        <v>67</v>
      </c>
      <c r="Y1513" s="53" t="n">
        <f aca="false">IF(COUNTIF($A$2:$A1513,A1513)=1,1,0)</f>
        <v>1</v>
      </c>
    </row>
    <row r="1514" customFormat="false" ht="15" hidden="false" customHeight="false" outlineLevel="0" collapsed="false">
      <c r="A1514" s="31" t="s">
        <v>1059</v>
      </c>
      <c r="B1514" s="36" t="n">
        <v>46168</v>
      </c>
      <c r="C1514" s="49" t="n">
        <f aca="false">DATE(YEAR(B1514),MONTH(B1514),1)</f>
        <v>46143</v>
      </c>
      <c r="D1514" s="31" t="s">
        <v>218</v>
      </c>
      <c r="E1514" s="31" t="s">
        <v>42</v>
      </c>
      <c r="F1514" s="31" t="s">
        <v>45</v>
      </c>
      <c r="G1514" s="31" t="s">
        <v>61</v>
      </c>
      <c r="H1514" s="31" t="s">
        <v>175</v>
      </c>
      <c r="I1514" s="32" t="str">
        <f aca="false">INDEX(Productos!$B$2:$B$13,MATCH($H1514,Productos!$A$2:$A$13,0))</f>
        <v>Tirafondo madera 5x60 cabeza plana Torx</v>
      </c>
      <c r="J1514" s="32" t="str">
        <f aca="false">INDEX(Productos!$C$2:$C$13,MATCH($H1514,Productos!$A$2:$A$13,0))</f>
        <v>Madera</v>
      </c>
      <c r="K1514" s="31" t="s">
        <v>246</v>
      </c>
      <c r="L1514" s="46" t="n">
        <v>103</v>
      </c>
      <c r="M1514" s="50" t="n">
        <f aca="false">INDEX(Productos!$F$2:$F$13,MATCH($H1514,Productos!$A$2:$A$13,0))</f>
        <v>26</v>
      </c>
      <c r="N1514" s="51" t="n">
        <v>0.215</v>
      </c>
      <c r="O1514" s="52" t="n">
        <f aca="false">M1514*(1-N1514)</f>
        <v>20.41</v>
      </c>
      <c r="P1514" s="21" t="n">
        <f aca="false">L1514*O1514</f>
        <v>2102.23</v>
      </c>
      <c r="Q1514" s="50" t="n">
        <f aca="false">INDEX(Productos!$E$2:$E$13,MATCH($H1514,Productos!$A$2:$A$13,0))*INDEX(Parametros!$B$26:$B$43,MATCH($C1514,Parametros!$A$26:$A$43,0))</f>
        <v>13.3196</v>
      </c>
      <c r="R1514" s="21" t="n">
        <f aca="false">L1514*Q1514</f>
        <v>1371.9188</v>
      </c>
      <c r="S1514" s="18" t="n">
        <f aca="false">L1514*INDEX(Parametros!$B$20:$B$22,MATCH($E1514,Parametros!$A$20:$A$22,0))</f>
        <v>247.2</v>
      </c>
      <c r="T1514" s="18" t="n">
        <f aca="false">P1514*INDEX(Parametros!$B$13:$B$16,MATCH($F1514,Parametros!$A$13:$A$16,0))</f>
        <v>63.0669</v>
      </c>
      <c r="U1514" s="21" t="n">
        <f aca="false">P1514-R1514-S1514-T1514</f>
        <v>420.0443</v>
      </c>
      <c r="V1514" s="19" t="n">
        <f aca="false">IFERROR(U1514/P1514,0)</f>
        <v>0.199808917197452</v>
      </c>
      <c r="W1514" s="48" t="n">
        <f aca="false">B1514+INDEX(Parametros!$C$13:$C$16,MATCH($F1514,Parametros!$A$13:$A$16,0))</f>
        <v>46228</v>
      </c>
      <c r="X1514" s="31" t="s">
        <v>67</v>
      </c>
      <c r="Y1514" s="53" t="n">
        <f aca="false">IF(COUNTIF($A$2:$A1514,A1514)=1,1,0)</f>
        <v>0</v>
      </c>
    </row>
    <row r="1515" customFormat="false" ht="15" hidden="false" customHeight="false" outlineLevel="0" collapsed="false">
      <c r="A1515" s="31" t="s">
        <v>1060</v>
      </c>
      <c r="B1515" s="36" t="n">
        <v>46168</v>
      </c>
      <c r="C1515" s="49" t="n">
        <f aca="false">DATE(YEAR(B1515),MONTH(B1515),1)</f>
        <v>46143</v>
      </c>
      <c r="D1515" s="31" t="s">
        <v>197</v>
      </c>
      <c r="E1515" s="31" t="s">
        <v>41</v>
      </c>
      <c r="F1515" s="31" t="s">
        <v>46</v>
      </c>
      <c r="G1515" s="31" t="s">
        <v>58</v>
      </c>
      <c r="H1515" s="31" t="s">
        <v>175</v>
      </c>
      <c r="I1515" s="32" t="str">
        <f aca="false">INDEX(Productos!$B$2:$B$13,MATCH($H1515,Productos!$A$2:$A$13,0))</f>
        <v>Tirafondo madera 5x60 cabeza plana Torx</v>
      </c>
      <c r="J1515" s="32" t="str">
        <f aca="false">INDEX(Productos!$C$2:$C$13,MATCH($H1515,Productos!$A$2:$A$13,0))</f>
        <v>Madera</v>
      </c>
      <c r="K1515" s="31" t="s">
        <v>246</v>
      </c>
      <c r="L1515" s="46" t="n">
        <v>127</v>
      </c>
      <c r="M1515" s="50" t="n">
        <f aca="false">INDEX(Productos!$F$2:$F$13,MATCH($H1515,Productos!$A$2:$A$13,0))</f>
        <v>26</v>
      </c>
      <c r="N1515" s="51" t="n">
        <v>0.153</v>
      </c>
      <c r="O1515" s="52" t="n">
        <f aca="false">M1515*(1-N1515)</f>
        <v>22.022</v>
      </c>
      <c r="P1515" s="21" t="n">
        <f aca="false">L1515*O1515</f>
        <v>2796.794</v>
      </c>
      <c r="Q1515" s="50" t="n">
        <f aca="false">INDEX(Productos!$E$2:$E$13,MATCH($H1515,Productos!$A$2:$A$13,0))*INDEX(Parametros!$B$26:$B$43,MATCH($C1515,Parametros!$A$26:$A$43,0))</f>
        <v>13.3196</v>
      </c>
      <c r="R1515" s="21" t="n">
        <f aca="false">L1515*Q1515</f>
        <v>1691.5892</v>
      </c>
      <c r="S1515" s="18" t="n">
        <f aca="false">L1515*INDEX(Parametros!$B$20:$B$22,MATCH($E1515,Parametros!$A$20:$A$22,0))</f>
        <v>107.95</v>
      </c>
      <c r="T1515" s="18" t="n">
        <f aca="false">P1515*INDEX(Parametros!$B$13:$B$16,MATCH($F1515,Parametros!$A$13:$A$16,0))</f>
        <v>111.87176</v>
      </c>
      <c r="U1515" s="21" t="n">
        <f aca="false">P1515-R1515-S1515-T1515</f>
        <v>885.38304</v>
      </c>
      <c r="V1515" s="19" t="n">
        <f aca="false">IFERROR(U1515/P1515,0)</f>
        <v>0.316570702025247</v>
      </c>
      <c r="W1515" s="48" t="n">
        <f aca="false">B1515+INDEX(Parametros!$C$13:$C$16,MATCH($F1515,Parametros!$A$13:$A$16,0))</f>
        <v>46243</v>
      </c>
      <c r="X1515" s="31" t="s">
        <v>68</v>
      </c>
      <c r="Y1515" s="53" t="n">
        <f aca="false">IF(COUNTIF($A$2:$A1515,A1515)=1,1,0)</f>
        <v>1</v>
      </c>
    </row>
    <row r="1516" customFormat="false" ht="15" hidden="false" customHeight="false" outlineLevel="0" collapsed="false">
      <c r="A1516" s="31" t="s">
        <v>1061</v>
      </c>
      <c r="B1516" s="36" t="n">
        <v>46168</v>
      </c>
      <c r="C1516" s="49" t="n">
        <f aca="false">DATE(YEAR(B1516),MONTH(B1516),1)</f>
        <v>46143</v>
      </c>
      <c r="D1516" s="31" t="s">
        <v>207</v>
      </c>
      <c r="E1516" s="31" t="s">
        <v>41</v>
      </c>
      <c r="F1516" s="31" t="s">
        <v>47</v>
      </c>
      <c r="G1516" s="31" t="s">
        <v>62</v>
      </c>
      <c r="H1516" s="31" t="s">
        <v>163</v>
      </c>
      <c r="I1516" s="32" t="str">
        <f aca="false">INDEX(Productos!$B$2:$B$13,MATCH($H1516,Productos!$A$2:$A$13,0))</f>
        <v>Tornillo DIN 933 M6x30 rosca completa zincado</v>
      </c>
      <c r="J1516" s="32" t="str">
        <f aca="false">INDEX(Productos!$C$2:$C$13,MATCH($H1516,Productos!$A$2:$A$13,0))</f>
        <v>Métrica</v>
      </c>
      <c r="K1516" s="31" t="s">
        <v>246</v>
      </c>
      <c r="L1516" s="46" t="n">
        <v>31</v>
      </c>
      <c r="M1516" s="50" t="n">
        <f aca="false">INDEX(Productos!$F$2:$F$13,MATCH($H1516,Productos!$A$2:$A$13,0))</f>
        <v>32</v>
      </c>
      <c r="N1516" s="51" t="n">
        <v>0.03</v>
      </c>
      <c r="O1516" s="52" t="n">
        <f aca="false">M1516*(1-N1516)</f>
        <v>31.04</v>
      </c>
      <c r="P1516" s="21" t="n">
        <f aca="false">L1516*O1516</f>
        <v>962.24</v>
      </c>
      <c r="Q1516" s="50" t="n">
        <f aca="false">INDEX(Productos!$E$2:$E$13,MATCH($H1516,Productos!$A$2:$A$13,0))*INDEX(Parametros!$B$26:$B$43,MATCH($C1516,Parametros!$A$26:$A$43,0))</f>
        <v>16.5004</v>
      </c>
      <c r="R1516" s="21" t="n">
        <f aca="false">L1516*Q1516</f>
        <v>511.5124</v>
      </c>
      <c r="S1516" s="18" t="n">
        <f aca="false">L1516*INDEX(Parametros!$B$20:$B$22,MATCH($E1516,Parametros!$A$20:$A$22,0))</f>
        <v>26.35</v>
      </c>
      <c r="T1516" s="18" t="n">
        <f aca="false">P1516*INDEX(Parametros!$B$13:$B$16,MATCH($F1516,Parametros!$A$13:$A$16,0))</f>
        <v>33.6784</v>
      </c>
      <c r="U1516" s="21" t="n">
        <f aca="false">P1516-R1516-S1516-T1516</f>
        <v>390.6992</v>
      </c>
      <c r="V1516" s="19" t="n">
        <f aca="false">IFERROR(U1516/P1516,0)</f>
        <v>0.406030927835051</v>
      </c>
      <c r="W1516" s="48" t="n">
        <f aca="false">B1516+INDEX(Parametros!$C$13:$C$16,MATCH($F1516,Parametros!$A$13:$A$16,0))</f>
        <v>46213</v>
      </c>
      <c r="X1516" s="31" t="s">
        <v>67</v>
      </c>
      <c r="Y1516" s="53" t="n">
        <f aca="false">IF(COUNTIF($A$2:$A1516,A1516)=1,1,0)</f>
        <v>1</v>
      </c>
    </row>
    <row r="1517" customFormat="false" ht="15" hidden="false" customHeight="false" outlineLevel="0" collapsed="false">
      <c r="A1517" s="31" t="s">
        <v>1061</v>
      </c>
      <c r="B1517" s="36" t="n">
        <v>46168</v>
      </c>
      <c r="C1517" s="49" t="n">
        <f aca="false">DATE(YEAR(B1517),MONTH(B1517),1)</f>
        <v>46143</v>
      </c>
      <c r="D1517" s="31" t="s">
        <v>207</v>
      </c>
      <c r="E1517" s="31" t="s">
        <v>41</v>
      </c>
      <c r="F1517" s="31" t="s">
        <v>47</v>
      </c>
      <c r="G1517" s="31" t="s">
        <v>62</v>
      </c>
      <c r="H1517" s="31" t="s">
        <v>173</v>
      </c>
      <c r="I1517" s="32" t="str">
        <f aca="false">INDEX(Productos!$B$2:$B$13,MATCH($H1517,Productos!$A$2:$A$13,0))</f>
        <v>Tornillo DIN 933 M12x70 clase 8.8</v>
      </c>
      <c r="J1517" s="32" t="str">
        <f aca="false">INDEX(Productos!$C$2:$C$13,MATCH($H1517,Productos!$A$2:$A$13,0))</f>
        <v>Métrica</v>
      </c>
      <c r="K1517" s="31" t="s">
        <v>246</v>
      </c>
      <c r="L1517" s="46" t="n">
        <v>50</v>
      </c>
      <c r="M1517" s="50" t="n">
        <f aca="false">INDEX(Productos!$F$2:$F$13,MATCH($H1517,Productos!$A$2:$A$13,0))</f>
        <v>64</v>
      </c>
      <c r="N1517" s="51" t="n">
        <v>0.076</v>
      </c>
      <c r="O1517" s="52" t="n">
        <f aca="false">M1517*(1-N1517)</f>
        <v>59.136</v>
      </c>
      <c r="P1517" s="21" t="n">
        <f aca="false">L1517*O1517</f>
        <v>2956.8</v>
      </c>
      <c r="Q1517" s="50" t="n">
        <f aca="false">INDEX(Productos!$E$2:$E$13,MATCH($H1517,Productos!$A$2:$A$13,0))*INDEX(Parametros!$B$26:$B$43,MATCH($C1517,Parametros!$A$26:$A$43,0))</f>
        <v>33.299</v>
      </c>
      <c r="R1517" s="21" t="n">
        <f aca="false">L1517*Q1517</f>
        <v>1664.95</v>
      </c>
      <c r="S1517" s="18" t="n">
        <f aca="false">L1517*INDEX(Parametros!$B$20:$B$22,MATCH($E1517,Parametros!$A$20:$A$22,0))</f>
        <v>42.5</v>
      </c>
      <c r="T1517" s="18" t="n">
        <f aca="false">P1517*INDEX(Parametros!$B$13:$B$16,MATCH($F1517,Parametros!$A$13:$A$16,0))</f>
        <v>103.488</v>
      </c>
      <c r="U1517" s="21" t="n">
        <f aca="false">P1517-R1517-S1517-T1517</f>
        <v>1145.862</v>
      </c>
      <c r="V1517" s="19" t="n">
        <f aca="false">IFERROR(U1517/P1517,0)</f>
        <v>0.387534496753247</v>
      </c>
      <c r="W1517" s="48" t="n">
        <f aca="false">B1517+INDEX(Parametros!$C$13:$C$16,MATCH($F1517,Parametros!$A$13:$A$16,0))</f>
        <v>46213</v>
      </c>
      <c r="X1517" s="31" t="s">
        <v>67</v>
      </c>
      <c r="Y1517" s="53" t="n">
        <f aca="false">IF(COUNTIF($A$2:$A1517,A1517)=1,1,0)</f>
        <v>0</v>
      </c>
    </row>
    <row r="1518" customFormat="false" ht="15" hidden="false" customHeight="false" outlineLevel="0" collapsed="false">
      <c r="A1518" s="31" t="s">
        <v>1062</v>
      </c>
      <c r="B1518" s="36" t="n">
        <v>46169</v>
      </c>
      <c r="C1518" s="49" t="n">
        <f aca="false">DATE(YEAR(B1518),MONTH(B1518),1)</f>
        <v>46143</v>
      </c>
      <c r="D1518" s="31" t="s">
        <v>205</v>
      </c>
      <c r="E1518" s="31" t="s">
        <v>41</v>
      </c>
      <c r="F1518" s="31" t="s">
        <v>45</v>
      </c>
      <c r="G1518" s="31" t="s">
        <v>62</v>
      </c>
      <c r="H1518" s="31" t="s">
        <v>167</v>
      </c>
      <c r="I1518" s="32" t="str">
        <f aca="false">INDEX(Productos!$B$2:$B$13,MATCH($H1518,Productos!$A$2:$A$13,0))</f>
        <v>Tornillo DIN 912 M6x25 Allen zincado</v>
      </c>
      <c r="J1518" s="32" t="str">
        <f aca="false">INDEX(Productos!$C$2:$C$13,MATCH($H1518,Productos!$A$2:$A$13,0))</f>
        <v>Métrica</v>
      </c>
      <c r="K1518" s="31" t="s">
        <v>246</v>
      </c>
      <c r="L1518" s="46" t="n">
        <v>48</v>
      </c>
      <c r="M1518" s="50" t="n">
        <f aca="false">INDEX(Productos!$F$2:$F$13,MATCH($H1518,Productos!$A$2:$A$13,0))</f>
        <v>42</v>
      </c>
      <c r="N1518" s="51" t="n">
        <v>0.202</v>
      </c>
      <c r="O1518" s="52" t="n">
        <f aca="false">M1518*(1-N1518)</f>
        <v>33.516</v>
      </c>
      <c r="P1518" s="21" t="n">
        <f aca="false">L1518*O1518</f>
        <v>1608.768</v>
      </c>
      <c r="Q1518" s="50" t="n">
        <f aca="false">INDEX(Productos!$E$2:$E$13,MATCH($H1518,Productos!$A$2:$A$13,0))*INDEX(Parametros!$B$26:$B$43,MATCH($C1518,Parametros!$A$26:$A$43,0))</f>
        <v>21.6692</v>
      </c>
      <c r="R1518" s="21" t="n">
        <f aca="false">L1518*Q1518</f>
        <v>1040.1216</v>
      </c>
      <c r="S1518" s="18" t="n">
        <f aca="false">L1518*INDEX(Parametros!$B$20:$B$22,MATCH($E1518,Parametros!$A$20:$A$22,0))</f>
        <v>40.8</v>
      </c>
      <c r="T1518" s="18" t="n">
        <f aca="false">P1518*INDEX(Parametros!$B$13:$B$16,MATCH($F1518,Parametros!$A$13:$A$16,0))</f>
        <v>48.26304</v>
      </c>
      <c r="U1518" s="21" t="n">
        <f aca="false">P1518-R1518-S1518-T1518</f>
        <v>479.58336</v>
      </c>
      <c r="V1518" s="19" t="n">
        <f aca="false">IFERROR(U1518/P1518,0)</f>
        <v>0.298105979233799</v>
      </c>
      <c r="W1518" s="48" t="n">
        <f aca="false">B1518+INDEX(Parametros!$C$13:$C$16,MATCH($F1518,Parametros!$A$13:$A$16,0))</f>
        <v>46229</v>
      </c>
      <c r="X1518" s="31" t="s">
        <v>67</v>
      </c>
      <c r="Y1518" s="53" t="n">
        <f aca="false">IF(COUNTIF($A$2:$A1518,A1518)=1,1,0)</f>
        <v>1</v>
      </c>
    </row>
    <row r="1519" customFormat="false" ht="15" hidden="false" customHeight="false" outlineLevel="0" collapsed="false">
      <c r="A1519" s="31" t="s">
        <v>1063</v>
      </c>
      <c r="B1519" s="36" t="n">
        <v>46170</v>
      </c>
      <c r="C1519" s="49" t="n">
        <f aca="false">DATE(YEAR(B1519),MONTH(B1519),1)</f>
        <v>46143</v>
      </c>
      <c r="D1519" s="31" t="s">
        <v>205</v>
      </c>
      <c r="E1519" s="31" t="s">
        <v>41</v>
      </c>
      <c r="F1519" s="31" t="s">
        <v>45</v>
      </c>
      <c r="G1519" s="31" t="s">
        <v>62</v>
      </c>
      <c r="H1519" s="31" t="s">
        <v>171</v>
      </c>
      <c r="I1519" s="32" t="str">
        <f aca="false">INDEX(Productos!$B$2:$B$13,MATCH($H1519,Productos!$A$2:$A$13,0))</f>
        <v>Tornillo DIN 7991 M8x30 avellanado inox A2</v>
      </c>
      <c r="J1519" s="32" t="str">
        <f aca="false">INDEX(Productos!$C$2:$C$13,MATCH($H1519,Productos!$A$2:$A$13,0))</f>
        <v>Inoxidable</v>
      </c>
      <c r="K1519" s="31" t="s">
        <v>246</v>
      </c>
      <c r="L1519" s="46" t="n">
        <v>79</v>
      </c>
      <c r="M1519" s="50" t="n">
        <f aca="false">INDEX(Productos!$F$2:$F$13,MATCH($H1519,Productos!$A$2:$A$13,0))</f>
        <v>88</v>
      </c>
      <c r="N1519" s="51" t="n">
        <v>0.121</v>
      </c>
      <c r="O1519" s="52" t="n">
        <f aca="false">M1519*(1-N1519)</f>
        <v>77.352</v>
      </c>
      <c r="P1519" s="21" t="n">
        <f aca="false">L1519*O1519</f>
        <v>6110.808</v>
      </c>
      <c r="Q1519" s="50" t="n">
        <f aca="false">INDEX(Productos!$E$2:$E$13,MATCH($H1519,Productos!$A$2:$A$13,0))*INDEX(Parametros!$B$26:$B$43,MATCH($C1519,Parametros!$A$26:$A$43,0))</f>
        <v>46.221</v>
      </c>
      <c r="R1519" s="21" t="n">
        <f aca="false">L1519*Q1519</f>
        <v>3651.459</v>
      </c>
      <c r="S1519" s="18" t="n">
        <f aca="false">L1519*INDEX(Parametros!$B$20:$B$22,MATCH($E1519,Parametros!$A$20:$A$22,0))</f>
        <v>67.15</v>
      </c>
      <c r="T1519" s="18" t="n">
        <f aca="false">P1519*INDEX(Parametros!$B$13:$B$16,MATCH($F1519,Parametros!$A$13:$A$16,0))</f>
        <v>183.32424</v>
      </c>
      <c r="U1519" s="21" t="n">
        <f aca="false">P1519-R1519-S1519-T1519</f>
        <v>2208.87476</v>
      </c>
      <c r="V1519" s="19" t="n">
        <f aca="false">IFERROR(U1519/P1519,0)</f>
        <v>0.361470162374599</v>
      </c>
      <c r="W1519" s="48" t="n">
        <f aca="false">B1519+INDEX(Parametros!$C$13:$C$16,MATCH($F1519,Parametros!$A$13:$A$16,0))</f>
        <v>46230</v>
      </c>
      <c r="X1519" s="31" t="s">
        <v>67</v>
      </c>
      <c r="Y1519" s="53" t="n">
        <f aca="false">IF(COUNTIF($A$2:$A1519,A1519)=1,1,0)</f>
        <v>1</v>
      </c>
    </row>
    <row r="1520" customFormat="false" ht="15" hidden="false" customHeight="false" outlineLevel="0" collapsed="false">
      <c r="A1520" s="31" t="s">
        <v>1063</v>
      </c>
      <c r="B1520" s="36" t="n">
        <v>46170</v>
      </c>
      <c r="C1520" s="49" t="n">
        <f aca="false">DATE(YEAR(B1520),MONTH(B1520),1)</f>
        <v>46143</v>
      </c>
      <c r="D1520" s="31" t="s">
        <v>205</v>
      </c>
      <c r="E1520" s="31" t="s">
        <v>41</v>
      </c>
      <c r="F1520" s="31" t="s">
        <v>45</v>
      </c>
      <c r="G1520" s="31" t="s">
        <v>62</v>
      </c>
      <c r="H1520" s="31" t="s">
        <v>175</v>
      </c>
      <c r="I1520" s="32" t="str">
        <f aca="false">INDEX(Productos!$B$2:$B$13,MATCH($H1520,Productos!$A$2:$A$13,0))</f>
        <v>Tirafondo madera 5x60 cabeza plana Torx</v>
      </c>
      <c r="J1520" s="32" t="str">
        <f aca="false">INDEX(Productos!$C$2:$C$13,MATCH($H1520,Productos!$A$2:$A$13,0))</f>
        <v>Madera</v>
      </c>
      <c r="K1520" s="31" t="s">
        <v>246</v>
      </c>
      <c r="L1520" s="46" t="n">
        <v>46</v>
      </c>
      <c r="M1520" s="50" t="n">
        <f aca="false">INDEX(Productos!$F$2:$F$13,MATCH($H1520,Productos!$A$2:$A$13,0))</f>
        <v>26</v>
      </c>
      <c r="N1520" s="51" t="n">
        <v>0.205</v>
      </c>
      <c r="O1520" s="52" t="n">
        <f aca="false">M1520*(1-N1520)</f>
        <v>20.67</v>
      </c>
      <c r="P1520" s="21" t="n">
        <f aca="false">L1520*O1520</f>
        <v>950.82</v>
      </c>
      <c r="Q1520" s="50" t="n">
        <f aca="false">INDEX(Productos!$E$2:$E$13,MATCH($H1520,Productos!$A$2:$A$13,0))*INDEX(Parametros!$B$26:$B$43,MATCH($C1520,Parametros!$A$26:$A$43,0))</f>
        <v>13.3196</v>
      </c>
      <c r="R1520" s="21" t="n">
        <f aca="false">L1520*Q1520</f>
        <v>612.7016</v>
      </c>
      <c r="S1520" s="18" t="n">
        <f aca="false">L1520*INDEX(Parametros!$B$20:$B$22,MATCH($E1520,Parametros!$A$20:$A$22,0))</f>
        <v>39.1</v>
      </c>
      <c r="T1520" s="18" t="n">
        <f aca="false">P1520*INDEX(Parametros!$B$13:$B$16,MATCH($F1520,Parametros!$A$13:$A$16,0))</f>
        <v>28.5246</v>
      </c>
      <c r="U1520" s="21" t="n">
        <f aca="false">P1520-R1520-S1520-T1520</f>
        <v>270.4938</v>
      </c>
      <c r="V1520" s="19" t="n">
        <f aca="false">IFERROR(U1520/P1520,0)</f>
        <v>0.284484760522496</v>
      </c>
      <c r="W1520" s="48" t="n">
        <f aca="false">B1520+INDEX(Parametros!$C$13:$C$16,MATCH($F1520,Parametros!$A$13:$A$16,0))</f>
        <v>46230</v>
      </c>
      <c r="X1520" s="31" t="s">
        <v>67</v>
      </c>
      <c r="Y1520" s="53" t="n">
        <f aca="false">IF(COUNTIF($A$2:$A1520,A1520)=1,1,0)</f>
        <v>0</v>
      </c>
    </row>
    <row r="1521" customFormat="false" ht="15" hidden="false" customHeight="false" outlineLevel="0" collapsed="false">
      <c r="A1521" s="31" t="s">
        <v>1063</v>
      </c>
      <c r="B1521" s="36" t="n">
        <v>46170</v>
      </c>
      <c r="C1521" s="49" t="n">
        <f aca="false">DATE(YEAR(B1521),MONTH(B1521),1)</f>
        <v>46143</v>
      </c>
      <c r="D1521" s="31" t="s">
        <v>205</v>
      </c>
      <c r="E1521" s="31" t="s">
        <v>41</v>
      </c>
      <c r="F1521" s="31" t="s">
        <v>45</v>
      </c>
      <c r="G1521" s="31" t="s">
        <v>62</v>
      </c>
      <c r="H1521" s="31" t="s">
        <v>185</v>
      </c>
      <c r="I1521" s="32" t="str">
        <f aca="false">INDEX(Productos!$B$2:$B$13,MATCH($H1521,Productos!$A$2:$A$13,0))</f>
        <v>Varilla roscada M10 x 1 m zincada</v>
      </c>
      <c r="J1521" s="32" t="str">
        <f aca="false">INDEX(Productos!$C$2:$C$13,MATCH($H1521,Productos!$A$2:$A$13,0))</f>
        <v>Especial</v>
      </c>
      <c r="K1521" s="31" t="s">
        <v>246</v>
      </c>
      <c r="L1521" s="46" t="n">
        <v>115</v>
      </c>
      <c r="M1521" s="50" t="n">
        <f aca="false">INDEX(Productos!$F$2:$F$13,MATCH($H1521,Productos!$A$2:$A$13,0))</f>
        <v>54</v>
      </c>
      <c r="N1521" s="51" t="n">
        <v>0.162</v>
      </c>
      <c r="O1521" s="52" t="n">
        <f aca="false">M1521*(1-N1521)</f>
        <v>45.252</v>
      </c>
      <c r="P1521" s="21" t="n">
        <f aca="false">L1521*O1521</f>
        <v>5203.98</v>
      </c>
      <c r="Q1521" s="50" t="n">
        <f aca="false">INDEX(Productos!$E$2:$E$13,MATCH($H1521,Productos!$A$2:$A$13,0))*INDEX(Parametros!$B$26:$B$43,MATCH($C1521,Parametros!$A$26:$A$43,0))</f>
        <v>28.329</v>
      </c>
      <c r="R1521" s="21" t="n">
        <f aca="false">L1521*Q1521</f>
        <v>3257.835</v>
      </c>
      <c r="S1521" s="18" t="n">
        <f aca="false">L1521*INDEX(Parametros!$B$20:$B$22,MATCH($E1521,Parametros!$A$20:$A$22,0))</f>
        <v>97.75</v>
      </c>
      <c r="T1521" s="18" t="n">
        <f aca="false">P1521*INDEX(Parametros!$B$13:$B$16,MATCH($F1521,Parametros!$A$13:$A$16,0))</f>
        <v>156.1194</v>
      </c>
      <c r="U1521" s="21" t="n">
        <f aca="false">P1521-R1521-S1521-T1521</f>
        <v>1692.2756</v>
      </c>
      <c r="V1521" s="19" t="n">
        <f aca="false">IFERROR(U1521/P1521,0)</f>
        <v>0.325188720940511</v>
      </c>
      <c r="W1521" s="48" t="n">
        <f aca="false">B1521+INDEX(Parametros!$C$13:$C$16,MATCH($F1521,Parametros!$A$13:$A$16,0))</f>
        <v>46230</v>
      </c>
      <c r="X1521" s="31" t="s">
        <v>67</v>
      </c>
      <c r="Y1521" s="53" t="n">
        <f aca="false">IF(COUNTIF($A$2:$A1521,A1521)=1,1,0)</f>
        <v>0</v>
      </c>
    </row>
    <row r="1522" customFormat="false" ht="15" hidden="false" customHeight="false" outlineLevel="0" collapsed="false">
      <c r="A1522" s="31" t="s">
        <v>1064</v>
      </c>
      <c r="B1522" s="36" t="n">
        <v>46170</v>
      </c>
      <c r="C1522" s="49" t="n">
        <f aca="false">DATE(YEAR(B1522),MONTH(B1522),1)</f>
        <v>46143</v>
      </c>
      <c r="D1522" s="31" t="s">
        <v>209</v>
      </c>
      <c r="E1522" s="31" t="s">
        <v>41</v>
      </c>
      <c r="F1522" s="31" t="s">
        <v>45</v>
      </c>
      <c r="G1522" s="31" t="s">
        <v>62</v>
      </c>
      <c r="H1522" s="31" t="s">
        <v>179</v>
      </c>
      <c r="I1522" s="32" t="str">
        <f aca="false">INDEX(Productos!$B$2:$B$13,MATCH($H1522,Productos!$A$2:$A$13,0))</f>
        <v>Autotaladrante DIN 7504 4,8x38 zincado</v>
      </c>
      <c r="J1522" s="32" t="str">
        <f aca="false">INDEX(Productos!$C$2:$C$13,MATCH($H1522,Productos!$A$2:$A$13,0))</f>
        <v>Autotaladrante</v>
      </c>
      <c r="K1522" s="31" t="s">
        <v>246</v>
      </c>
      <c r="L1522" s="46" t="n">
        <v>36</v>
      </c>
      <c r="M1522" s="50" t="n">
        <f aca="false">INDEX(Productos!$F$2:$F$13,MATCH($H1522,Productos!$A$2:$A$13,0))</f>
        <v>29.5</v>
      </c>
      <c r="N1522" s="51" t="n">
        <v>0.177</v>
      </c>
      <c r="O1522" s="52" t="n">
        <f aca="false">M1522*(1-N1522)</f>
        <v>24.2785</v>
      </c>
      <c r="P1522" s="21" t="n">
        <f aca="false">L1522*O1522</f>
        <v>874.026</v>
      </c>
      <c r="Q1522" s="50" t="n">
        <f aca="false">INDEX(Productos!$E$2:$E$13,MATCH($H1522,Productos!$A$2:$A$13,0))*INDEX(Parametros!$B$26:$B$43,MATCH($C1522,Parametros!$A$26:$A$43,0))</f>
        <v>15.1088</v>
      </c>
      <c r="R1522" s="21" t="n">
        <f aca="false">L1522*Q1522</f>
        <v>543.9168</v>
      </c>
      <c r="S1522" s="18" t="n">
        <f aca="false">L1522*INDEX(Parametros!$B$20:$B$22,MATCH($E1522,Parametros!$A$20:$A$22,0))</f>
        <v>30.6</v>
      </c>
      <c r="T1522" s="18" t="n">
        <f aca="false">P1522*INDEX(Parametros!$B$13:$B$16,MATCH($F1522,Parametros!$A$13:$A$16,0))</f>
        <v>26.22078</v>
      </c>
      <c r="U1522" s="21" t="n">
        <f aca="false">P1522-R1522-S1522-T1522</f>
        <v>273.28842</v>
      </c>
      <c r="V1522" s="19" t="n">
        <f aca="false">IFERROR(U1522/P1522,0)</f>
        <v>0.312677677780753</v>
      </c>
      <c r="W1522" s="48" t="n">
        <f aca="false">B1522+INDEX(Parametros!$C$13:$C$16,MATCH($F1522,Parametros!$A$13:$A$16,0))</f>
        <v>46230</v>
      </c>
      <c r="X1522" s="31" t="s">
        <v>67</v>
      </c>
      <c r="Y1522" s="53" t="n">
        <f aca="false">IF(COUNTIF($A$2:$A1522,A1522)=1,1,0)</f>
        <v>1</v>
      </c>
    </row>
    <row r="1523" customFormat="false" ht="15" hidden="false" customHeight="false" outlineLevel="0" collapsed="false">
      <c r="A1523" s="31" t="s">
        <v>1065</v>
      </c>
      <c r="B1523" s="36" t="n">
        <v>46174</v>
      </c>
      <c r="C1523" s="49" t="n">
        <f aca="false">DATE(YEAR(B1523),MONTH(B1523),1)</f>
        <v>46174</v>
      </c>
      <c r="D1523" s="31" t="s">
        <v>212</v>
      </c>
      <c r="E1523" s="31" t="s">
        <v>42</v>
      </c>
      <c r="F1523" s="31" t="s">
        <v>45</v>
      </c>
      <c r="G1523" s="31" t="s">
        <v>61</v>
      </c>
      <c r="H1523" s="31" t="s">
        <v>169</v>
      </c>
      <c r="I1523" s="32" t="str">
        <f aca="false">INDEX(Productos!$B$2:$B$13,MATCH($H1523,Productos!$A$2:$A$13,0))</f>
        <v>Tornillo DIN 912 M10x60 Allen inox A2</v>
      </c>
      <c r="J1523" s="32" t="str">
        <f aca="false">INDEX(Productos!$C$2:$C$13,MATCH($H1523,Productos!$A$2:$A$13,0))</f>
        <v>Inoxidable</v>
      </c>
      <c r="K1523" s="31" t="s">
        <v>246</v>
      </c>
      <c r="L1523" s="46" t="n">
        <v>85</v>
      </c>
      <c r="M1523" s="50" t="n">
        <f aca="false">INDEX(Productos!$F$2:$F$13,MATCH($H1523,Productos!$A$2:$A$13,0))</f>
        <v>79</v>
      </c>
      <c r="N1523" s="51" t="n">
        <v>0.121</v>
      </c>
      <c r="O1523" s="52" t="n">
        <f aca="false">M1523*(1-N1523)</f>
        <v>69.441</v>
      </c>
      <c r="P1523" s="21" t="n">
        <f aca="false">L1523*O1523</f>
        <v>5902.485</v>
      </c>
      <c r="Q1523" s="50" t="n">
        <f aca="false">INDEX(Productos!$E$2:$E$13,MATCH($H1523,Productos!$A$2:$A$13,0))*INDEX(Parametros!$B$26:$B$43,MATCH($C1523,Parametros!$A$26:$A$43,0))</f>
        <v>42.336</v>
      </c>
      <c r="R1523" s="21" t="n">
        <f aca="false">L1523*Q1523</f>
        <v>3598.56</v>
      </c>
      <c r="S1523" s="18" t="n">
        <f aca="false">L1523*INDEX(Parametros!$B$20:$B$22,MATCH($E1523,Parametros!$A$20:$A$22,0))</f>
        <v>204</v>
      </c>
      <c r="T1523" s="18" t="n">
        <f aca="false">P1523*INDEX(Parametros!$B$13:$B$16,MATCH($F1523,Parametros!$A$13:$A$16,0))</f>
        <v>177.07455</v>
      </c>
      <c r="U1523" s="21" t="n">
        <f aca="false">P1523-R1523-S1523-T1523</f>
        <v>1922.85045</v>
      </c>
      <c r="V1523" s="19" t="n">
        <f aca="false">IFERROR(U1523/P1523,0)</f>
        <v>0.32576964617445</v>
      </c>
      <c r="W1523" s="48" t="n">
        <f aca="false">B1523+INDEX(Parametros!$C$13:$C$16,MATCH($F1523,Parametros!$A$13:$A$16,0))</f>
        <v>46234</v>
      </c>
      <c r="X1523" s="31" t="s">
        <v>68</v>
      </c>
      <c r="Y1523" s="53" t="n">
        <f aca="false">IF(COUNTIF($A$2:$A1523,A1523)=1,1,0)</f>
        <v>1</v>
      </c>
    </row>
    <row r="1524" customFormat="false" ht="15" hidden="false" customHeight="false" outlineLevel="0" collapsed="false">
      <c r="A1524" s="31" t="s">
        <v>1065</v>
      </c>
      <c r="B1524" s="36" t="n">
        <v>46174</v>
      </c>
      <c r="C1524" s="49" t="n">
        <f aca="false">DATE(YEAR(B1524),MONTH(B1524),1)</f>
        <v>46174</v>
      </c>
      <c r="D1524" s="31" t="s">
        <v>212</v>
      </c>
      <c r="E1524" s="31" t="s">
        <v>42</v>
      </c>
      <c r="F1524" s="31" t="s">
        <v>45</v>
      </c>
      <c r="G1524" s="31" t="s">
        <v>61</v>
      </c>
      <c r="H1524" s="31" t="s">
        <v>181</v>
      </c>
      <c r="I1524" s="32" t="str">
        <f aca="false">INDEX(Productos!$B$2:$B$13,MATCH($H1524,Productos!$A$2:$A$13,0))</f>
        <v>Autotaladrante 5,5x55 punta broca</v>
      </c>
      <c r="J1524" s="32" t="str">
        <f aca="false">INDEX(Productos!$C$2:$C$13,MATCH($H1524,Productos!$A$2:$A$13,0))</f>
        <v>Autotaladrante</v>
      </c>
      <c r="K1524" s="31" t="s">
        <v>246</v>
      </c>
      <c r="L1524" s="46" t="n">
        <v>97</v>
      </c>
      <c r="M1524" s="50" t="n">
        <f aca="false">INDEX(Productos!$F$2:$F$13,MATCH($H1524,Productos!$A$2:$A$13,0))</f>
        <v>39</v>
      </c>
      <c r="N1524" s="51" t="n">
        <v>0.184</v>
      </c>
      <c r="O1524" s="52" t="n">
        <f aca="false">M1524*(1-N1524)</f>
        <v>31.824</v>
      </c>
      <c r="P1524" s="21" t="n">
        <f aca="false">L1524*O1524</f>
        <v>3086.928</v>
      </c>
      <c r="Q1524" s="50" t="n">
        <f aca="false">INDEX(Productos!$E$2:$E$13,MATCH($H1524,Productos!$A$2:$A$13,0))*INDEX(Parametros!$B$26:$B$43,MATCH($C1524,Parametros!$A$26:$A$43,0))</f>
        <v>20.4624</v>
      </c>
      <c r="R1524" s="21" t="n">
        <f aca="false">L1524*Q1524</f>
        <v>1984.8528</v>
      </c>
      <c r="S1524" s="18" t="n">
        <f aca="false">L1524*INDEX(Parametros!$B$20:$B$22,MATCH($E1524,Parametros!$A$20:$A$22,0))</f>
        <v>232.8</v>
      </c>
      <c r="T1524" s="18" t="n">
        <f aca="false">P1524*INDEX(Parametros!$B$13:$B$16,MATCH($F1524,Parametros!$A$13:$A$16,0))</f>
        <v>92.60784</v>
      </c>
      <c r="U1524" s="21" t="n">
        <f aca="false">P1524-R1524-S1524-T1524</f>
        <v>776.66736</v>
      </c>
      <c r="V1524" s="19" t="n">
        <f aca="false">IFERROR(U1524/P1524,0)</f>
        <v>0.251598793363499</v>
      </c>
      <c r="W1524" s="48" t="n">
        <f aca="false">B1524+INDEX(Parametros!$C$13:$C$16,MATCH($F1524,Parametros!$A$13:$A$16,0))</f>
        <v>46234</v>
      </c>
      <c r="X1524" s="31" t="s">
        <v>68</v>
      </c>
      <c r="Y1524" s="53" t="n">
        <f aca="false">IF(COUNTIF($A$2:$A1524,A1524)=1,1,0)</f>
        <v>0</v>
      </c>
    </row>
    <row r="1525" customFormat="false" ht="15" hidden="false" customHeight="false" outlineLevel="0" collapsed="false">
      <c r="A1525" s="31" t="s">
        <v>1066</v>
      </c>
      <c r="B1525" s="36" t="n">
        <v>46174</v>
      </c>
      <c r="C1525" s="49" t="n">
        <f aca="false">DATE(YEAR(B1525),MONTH(B1525),1)</f>
        <v>46174</v>
      </c>
      <c r="D1525" s="31" t="s">
        <v>224</v>
      </c>
      <c r="E1525" s="31" t="s">
        <v>43</v>
      </c>
      <c r="F1525" s="31" t="s">
        <v>45</v>
      </c>
      <c r="G1525" s="31" t="s">
        <v>59</v>
      </c>
      <c r="H1525" s="31" t="s">
        <v>179</v>
      </c>
      <c r="I1525" s="32" t="str">
        <f aca="false">INDEX(Productos!$B$2:$B$13,MATCH($H1525,Productos!$A$2:$A$13,0))</f>
        <v>Autotaladrante DIN 7504 4,8x38 zincado</v>
      </c>
      <c r="J1525" s="32" t="str">
        <f aca="false">INDEX(Productos!$C$2:$C$13,MATCH($H1525,Productos!$A$2:$A$13,0))</f>
        <v>Autotaladrante</v>
      </c>
      <c r="K1525" s="31" t="s">
        <v>246</v>
      </c>
      <c r="L1525" s="46" t="n">
        <v>61</v>
      </c>
      <c r="M1525" s="50" t="n">
        <f aca="false">INDEX(Productos!$F$2:$F$13,MATCH($H1525,Productos!$A$2:$A$13,0))</f>
        <v>29.5</v>
      </c>
      <c r="N1525" s="51" t="n">
        <v>0.191</v>
      </c>
      <c r="O1525" s="52" t="n">
        <f aca="false">M1525*(1-N1525)</f>
        <v>23.8655</v>
      </c>
      <c r="P1525" s="21" t="n">
        <f aca="false">L1525*O1525</f>
        <v>1455.7955</v>
      </c>
      <c r="Q1525" s="50" t="n">
        <f aca="false">INDEX(Productos!$E$2:$E$13,MATCH($H1525,Productos!$A$2:$A$13,0))*INDEX(Parametros!$B$26:$B$43,MATCH($C1525,Parametros!$A$26:$A$43,0))</f>
        <v>15.3216</v>
      </c>
      <c r="R1525" s="21" t="n">
        <f aca="false">L1525*Q1525</f>
        <v>934.6176</v>
      </c>
      <c r="S1525" s="18" t="n">
        <f aca="false">L1525*INDEX(Parametros!$B$20:$B$22,MATCH($E1525,Parametros!$A$20:$A$22,0))</f>
        <v>115.9</v>
      </c>
      <c r="T1525" s="18" t="n">
        <f aca="false">P1525*INDEX(Parametros!$B$13:$B$16,MATCH($F1525,Parametros!$A$13:$A$16,0))</f>
        <v>43.673865</v>
      </c>
      <c r="U1525" s="21" t="n">
        <f aca="false">P1525-R1525-S1525-T1525</f>
        <v>361.604035</v>
      </c>
      <c r="V1525" s="19" t="n">
        <f aca="false">IFERROR(U1525/P1525,0)</f>
        <v>0.248389306739854</v>
      </c>
      <c r="W1525" s="48" t="n">
        <f aca="false">B1525+INDEX(Parametros!$C$13:$C$16,MATCH($F1525,Parametros!$A$13:$A$16,0))</f>
        <v>46234</v>
      </c>
      <c r="X1525" s="31" t="s">
        <v>68</v>
      </c>
      <c r="Y1525" s="53" t="n">
        <f aca="false">IF(COUNTIF($A$2:$A1525,A1525)=1,1,0)</f>
        <v>1</v>
      </c>
    </row>
    <row r="1526" customFormat="false" ht="15" hidden="false" customHeight="false" outlineLevel="0" collapsed="false">
      <c r="A1526" s="31" t="s">
        <v>1067</v>
      </c>
      <c r="B1526" s="36" t="n">
        <v>46174</v>
      </c>
      <c r="C1526" s="49" t="n">
        <f aca="false">DATE(YEAR(B1526),MONTH(B1526),1)</f>
        <v>46174</v>
      </c>
      <c r="D1526" s="31" t="s">
        <v>205</v>
      </c>
      <c r="E1526" s="31" t="s">
        <v>41</v>
      </c>
      <c r="F1526" s="31" t="s">
        <v>45</v>
      </c>
      <c r="G1526" s="31" t="s">
        <v>62</v>
      </c>
      <c r="H1526" s="31" t="s">
        <v>185</v>
      </c>
      <c r="I1526" s="32" t="str">
        <f aca="false">INDEX(Productos!$B$2:$B$13,MATCH($H1526,Productos!$A$2:$A$13,0))</f>
        <v>Varilla roscada M10 x 1 m zincada</v>
      </c>
      <c r="J1526" s="32" t="str">
        <f aca="false">INDEX(Productos!$C$2:$C$13,MATCH($H1526,Productos!$A$2:$A$13,0))</f>
        <v>Especial</v>
      </c>
      <c r="K1526" s="31" t="s">
        <v>246</v>
      </c>
      <c r="L1526" s="46" t="n">
        <v>79</v>
      </c>
      <c r="M1526" s="50" t="n">
        <f aca="false">INDEX(Productos!$F$2:$F$13,MATCH($H1526,Productos!$A$2:$A$13,0))</f>
        <v>54</v>
      </c>
      <c r="N1526" s="51" t="n">
        <v>0.139</v>
      </c>
      <c r="O1526" s="52" t="n">
        <f aca="false">M1526*(1-N1526)</f>
        <v>46.494</v>
      </c>
      <c r="P1526" s="21" t="n">
        <f aca="false">L1526*O1526</f>
        <v>3673.026</v>
      </c>
      <c r="Q1526" s="50" t="n">
        <f aca="false">INDEX(Productos!$E$2:$E$13,MATCH($H1526,Productos!$A$2:$A$13,0))*INDEX(Parametros!$B$26:$B$43,MATCH($C1526,Parametros!$A$26:$A$43,0))</f>
        <v>28.728</v>
      </c>
      <c r="R1526" s="21" t="n">
        <f aca="false">L1526*Q1526</f>
        <v>2269.512</v>
      </c>
      <c r="S1526" s="18" t="n">
        <f aca="false">L1526*INDEX(Parametros!$B$20:$B$22,MATCH($E1526,Parametros!$A$20:$A$22,0))</f>
        <v>67.15</v>
      </c>
      <c r="T1526" s="18" t="n">
        <f aca="false">P1526*INDEX(Parametros!$B$13:$B$16,MATCH($F1526,Parametros!$A$13:$A$16,0))</f>
        <v>110.19078</v>
      </c>
      <c r="U1526" s="21" t="n">
        <f aca="false">P1526-R1526-S1526-T1526</f>
        <v>1226.17322</v>
      </c>
      <c r="V1526" s="19" t="n">
        <f aca="false">IFERROR(U1526/P1526,0)</f>
        <v>0.333831892287177</v>
      </c>
      <c r="W1526" s="48" t="n">
        <f aca="false">B1526+INDEX(Parametros!$C$13:$C$16,MATCH($F1526,Parametros!$A$13:$A$16,0))</f>
        <v>46234</v>
      </c>
      <c r="X1526" s="31" t="s">
        <v>68</v>
      </c>
      <c r="Y1526" s="53" t="n">
        <f aca="false">IF(COUNTIF($A$2:$A1526,A1526)=1,1,0)</f>
        <v>1</v>
      </c>
    </row>
    <row r="1527" customFormat="false" ht="15" hidden="false" customHeight="false" outlineLevel="0" collapsed="false">
      <c r="A1527" s="31" t="s">
        <v>1068</v>
      </c>
      <c r="B1527" s="36" t="n">
        <v>46174</v>
      </c>
      <c r="C1527" s="49" t="n">
        <f aca="false">DATE(YEAR(B1527),MONTH(B1527),1)</f>
        <v>46174</v>
      </c>
      <c r="D1527" s="31" t="s">
        <v>221</v>
      </c>
      <c r="E1527" s="31" t="s">
        <v>43</v>
      </c>
      <c r="F1527" s="31" t="s">
        <v>45</v>
      </c>
      <c r="G1527" s="31" t="s">
        <v>59</v>
      </c>
      <c r="H1527" s="31" t="s">
        <v>177</v>
      </c>
      <c r="I1527" s="32" t="str">
        <f aca="false">INDEX(Productos!$B$2:$B$13,MATCH($H1527,Productos!$A$2:$A$13,0))</f>
        <v>Tirafondo madera 6x100 cabeza plana Torx</v>
      </c>
      <c r="J1527" s="32" t="str">
        <f aca="false">INDEX(Productos!$C$2:$C$13,MATCH($H1527,Productos!$A$2:$A$13,0))</f>
        <v>Madera</v>
      </c>
      <c r="K1527" s="31" t="s">
        <v>246</v>
      </c>
      <c r="L1527" s="46" t="n">
        <v>104</v>
      </c>
      <c r="M1527" s="50" t="n">
        <f aca="false">INDEX(Productos!$F$2:$F$13,MATCH($H1527,Productos!$A$2:$A$13,0))</f>
        <v>34</v>
      </c>
      <c r="N1527" s="51" t="n">
        <v>0.172</v>
      </c>
      <c r="O1527" s="52" t="n">
        <f aca="false">M1527*(1-N1527)</f>
        <v>28.152</v>
      </c>
      <c r="P1527" s="21" t="n">
        <f aca="false">L1527*O1527</f>
        <v>2927.808</v>
      </c>
      <c r="Q1527" s="50" t="n">
        <f aca="false">INDEX(Productos!$E$2:$E$13,MATCH($H1527,Productos!$A$2:$A$13,0))*INDEX(Parametros!$B$26:$B$43,MATCH($C1527,Parametros!$A$26:$A$43,0))</f>
        <v>17.9424</v>
      </c>
      <c r="R1527" s="21" t="n">
        <f aca="false">L1527*Q1527</f>
        <v>1866.0096</v>
      </c>
      <c r="S1527" s="18" t="n">
        <f aca="false">L1527*INDEX(Parametros!$B$20:$B$22,MATCH($E1527,Parametros!$A$20:$A$22,0))</f>
        <v>197.6</v>
      </c>
      <c r="T1527" s="18" t="n">
        <f aca="false">P1527*INDEX(Parametros!$B$13:$B$16,MATCH($F1527,Parametros!$A$13:$A$16,0))</f>
        <v>87.83424</v>
      </c>
      <c r="U1527" s="21" t="n">
        <f aca="false">P1527-R1527-S1527-T1527</f>
        <v>776.36416</v>
      </c>
      <c r="V1527" s="19" t="n">
        <f aca="false">IFERROR(U1527/P1527,0)</f>
        <v>0.265169082125604</v>
      </c>
      <c r="W1527" s="48" t="n">
        <f aca="false">B1527+INDEX(Parametros!$C$13:$C$16,MATCH($F1527,Parametros!$A$13:$A$16,0))</f>
        <v>46234</v>
      </c>
      <c r="X1527" s="31" t="s">
        <v>68</v>
      </c>
      <c r="Y1527" s="53" t="n">
        <f aca="false">IF(COUNTIF($A$2:$A1527,A1527)=1,1,0)</f>
        <v>1</v>
      </c>
    </row>
    <row r="1528" customFormat="false" ht="15" hidden="false" customHeight="false" outlineLevel="0" collapsed="false">
      <c r="A1528" s="31" t="s">
        <v>1068</v>
      </c>
      <c r="B1528" s="36" t="n">
        <v>46174</v>
      </c>
      <c r="C1528" s="49" t="n">
        <f aca="false">DATE(YEAR(B1528),MONTH(B1528),1)</f>
        <v>46174</v>
      </c>
      <c r="D1528" s="31" t="s">
        <v>221</v>
      </c>
      <c r="E1528" s="31" t="s">
        <v>43</v>
      </c>
      <c r="F1528" s="31" t="s">
        <v>45</v>
      </c>
      <c r="G1528" s="31" t="s">
        <v>59</v>
      </c>
      <c r="H1528" s="31" t="s">
        <v>167</v>
      </c>
      <c r="I1528" s="32" t="str">
        <f aca="false">INDEX(Productos!$B$2:$B$13,MATCH($H1528,Productos!$A$2:$A$13,0))</f>
        <v>Tornillo DIN 912 M6x25 Allen zincado</v>
      </c>
      <c r="J1528" s="32" t="str">
        <f aca="false">INDEX(Productos!$C$2:$C$13,MATCH($H1528,Productos!$A$2:$A$13,0))</f>
        <v>Métrica</v>
      </c>
      <c r="K1528" s="31" t="s">
        <v>246</v>
      </c>
      <c r="L1528" s="46" t="n">
        <v>33</v>
      </c>
      <c r="M1528" s="50" t="n">
        <f aca="false">INDEX(Productos!$F$2:$F$13,MATCH($H1528,Productos!$A$2:$A$13,0))</f>
        <v>42</v>
      </c>
      <c r="N1528" s="51" t="n">
        <v>0.204</v>
      </c>
      <c r="O1528" s="52" t="n">
        <f aca="false">M1528*(1-N1528)</f>
        <v>33.432</v>
      </c>
      <c r="P1528" s="21" t="n">
        <f aca="false">L1528*O1528</f>
        <v>1103.256</v>
      </c>
      <c r="Q1528" s="50" t="n">
        <f aca="false">INDEX(Productos!$E$2:$E$13,MATCH($H1528,Productos!$A$2:$A$13,0))*INDEX(Parametros!$B$26:$B$43,MATCH($C1528,Parametros!$A$26:$A$43,0))</f>
        <v>21.9744</v>
      </c>
      <c r="R1528" s="21" t="n">
        <f aca="false">L1528*Q1528</f>
        <v>725.1552</v>
      </c>
      <c r="S1528" s="18" t="n">
        <f aca="false">L1528*INDEX(Parametros!$B$20:$B$22,MATCH($E1528,Parametros!$A$20:$A$22,0))</f>
        <v>62.7</v>
      </c>
      <c r="T1528" s="18" t="n">
        <f aca="false">P1528*INDEX(Parametros!$B$13:$B$16,MATCH($F1528,Parametros!$A$13:$A$16,0))</f>
        <v>33.09768</v>
      </c>
      <c r="U1528" s="21" t="n">
        <f aca="false">P1528-R1528-S1528-T1528</f>
        <v>282.30312</v>
      </c>
      <c r="V1528" s="19" t="n">
        <f aca="false">IFERROR(U1528/P1528,0)</f>
        <v>0.255881789901891</v>
      </c>
      <c r="W1528" s="48" t="n">
        <f aca="false">B1528+INDEX(Parametros!$C$13:$C$16,MATCH($F1528,Parametros!$A$13:$A$16,0))</f>
        <v>46234</v>
      </c>
      <c r="X1528" s="31" t="s">
        <v>68</v>
      </c>
      <c r="Y1528" s="53" t="n">
        <f aca="false">IF(COUNTIF($A$2:$A1528,A1528)=1,1,0)</f>
        <v>0</v>
      </c>
    </row>
    <row r="1529" customFormat="false" ht="15" hidden="false" customHeight="false" outlineLevel="0" collapsed="false">
      <c r="A1529" s="31" t="s">
        <v>1069</v>
      </c>
      <c r="B1529" s="36" t="n">
        <v>46175</v>
      </c>
      <c r="C1529" s="49" t="n">
        <f aca="false">DATE(YEAR(B1529),MONTH(B1529),1)</f>
        <v>46174</v>
      </c>
      <c r="D1529" s="31" t="s">
        <v>209</v>
      </c>
      <c r="E1529" s="31" t="s">
        <v>41</v>
      </c>
      <c r="F1529" s="31" t="s">
        <v>45</v>
      </c>
      <c r="G1529" s="31" t="s">
        <v>62</v>
      </c>
      <c r="H1529" s="31" t="s">
        <v>185</v>
      </c>
      <c r="I1529" s="32" t="str">
        <f aca="false">INDEX(Productos!$B$2:$B$13,MATCH($H1529,Productos!$A$2:$A$13,0))</f>
        <v>Varilla roscada M10 x 1 m zincada</v>
      </c>
      <c r="J1529" s="32" t="str">
        <f aca="false">INDEX(Productos!$C$2:$C$13,MATCH($H1529,Productos!$A$2:$A$13,0))</f>
        <v>Especial</v>
      </c>
      <c r="K1529" s="31" t="s">
        <v>275</v>
      </c>
      <c r="L1529" s="46" t="n">
        <v>-34</v>
      </c>
      <c r="M1529" s="50" t="n">
        <f aca="false">INDEX(Productos!$F$2:$F$13,MATCH($H1529,Productos!$A$2:$A$13,0))</f>
        <v>54</v>
      </c>
      <c r="N1529" s="51" t="n">
        <v>0.139</v>
      </c>
      <c r="O1529" s="52" t="n">
        <f aca="false">M1529*(1-N1529)</f>
        <v>46.494</v>
      </c>
      <c r="P1529" s="21" t="n">
        <f aca="false">L1529*O1529</f>
        <v>-1580.796</v>
      </c>
      <c r="Q1529" s="50" t="n">
        <f aca="false">INDEX(Productos!$E$2:$E$13,MATCH($H1529,Productos!$A$2:$A$13,0))*INDEX(Parametros!$B$26:$B$43,MATCH($C1529,Parametros!$A$26:$A$43,0))</f>
        <v>28.728</v>
      </c>
      <c r="R1529" s="21" t="n">
        <f aca="false">L1529*Q1529</f>
        <v>-976.752</v>
      </c>
      <c r="S1529" s="18" t="n">
        <f aca="false">L1529*INDEX(Parametros!$B$20:$B$22,MATCH($E1529,Parametros!$A$20:$A$22,0))</f>
        <v>-28.9</v>
      </c>
      <c r="T1529" s="18" t="n">
        <f aca="false">P1529*INDEX(Parametros!$B$13:$B$16,MATCH($F1529,Parametros!$A$13:$A$16,0))</f>
        <v>-47.42388</v>
      </c>
      <c r="U1529" s="21" t="n">
        <f aca="false">P1529-R1529-S1529-T1529</f>
        <v>-527.72012</v>
      </c>
      <c r="V1529" s="19" t="n">
        <f aca="false">IFERROR(U1529/P1529,0)</f>
        <v>0.333831892287177</v>
      </c>
      <c r="W1529" s="48" t="n">
        <f aca="false">B1529+INDEX(Parametros!$C$13:$C$16,MATCH($F1529,Parametros!$A$13:$A$16,0))</f>
        <v>46235</v>
      </c>
      <c r="X1529" s="31" t="s">
        <v>67</v>
      </c>
      <c r="Y1529" s="53" t="n">
        <f aca="false">IF(COUNTIF($A$2:$A1529,A1529)=1,1,0)</f>
        <v>1</v>
      </c>
    </row>
    <row r="1530" customFormat="false" ht="15" hidden="false" customHeight="false" outlineLevel="0" collapsed="false">
      <c r="A1530" s="31" t="s">
        <v>1069</v>
      </c>
      <c r="B1530" s="36" t="n">
        <v>46175</v>
      </c>
      <c r="C1530" s="49" t="n">
        <f aca="false">DATE(YEAR(B1530),MONTH(B1530),1)</f>
        <v>46174</v>
      </c>
      <c r="D1530" s="31" t="s">
        <v>209</v>
      </c>
      <c r="E1530" s="31" t="s">
        <v>41</v>
      </c>
      <c r="F1530" s="31" t="s">
        <v>45</v>
      </c>
      <c r="G1530" s="31" t="s">
        <v>62</v>
      </c>
      <c r="H1530" s="31" t="s">
        <v>171</v>
      </c>
      <c r="I1530" s="32" t="str">
        <f aca="false">INDEX(Productos!$B$2:$B$13,MATCH($H1530,Productos!$A$2:$A$13,0))</f>
        <v>Tornillo DIN 7991 M8x30 avellanado inox A2</v>
      </c>
      <c r="J1530" s="32" t="str">
        <f aca="false">INDEX(Productos!$C$2:$C$13,MATCH($H1530,Productos!$A$2:$A$13,0))</f>
        <v>Inoxidable</v>
      </c>
      <c r="K1530" s="31" t="s">
        <v>275</v>
      </c>
      <c r="L1530" s="46" t="n">
        <v>-8</v>
      </c>
      <c r="M1530" s="50" t="n">
        <f aca="false">INDEX(Productos!$F$2:$F$13,MATCH($H1530,Productos!$A$2:$A$13,0))</f>
        <v>88</v>
      </c>
      <c r="N1530" s="51" t="n">
        <v>0.16</v>
      </c>
      <c r="O1530" s="52" t="n">
        <f aca="false">M1530*(1-N1530)</f>
        <v>73.92</v>
      </c>
      <c r="P1530" s="21" t="n">
        <f aca="false">L1530*O1530</f>
        <v>-591.36</v>
      </c>
      <c r="Q1530" s="50" t="n">
        <f aca="false">INDEX(Productos!$E$2:$E$13,MATCH($H1530,Productos!$A$2:$A$13,0))*INDEX(Parametros!$B$26:$B$43,MATCH($C1530,Parametros!$A$26:$A$43,0))</f>
        <v>46.872</v>
      </c>
      <c r="R1530" s="21" t="n">
        <f aca="false">L1530*Q1530</f>
        <v>-374.976</v>
      </c>
      <c r="S1530" s="18" t="n">
        <f aca="false">L1530*INDEX(Parametros!$B$20:$B$22,MATCH($E1530,Parametros!$A$20:$A$22,0))</f>
        <v>-6.8</v>
      </c>
      <c r="T1530" s="18" t="n">
        <f aca="false">P1530*INDEX(Parametros!$B$13:$B$16,MATCH($F1530,Parametros!$A$13:$A$16,0))</f>
        <v>-17.7408</v>
      </c>
      <c r="U1530" s="21" t="n">
        <f aca="false">P1530-R1530-S1530-T1530</f>
        <v>-191.8432</v>
      </c>
      <c r="V1530" s="19" t="n">
        <f aca="false">IFERROR(U1530/P1530,0)</f>
        <v>0.324410173160173</v>
      </c>
      <c r="W1530" s="48" t="n">
        <f aca="false">B1530+INDEX(Parametros!$C$13:$C$16,MATCH($F1530,Parametros!$A$13:$A$16,0))</f>
        <v>46235</v>
      </c>
      <c r="X1530" s="31" t="s">
        <v>67</v>
      </c>
      <c r="Y1530" s="53" t="n">
        <f aca="false">IF(COUNTIF($A$2:$A1530,A1530)=1,1,0)</f>
        <v>0</v>
      </c>
    </row>
    <row r="1531" customFormat="false" ht="15" hidden="false" customHeight="false" outlineLevel="0" collapsed="false">
      <c r="A1531" s="31" t="s">
        <v>1069</v>
      </c>
      <c r="B1531" s="36" t="n">
        <v>46175</v>
      </c>
      <c r="C1531" s="49" t="n">
        <f aca="false">DATE(YEAR(B1531),MONTH(B1531),1)</f>
        <v>46174</v>
      </c>
      <c r="D1531" s="31" t="s">
        <v>209</v>
      </c>
      <c r="E1531" s="31" t="s">
        <v>41</v>
      </c>
      <c r="F1531" s="31" t="s">
        <v>45</v>
      </c>
      <c r="G1531" s="31" t="s">
        <v>62</v>
      </c>
      <c r="H1531" s="31" t="s">
        <v>165</v>
      </c>
      <c r="I1531" s="32" t="str">
        <f aca="false">INDEX(Productos!$B$2:$B$13,MATCH($H1531,Productos!$A$2:$A$13,0))</f>
        <v>Tornillo DIN 933 M8x40 rosca completa zincado</v>
      </c>
      <c r="J1531" s="32" t="str">
        <f aca="false">INDEX(Productos!$C$2:$C$13,MATCH($H1531,Productos!$A$2:$A$13,0))</f>
        <v>Métrica</v>
      </c>
      <c r="K1531" s="31" t="s">
        <v>275</v>
      </c>
      <c r="L1531" s="46" t="n">
        <v>-12</v>
      </c>
      <c r="M1531" s="50" t="n">
        <f aca="false">INDEX(Productos!$F$2:$F$13,MATCH($H1531,Productos!$A$2:$A$13,0))</f>
        <v>37.5</v>
      </c>
      <c r="N1531" s="51" t="n">
        <v>0.133</v>
      </c>
      <c r="O1531" s="52" t="n">
        <f aca="false">M1531*(1-N1531)</f>
        <v>32.5125</v>
      </c>
      <c r="P1531" s="21" t="n">
        <f aca="false">L1531*O1531</f>
        <v>-390.15</v>
      </c>
      <c r="Q1531" s="50" t="n">
        <f aca="false">INDEX(Productos!$E$2:$E$13,MATCH($H1531,Productos!$A$2:$A$13,0))*INDEX(Parametros!$B$26:$B$43,MATCH($C1531,Parametros!$A$26:$A$43,0))</f>
        <v>19.5552</v>
      </c>
      <c r="R1531" s="21" t="n">
        <f aca="false">L1531*Q1531</f>
        <v>-234.6624</v>
      </c>
      <c r="S1531" s="18" t="n">
        <f aca="false">L1531*INDEX(Parametros!$B$20:$B$22,MATCH($E1531,Parametros!$A$20:$A$22,0))</f>
        <v>-10.2</v>
      </c>
      <c r="T1531" s="18" t="n">
        <f aca="false">P1531*INDEX(Parametros!$B$13:$B$16,MATCH($F1531,Parametros!$A$13:$A$16,0))</f>
        <v>-11.7045</v>
      </c>
      <c r="U1531" s="21" t="n">
        <f aca="false">P1531-R1531-S1531-T1531</f>
        <v>-133.5831</v>
      </c>
      <c r="V1531" s="19" t="n">
        <f aca="false">IFERROR(U1531/P1531,0)</f>
        <v>0.342389081122645</v>
      </c>
      <c r="W1531" s="48" t="n">
        <f aca="false">B1531+INDEX(Parametros!$C$13:$C$16,MATCH($F1531,Parametros!$A$13:$A$16,0))</f>
        <v>46235</v>
      </c>
      <c r="X1531" s="31" t="s">
        <v>67</v>
      </c>
      <c r="Y1531" s="53" t="n">
        <f aca="false">IF(COUNTIF($A$2:$A1531,A1531)=1,1,0)</f>
        <v>0</v>
      </c>
    </row>
    <row r="1532" customFormat="false" ht="15" hidden="false" customHeight="false" outlineLevel="0" collapsed="false">
      <c r="A1532" s="31" t="s">
        <v>1069</v>
      </c>
      <c r="B1532" s="36" t="n">
        <v>46175</v>
      </c>
      <c r="C1532" s="49" t="n">
        <f aca="false">DATE(YEAR(B1532),MONTH(B1532),1)</f>
        <v>46174</v>
      </c>
      <c r="D1532" s="31" t="s">
        <v>209</v>
      </c>
      <c r="E1532" s="31" t="s">
        <v>41</v>
      </c>
      <c r="F1532" s="31" t="s">
        <v>45</v>
      </c>
      <c r="G1532" s="31" t="s">
        <v>62</v>
      </c>
      <c r="H1532" s="31" t="s">
        <v>177</v>
      </c>
      <c r="I1532" s="32" t="str">
        <f aca="false">INDEX(Productos!$B$2:$B$13,MATCH($H1532,Productos!$A$2:$A$13,0))</f>
        <v>Tirafondo madera 6x100 cabeza plana Torx</v>
      </c>
      <c r="J1532" s="32" t="str">
        <f aca="false">INDEX(Productos!$C$2:$C$13,MATCH($H1532,Productos!$A$2:$A$13,0))</f>
        <v>Madera</v>
      </c>
      <c r="K1532" s="31" t="s">
        <v>275</v>
      </c>
      <c r="L1532" s="46" t="n">
        <v>-27</v>
      </c>
      <c r="M1532" s="50" t="n">
        <f aca="false">INDEX(Productos!$F$2:$F$13,MATCH($H1532,Productos!$A$2:$A$13,0))</f>
        <v>34</v>
      </c>
      <c r="N1532" s="51" t="n">
        <v>0.142</v>
      </c>
      <c r="O1532" s="52" t="n">
        <f aca="false">M1532*(1-N1532)</f>
        <v>29.172</v>
      </c>
      <c r="P1532" s="21" t="n">
        <f aca="false">L1532*O1532</f>
        <v>-787.644</v>
      </c>
      <c r="Q1532" s="50" t="n">
        <f aca="false">INDEX(Productos!$E$2:$E$13,MATCH($H1532,Productos!$A$2:$A$13,0))*INDEX(Parametros!$B$26:$B$43,MATCH($C1532,Parametros!$A$26:$A$43,0))</f>
        <v>17.9424</v>
      </c>
      <c r="R1532" s="21" t="n">
        <f aca="false">L1532*Q1532</f>
        <v>-484.4448</v>
      </c>
      <c r="S1532" s="18" t="n">
        <f aca="false">L1532*INDEX(Parametros!$B$20:$B$22,MATCH($E1532,Parametros!$A$20:$A$22,0))</f>
        <v>-22.95</v>
      </c>
      <c r="T1532" s="18" t="n">
        <f aca="false">P1532*INDEX(Parametros!$B$13:$B$16,MATCH($F1532,Parametros!$A$13:$A$16,0))</f>
        <v>-23.62932</v>
      </c>
      <c r="U1532" s="21" t="n">
        <f aca="false">P1532-R1532-S1532-T1532</f>
        <v>-256.61988</v>
      </c>
      <c r="V1532" s="19" t="n">
        <f aca="false">IFERROR(U1532/P1532,0)</f>
        <v>0.325806938159879</v>
      </c>
      <c r="W1532" s="48" t="n">
        <f aca="false">B1532+INDEX(Parametros!$C$13:$C$16,MATCH($F1532,Parametros!$A$13:$A$16,0))</f>
        <v>46235</v>
      </c>
      <c r="X1532" s="31" t="s">
        <v>67</v>
      </c>
      <c r="Y1532" s="53" t="n">
        <f aca="false">IF(COUNTIF($A$2:$A1532,A1532)=1,1,0)</f>
        <v>0</v>
      </c>
    </row>
    <row r="1533" customFormat="false" ht="15" hidden="false" customHeight="false" outlineLevel="0" collapsed="false">
      <c r="A1533" s="31" t="s">
        <v>1070</v>
      </c>
      <c r="B1533" s="36" t="n">
        <v>46176</v>
      </c>
      <c r="C1533" s="49" t="n">
        <f aca="false">DATE(YEAR(B1533),MONTH(B1533),1)</f>
        <v>46174</v>
      </c>
      <c r="D1533" s="31" t="s">
        <v>202</v>
      </c>
      <c r="E1533" s="31" t="s">
        <v>41</v>
      </c>
      <c r="F1533" s="31" t="s">
        <v>46</v>
      </c>
      <c r="G1533" s="31" t="s">
        <v>62</v>
      </c>
      <c r="H1533" s="31" t="s">
        <v>175</v>
      </c>
      <c r="I1533" s="32" t="str">
        <f aca="false">INDEX(Productos!$B$2:$B$13,MATCH($H1533,Productos!$A$2:$A$13,0))</f>
        <v>Tirafondo madera 5x60 cabeza plana Torx</v>
      </c>
      <c r="J1533" s="32" t="str">
        <f aca="false">INDEX(Productos!$C$2:$C$13,MATCH($H1533,Productos!$A$2:$A$13,0))</f>
        <v>Madera</v>
      </c>
      <c r="K1533" s="31" t="s">
        <v>246</v>
      </c>
      <c r="L1533" s="46" t="n">
        <v>57</v>
      </c>
      <c r="M1533" s="50" t="n">
        <f aca="false">INDEX(Productos!$F$2:$F$13,MATCH($H1533,Productos!$A$2:$A$13,0))</f>
        <v>26</v>
      </c>
      <c r="N1533" s="51" t="n">
        <v>0.084</v>
      </c>
      <c r="O1533" s="52" t="n">
        <f aca="false">M1533*(1-N1533)</f>
        <v>23.816</v>
      </c>
      <c r="P1533" s="21" t="n">
        <f aca="false">L1533*O1533</f>
        <v>1357.512</v>
      </c>
      <c r="Q1533" s="50" t="n">
        <f aca="false">INDEX(Productos!$E$2:$E$13,MATCH($H1533,Productos!$A$2:$A$13,0))*INDEX(Parametros!$B$26:$B$43,MATCH($C1533,Parametros!$A$26:$A$43,0))</f>
        <v>13.5072</v>
      </c>
      <c r="R1533" s="21" t="n">
        <f aca="false">L1533*Q1533</f>
        <v>769.9104</v>
      </c>
      <c r="S1533" s="18" t="n">
        <f aca="false">L1533*INDEX(Parametros!$B$20:$B$22,MATCH($E1533,Parametros!$A$20:$A$22,0))</f>
        <v>48.45</v>
      </c>
      <c r="T1533" s="18" t="n">
        <f aca="false">P1533*INDEX(Parametros!$B$13:$B$16,MATCH($F1533,Parametros!$A$13:$A$16,0))</f>
        <v>54.30048</v>
      </c>
      <c r="U1533" s="21" t="n">
        <f aca="false">P1533-R1533-S1533-T1533</f>
        <v>484.85112</v>
      </c>
      <c r="V1533" s="19" t="n">
        <f aca="false">IFERROR(U1533/P1533,0)</f>
        <v>0.357161572052402</v>
      </c>
      <c r="W1533" s="48" t="n">
        <f aca="false">B1533+INDEX(Parametros!$C$13:$C$16,MATCH($F1533,Parametros!$A$13:$A$16,0))</f>
        <v>46251</v>
      </c>
      <c r="X1533" s="31" t="s">
        <v>68</v>
      </c>
      <c r="Y1533" s="53" t="n">
        <f aca="false">IF(COUNTIF($A$2:$A1533,A1533)=1,1,0)</f>
        <v>1</v>
      </c>
    </row>
    <row r="1534" customFormat="false" ht="15" hidden="false" customHeight="false" outlineLevel="0" collapsed="false">
      <c r="A1534" s="31" t="s">
        <v>1070</v>
      </c>
      <c r="B1534" s="36" t="n">
        <v>46176</v>
      </c>
      <c r="C1534" s="49" t="n">
        <f aca="false">DATE(YEAR(B1534),MONTH(B1534),1)</f>
        <v>46174</v>
      </c>
      <c r="D1534" s="31" t="s">
        <v>202</v>
      </c>
      <c r="E1534" s="31" t="s">
        <v>41</v>
      </c>
      <c r="F1534" s="31" t="s">
        <v>46</v>
      </c>
      <c r="G1534" s="31" t="s">
        <v>62</v>
      </c>
      <c r="H1534" s="31" t="s">
        <v>171</v>
      </c>
      <c r="I1534" s="32" t="str">
        <f aca="false">INDEX(Productos!$B$2:$B$13,MATCH($H1534,Productos!$A$2:$A$13,0))</f>
        <v>Tornillo DIN 7991 M8x30 avellanado inox A2</v>
      </c>
      <c r="J1534" s="32" t="str">
        <f aca="false">INDEX(Productos!$C$2:$C$13,MATCH($H1534,Productos!$A$2:$A$13,0))</f>
        <v>Inoxidable</v>
      </c>
      <c r="K1534" s="31" t="s">
        <v>246</v>
      </c>
      <c r="L1534" s="46" t="n">
        <v>224</v>
      </c>
      <c r="M1534" s="50" t="n">
        <f aca="false">INDEX(Productos!$F$2:$F$13,MATCH($H1534,Productos!$A$2:$A$13,0))</f>
        <v>88</v>
      </c>
      <c r="N1534" s="51" t="n">
        <v>0.175</v>
      </c>
      <c r="O1534" s="52" t="n">
        <f aca="false">M1534*(1-N1534)</f>
        <v>72.6</v>
      </c>
      <c r="P1534" s="21" t="n">
        <f aca="false">L1534*O1534</f>
        <v>16262.4</v>
      </c>
      <c r="Q1534" s="50" t="n">
        <f aca="false">INDEX(Productos!$E$2:$E$13,MATCH($H1534,Productos!$A$2:$A$13,0))*INDEX(Parametros!$B$26:$B$43,MATCH($C1534,Parametros!$A$26:$A$43,0))</f>
        <v>46.872</v>
      </c>
      <c r="R1534" s="21" t="n">
        <f aca="false">L1534*Q1534</f>
        <v>10499.328</v>
      </c>
      <c r="S1534" s="18" t="n">
        <f aca="false">L1534*INDEX(Parametros!$B$20:$B$22,MATCH($E1534,Parametros!$A$20:$A$22,0))</f>
        <v>190.4</v>
      </c>
      <c r="T1534" s="18" t="n">
        <f aca="false">P1534*INDEX(Parametros!$B$13:$B$16,MATCH($F1534,Parametros!$A$13:$A$16,0))</f>
        <v>650.496</v>
      </c>
      <c r="U1534" s="21" t="n">
        <f aca="false">P1534-R1534-S1534-T1534</f>
        <v>4922.176</v>
      </c>
      <c r="V1534" s="19" t="n">
        <f aca="false">IFERROR(U1534/P1534,0)</f>
        <v>0.30267217630854</v>
      </c>
      <c r="W1534" s="48" t="n">
        <f aca="false">B1534+INDEX(Parametros!$C$13:$C$16,MATCH($F1534,Parametros!$A$13:$A$16,0))</f>
        <v>46251</v>
      </c>
      <c r="X1534" s="31" t="s">
        <v>68</v>
      </c>
      <c r="Y1534" s="53" t="n">
        <f aca="false">IF(COUNTIF($A$2:$A1534,A1534)=1,1,0)</f>
        <v>0</v>
      </c>
    </row>
    <row r="1535" customFormat="false" ht="15" hidden="false" customHeight="false" outlineLevel="0" collapsed="false">
      <c r="A1535" s="31" t="s">
        <v>1070</v>
      </c>
      <c r="B1535" s="36" t="n">
        <v>46176</v>
      </c>
      <c r="C1535" s="49" t="n">
        <f aca="false">DATE(YEAR(B1535),MONTH(B1535),1)</f>
        <v>46174</v>
      </c>
      <c r="D1535" s="31" t="s">
        <v>202</v>
      </c>
      <c r="E1535" s="31" t="s">
        <v>41</v>
      </c>
      <c r="F1535" s="31" t="s">
        <v>46</v>
      </c>
      <c r="G1535" s="31" t="s">
        <v>62</v>
      </c>
      <c r="H1535" s="31" t="s">
        <v>185</v>
      </c>
      <c r="I1535" s="32" t="str">
        <f aca="false">INDEX(Productos!$B$2:$B$13,MATCH($H1535,Productos!$A$2:$A$13,0))</f>
        <v>Varilla roscada M10 x 1 m zincada</v>
      </c>
      <c r="J1535" s="32" t="str">
        <f aca="false">INDEX(Productos!$C$2:$C$13,MATCH($H1535,Productos!$A$2:$A$13,0))</f>
        <v>Especial</v>
      </c>
      <c r="K1535" s="31" t="s">
        <v>246</v>
      </c>
      <c r="L1535" s="46" t="n">
        <v>105</v>
      </c>
      <c r="M1535" s="50" t="n">
        <f aca="false">INDEX(Productos!$F$2:$F$13,MATCH($H1535,Productos!$A$2:$A$13,0))</f>
        <v>54</v>
      </c>
      <c r="N1535" s="51" t="n">
        <v>0.151</v>
      </c>
      <c r="O1535" s="52" t="n">
        <f aca="false">M1535*(1-N1535)</f>
        <v>45.846</v>
      </c>
      <c r="P1535" s="21" t="n">
        <f aca="false">L1535*O1535</f>
        <v>4813.83</v>
      </c>
      <c r="Q1535" s="50" t="n">
        <f aca="false">INDEX(Productos!$E$2:$E$13,MATCH($H1535,Productos!$A$2:$A$13,0))*INDEX(Parametros!$B$26:$B$43,MATCH($C1535,Parametros!$A$26:$A$43,0))</f>
        <v>28.728</v>
      </c>
      <c r="R1535" s="21" t="n">
        <f aca="false">L1535*Q1535</f>
        <v>3016.44</v>
      </c>
      <c r="S1535" s="18" t="n">
        <f aca="false">L1535*INDEX(Parametros!$B$20:$B$22,MATCH($E1535,Parametros!$A$20:$A$22,0))</f>
        <v>89.25</v>
      </c>
      <c r="T1535" s="18" t="n">
        <f aca="false">P1535*INDEX(Parametros!$B$13:$B$16,MATCH($F1535,Parametros!$A$13:$A$16,0))</f>
        <v>192.5532</v>
      </c>
      <c r="U1535" s="21" t="n">
        <f aca="false">P1535-R1535-S1535-T1535</f>
        <v>1515.5868</v>
      </c>
      <c r="V1535" s="19" t="n">
        <f aca="false">IFERROR(U1535/P1535,0)</f>
        <v>0.314840116913144</v>
      </c>
      <c r="W1535" s="48" t="n">
        <f aca="false">B1535+INDEX(Parametros!$C$13:$C$16,MATCH($F1535,Parametros!$A$13:$A$16,0))</f>
        <v>46251</v>
      </c>
      <c r="X1535" s="31" t="s">
        <v>68</v>
      </c>
      <c r="Y1535" s="53" t="n">
        <f aca="false">IF(COUNTIF($A$2:$A1535,A1535)=1,1,0)</f>
        <v>0</v>
      </c>
    </row>
    <row r="1536" customFormat="false" ht="15" hidden="false" customHeight="false" outlineLevel="0" collapsed="false">
      <c r="A1536" s="31" t="s">
        <v>1071</v>
      </c>
      <c r="B1536" s="36" t="n">
        <v>46177</v>
      </c>
      <c r="C1536" s="49" t="n">
        <f aca="false">DATE(YEAR(B1536),MONTH(B1536),1)</f>
        <v>46174</v>
      </c>
      <c r="D1536" s="31" t="s">
        <v>199</v>
      </c>
      <c r="E1536" s="31" t="s">
        <v>41</v>
      </c>
      <c r="F1536" s="31" t="s">
        <v>45</v>
      </c>
      <c r="G1536" s="31" t="s">
        <v>58</v>
      </c>
      <c r="H1536" s="31" t="s">
        <v>175</v>
      </c>
      <c r="I1536" s="32" t="str">
        <f aca="false">INDEX(Productos!$B$2:$B$13,MATCH($H1536,Productos!$A$2:$A$13,0))</f>
        <v>Tirafondo madera 5x60 cabeza plana Torx</v>
      </c>
      <c r="J1536" s="32" t="str">
        <f aca="false">INDEX(Productos!$C$2:$C$13,MATCH($H1536,Productos!$A$2:$A$13,0))</f>
        <v>Madera</v>
      </c>
      <c r="K1536" s="31" t="s">
        <v>246</v>
      </c>
      <c r="L1536" s="46" t="n">
        <v>41</v>
      </c>
      <c r="M1536" s="50" t="n">
        <f aca="false">INDEX(Productos!$F$2:$F$13,MATCH($H1536,Productos!$A$2:$A$13,0))</f>
        <v>26</v>
      </c>
      <c r="N1536" s="51" t="n">
        <v>0.162</v>
      </c>
      <c r="O1536" s="52" t="n">
        <f aca="false">M1536*(1-N1536)</f>
        <v>21.788</v>
      </c>
      <c r="P1536" s="21" t="n">
        <f aca="false">L1536*O1536</f>
        <v>893.308</v>
      </c>
      <c r="Q1536" s="50" t="n">
        <f aca="false">INDEX(Productos!$E$2:$E$13,MATCH($H1536,Productos!$A$2:$A$13,0))*INDEX(Parametros!$B$26:$B$43,MATCH($C1536,Parametros!$A$26:$A$43,0))</f>
        <v>13.5072</v>
      </c>
      <c r="R1536" s="21" t="n">
        <f aca="false">L1536*Q1536</f>
        <v>553.7952</v>
      </c>
      <c r="S1536" s="18" t="n">
        <f aca="false">L1536*INDEX(Parametros!$B$20:$B$22,MATCH($E1536,Parametros!$A$20:$A$22,0))</f>
        <v>34.85</v>
      </c>
      <c r="T1536" s="18" t="n">
        <f aca="false">P1536*INDEX(Parametros!$B$13:$B$16,MATCH($F1536,Parametros!$A$13:$A$16,0))</f>
        <v>26.79924</v>
      </c>
      <c r="U1536" s="21" t="n">
        <f aca="false">P1536-R1536-S1536-T1536</f>
        <v>277.86356</v>
      </c>
      <c r="V1536" s="19" t="n">
        <f aca="false">IFERROR(U1536/P1536,0)</f>
        <v>0.311050119331742</v>
      </c>
      <c r="W1536" s="48" t="n">
        <f aca="false">B1536+INDEX(Parametros!$C$13:$C$16,MATCH($F1536,Parametros!$A$13:$A$16,0))</f>
        <v>46237</v>
      </c>
      <c r="X1536" s="31" t="s">
        <v>68</v>
      </c>
      <c r="Y1536" s="53" t="n">
        <f aca="false">IF(COUNTIF($A$2:$A1536,A1536)=1,1,0)</f>
        <v>1</v>
      </c>
    </row>
    <row r="1537" customFormat="false" ht="15" hidden="false" customHeight="false" outlineLevel="0" collapsed="false">
      <c r="A1537" s="31" t="s">
        <v>1071</v>
      </c>
      <c r="B1537" s="36" t="n">
        <v>46177</v>
      </c>
      <c r="C1537" s="49" t="n">
        <f aca="false">DATE(YEAR(B1537),MONTH(B1537),1)</f>
        <v>46174</v>
      </c>
      <c r="D1537" s="31" t="s">
        <v>199</v>
      </c>
      <c r="E1537" s="31" t="s">
        <v>41</v>
      </c>
      <c r="F1537" s="31" t="s">
        <v>45</v>
      </c>
      <c r="G1537" s="31" t="s">
        <v>58</v>
      </c>
      <c r="H1537" s="31" t="s">
        <v>183</v>
      </c>
      <c r="I1537" s="32" t="str">
        <f aca="false">INDEX(Productos!$B$2:$B$13,MATCH($H1537,Productos!$A$2:$A$13,0))</f>
        <v>Tornillo estructural M16x90 clase 10.9</v>
      </c>
      <c r="J1537" s="32" t="str">
        <f aca="false">INDEX(Productos!$C$2:$C$13,MATCH($H1537,Productos!$A$2:$A$13,0))</f>
        <v>Especial</v>
      </c>
      <c r="K1537" s="31" t="s">
        <v>246</v>
      </c>
      <c r="L1537" s="46" t="n">
        <v>266</v>
      </c>
      <c r="M1537" s="50" t="n">
        <f aca="false">INDEX(Productos!$F$2:$F$13,MATCH($H1537,Productos!$A$2:$A$13,0))</f>
        <v>112</v>
      </c>
      <c r="N1537" s="51" t="n">
        <v>0.162</v>
      </c>
      <c r="O1537" s="52" t="n">
        <f aca="false">M1537*(1-N1537)</f>
        <v>93.856</v>
      </c>
      <c r="P1537" s="21" t="n">
        <f aca="false">L1537*O1537</f>
        <v>24965.696</v>
      </c>
      <c r="Q1537" s="50" t="n">
        <f aca="false">INDEX(Productos!$E$2:$E$13,MATCH($H1537,Productos!$A$2:$A$13,0))*INDEX(Parametros!$B$26:$B$43,MATCH($C1537,Parametros!$A$26:$A$43,0))</f>
        <v>60.48</v>
      </c>
      <c r="R1537" s="21" t="n">
        <f aca="false">L1537*Q1537</f>
        <v>16087.68</v>
      </c>
      <c r="S1537" s="18" t="n">
        <f aca="false">L1537*INDEX(Parametros!$B$20:$B$22,MATCH($E1537,Parametros!$A$20:$A$22,0))</f>
        <v>226.1</v>
      </c>
      <c r="T1537" s="18" t="n">
        <f aca="false">P1537*INDEX(Parametros!$B$13:$B$16,MATCH($F1537,Parametros!$A$13:$A$16,0))</f>
        <v>748.97088</v>
      </c>
      <c r="U1537" s="21" t="n">
        <f aca="false">P1537-R1537-S1537-T1537</f>
        <v>7902.94512</v>
      </c>
      <c r="V1537" s="19" t="n">
        <f aca="false">IFERROR(U1537/P1537,0)</f>
        <v>0.316552165018752</v>
      </c>
      <c r="W1537" s="48" t="n">
        <f aca="false">B1537+INDEX(Parametros!$C$13:$C$16,MATCH($F1537,Parametros!$A$13:$A$16,0))</f>
        <v>46237</v>
      </c>
      <c r="X1537" s="31" t="s">
        <v>68</v>
      </c>
      <c r="Y1537" s="53" t="n">
        <f aca="false">IF(COUNTIF($A$2:$A1537,A1537)=1,1,0)</f>
        <v>0</v>
      </c>
    </row>
    <row r="1538" customFormat="false" ht="15" hidden="false" customHeight="false" outlineLevel="0" collapsed="false">
      <c r="A1538" s="31" t="s">
        <v>1071</v>
      </c>
      <c r="B1538" s="36" t="n">
        <v>46177</v>
      </c>
      <c r="C1538" s="49" t="n">
        <f aca="false">DATE(YEAR(B1538),MONTH(B1538),1)</f>
        <v>46174</v>
      </c>
      <c r="D1538" s="31" t="s">
        <v>199</v>
      </c>
      <c r="E1538" s="31" t="s">
        <v>41</v>
      </c>
      <c r="F1538" s="31" t="s">
        <v>45</v>
      </c>
      <c r="G1538" s="31" t="s">
        <v>58</v>
      </c>
      <c r="H1538" s="31" t="s">
        <v>185</v>
      </c>
      <c r="I1538" s="32" t="str">
        <f aca="false">INDEX(Productos!$B$2:$B$13,MATCH($H1538,Productos!$A$2:$A$13,0))</f>
        <v>Varilla roscada M10 x 1 m zincada</v>
      </c>
      <c r="J1538" s="32" t="str">
        <f aca="false">INDEX(Productos!$C$2:$C$13,MATCH($H1538,Productos!$A$2:$A$13,0))</f>
        <v>Especial</v>
      </c>
      <c r="K1538" s="31" t="s">
        <v>246</v>
      </c>
      <c r="L1538" s="46" t="n">
        <v>67</v>
      </c>
      <c r="M1538" s="50" t="n">
        <f aca="false">INDEX(Productos!$F$2:$F$13,MATCH($H1538,Productos!$A$2:$A$13,0))</f>
        <v>54</v>
      </c>
      <c r="N1538" s="51" t="n">
        <v>0.151</v>
      </c>
      <c r="O1538" s="52" t="n">
        <f aca="false">M1538*(1-N1538)</f>
        <v>45.846</v>
      </c>
      <c r="P1538" s="21" t="n">
        <f aca="false">L1538*O1538</f>
        <v>3071.682</v>
      </c>
      <c r="Q1538" s="50" t="n">
        <f aca="false">INDEX(Productos!$E$2:$E$13,MATCH($H1538,Productos!$A$2:$A$13,0))*INDEX(Parametros!$B$26:$B$43,MATCH($C1538,Parametros!$A$26:$A$43,0))</f>
        <v>28.728</v>
      </c>
      <c r="R1538" s="21" t="n">
        <f aca="false">L1538*Q1538</f>
        <v>1924.776</v>
      </c>
      <c r="S1538" s="18" t="n">
        <f aca="false">L1538*INDEX(Parametros!$B$20:$B$22,MATCH($E1538,Parametros!$A$20:$A$22,0))</f>
        <v>56.95</v>
      </c>
      <c r="T1538" s="18" t="n">
        <f aca="false">P1538*INDEX(Parametros!$B$13:$B$16,MATCH($F1538,Parametros!$A$13:$A$16,0))</f>
        <v>92.15046</v>
      </c>
      <c r="U1538" s="21" t="n">
        <f aca="false">P1538-R1538-S1538-T1538</f>
        <v>997.80554</v>
      </c>
      <c r="V1538" s="19" t="n">
        <f aca="false">IFERROR(U1538/P1538,0)</f>
        <v>0.324840116913144</v>
      </c>
      <c r="W1538" s="48" t="n">
        <f aca="false">B1538+INDEX(Parametros!$C$13:$C$16,MATCH($F1538,Parametros!$A$13:$A$16,0))</f>
        <v>46237</v>
      </c>
      <c r="X1538" s="31" t="s">
        <v>68</v>
      </c>
      <c r="Y1538" s="53" t="n">
        <f aca="false">IF(COUNTIF($A$2:$A1538,A1538)=1,1,0)</f>
        <v>0</v>
      </c>
    </row>
    <row r="1539" customFormat="false" ht="15" hidden="false" customHeight="false" outlineLevel="0" collapsed="false">
      <c r="A1539" s="31" t="s">
        <v>1072</v>
      </c>
      <c r="B1539" s="36" t="n">
        <v>46181</v>
      </c>
      <c r="C1539" s="49" t="n">
        <f aca="false">DATE(YEAR(B1539),MONTH(B1539),1)</f>
        <v>46174</v>
      </c>
      <c r="D1539" s="31" t="s">
        <v>223</v>
      </c>
      <c r="E1539" s="31" t="s">
        <v>43</v>
      </c>
      <c r="F1539" s="31" t="s">
        <v>46</v>
      </c>
      <c r="G1539" s="31" t="s">
        <v>59</v>
      </c>
      <c r="H1539" s="31" t="s">
        <v>177</v>
      </c>
      <c r="I1539" s="32" t="str">
        <f aca="false">INDEX(Productos!$B$2:$B$13,MATCH($H1539,Productos!$A$2:$A$13,0))</f>
        <v>Tirafondo madera 6x100 cabeza plana Torx</v>
      </c>
      <c r="J1539" s="32" t="str">
        <f aca="false">INDEX(Productos!$C$2:$C$13,MATCH($H1539,Productos!$A$2:$A$13,0))</f>
        <v>Madera</v>
      </c>
      <c r="K1539" s="31" t="s">
        <v>246</v>
      </c>
      <c r="L1539" s="46" t="n">
        <v>24</v>
      </c>
      <c r="M1539" s="50" t="n">
        <f aca="false">INDEX(Productos!$F$2:$F$13,MATCH($H1539,Productos!$A$2:$A$13,0))</f>
        <v>34</v>
      </c>
      <c r="N1539" s="51" t="n">
        <v>0.149</v>
      </c>
      <c r="O1539" s="52" t="n">
        <f aca="false">M1539*(1-N1539)</f>
        <v>28.934</v>
      </c>
      <c r="P1539" s="21" t="n">
        <f aca="false">L1539*O1539</f>
        <v>694.416</v>
      </c>
      <c r="Q1539" s="50" t="n">
        <f aca="false">INDEX(Productos!$E$2:$E$13,MATCH($H1539,Productos!$A$2:$A$13,0))*INDEX(Parametros!$B$26:$B$43,MATCH($C1539,Parametros!$A$26:$A$43,0))</f>
        <v>17.9424</v>
      </c>
      <c r="R1539" s="21" t="n">
        <f aca="false">L1539*Q1539</f>
        <v>430.6176</v>
      </c>
      <c r="S1539" s="18" t="n">
        <f aca="false">L1539*INDEX(Parametros!$B$20:$B$22,MATCH($E1539,Parametros!$A$20:$A$22,0))</f>
        <v>45.6</v>
      </c>
      <c r="T1539" s="18" t="n">
        <f aca="false">P1539*INDEX(Parametros!$B$13:$B$16,MATCH($F1539,Parametros!$A$13:$A$16,0))</f>
        <v>27.77664</v>
      </c>
      <c r="U1539" s="21" t="n">
        <f aca="false">P1539-R1539-S1539-T1539</f>
        <v>190.42176</v>
      </c>
      <c r="V1539" s="19" t="n">
        <f aca="false">IFERROR(U1539/P1539,0)</f>
        <v>0.274218566392479</v>
      </c>
      <c r="W1539" s="48" t="n">
        <f aca="false">B1539+INDEX(Parametros!$C$13:$C$16,MATCH($F1539,Parametros!$A$13:$A$16,0))</f>
        <v>46256</v>
      </c>
      <c r="X1539" s="31" t="s">
        <v>68</v>
      </c>
      <c r="Y1539" s="53" t="n">
        <f aca="false">IF(COUNTIF($A$2:$A1539,A1539)=1,1,0)</f>
        <v>1</v>
      </c>
    </row>
    <row r="1540" customFormat="false" ht="15" hidden="false" customHeight="false" outlineLevel="0" collapsed="false">
      <c r="A1540" s="31" t="s">
        <v>1072</v>
      </c>
      <c r="B1540" s="36" t="n">
        <v>46181</v>
      </c>
      <c r="C1540" s="49" t="n">
        <f aca="false">DATE(YEAR(B1540),MONTH(B1540),1)</f>
        <v>46174</v>
      </c>
      <c r="D1540" s="31" t="s">
        <v>223</v>
      </c>
      <c r="E1540" s="31" t="s">
        <v>43</v>
      </c>
      <c r="F1540" s="31" t="s">
        <v>46</v>
      </c>
      <c r="G1540" s="31" t="s">
        <v>59</v>
      </c>
      <c r="H1540" s="31" t="s">
        <v>183</v>
      </c>
      <c r="I1540" s="32" t="str">
        <f aca="false">INDEX(Productos!$B$2:$B$13,MATCH($H1540,Productos!$A$2:$A$13,0))</f>
        <v>Tornillo estructural M16x90 clase 10.9</v>
      </c>
      <c r="J1540" s="32" t="str">
        <f aca="false">INDEX(Productos!$C$2:$C$13,MATCH($H1540,Productos!$A$2:$A$13,0))</f>
        <v>Especial</v>
      </c>
      <c r="K1540" s="31" t="s">
        <v>246</v>
      </c>
      <c r="L1540" s="46" t="n">
        <v>33</v>
      </c>
      <c r="M1540" s="50" t="n">
        <f aca="false">INDEX(Productos!$F$2:$F$13,MATCH($H1540,Productos!$A$2:$A$13,0))</f>
        <v>112</v>
      </c>
      <c r="N1540" s="51" t="n">
        <v>0.113</v>
      </c>
      <c r="O1540" s="52" t="n">
        <f aca="false">M1540*(1-N1540)</f>
        <v>99.344</v>
      </c>
      <c r="P1540" s="21" t="n">
        <f aca="false">L1540*O1540</f>
        <v>3278.352</v>
      </c>
      <c r="Q1540" s="50" t="n">
        <f aca="false">INDEX(Productos!$E$2:$E$13,MATCH($H1540,Productos!$A$2:$A$13,0))*INDEX(Parametros!$B$26:$B$43,MATCH($C1540,Parametros!$A$26:$A$43,0))</f>
        <v>60.48</v>
      </c>
      <c r="R1540" s="21" t="n">
        <f aca="false">L1540*Q1540</f>
        <v>1995.84</v>
      </c>
      <c r="S1540" s="18" t="n">
        <f aca="false">L1540*INDEX(Parametros!$B$20:$B$22,MATCH($E1540,Parametros!$A$20:$A$22,0))</f>
        <v>62.7</v>
      </c>
      <c r="T1540" s="18" t="n">
        <f aca="false">P1540*INDEX(Parametros!$B$13:$B$16,MATCH($F1540,Parametros!$A$13:$A$16,0))</f>
        <v>131.13408</v>
      </c>
      <c r="U1540" s="21" t="n">
        <f aca="false">P1540-R1540-S1540-T1540</f>
        <v>1088.67792</v>
      </c>
      <c r="V1540" s="19" t="n">
        <f aca="false">IFERROR(U1540/P1540,0)</f>
        <v>0.332080850378483</v>
      </c>
      <c r="W1540" s="48" t="n">
        <f aca="false">B1540+INDEX(Parametros!$C$13:$C$16,MATCH($F1540,Parametros!$A$13:$A$16,0))</f>
        <v>46256</v>
      </c>
      <c r="X1540" s="31" t="s">
        <v>68</v>
      </c>
      <c r="Y1540" s="53" t="n">
        <f aca="false">IF(COUNTIF($A$2:$A1540,A1540)=1,1,0)</f>
        <v>0</v>
      </c>
    </row>
    <row r="1541" customFormat="false" ht="15" hidden="false" customHeight="false" outlineLevel="0" collapsed="false">
      <c r="A1541" s="31" t="s">
        <v>1072</v>
      </c>
      <c r="B1541" s="36" t="n">
        <v>46181</v>
      </c>
      <c r="C1541" s="49" t="n">
        <f aca="false">DATE(YEAR(B1541),MONTH(B1541),1)</f>
        <v>46174</v>
      </c>
      <c r="D1541" s="31" t="s">
        <v>223</v>
      </c>
      <c r="E1541" s="31" t="s">
        <v>43</v>
      </c>
      <c r="F1541" s="31" t="s">
        <v>46</v>
      </c>
      <c r="G1541" s="31" t="s">
        <v>59</v>
      </c>
      <c r="H1541" s="31" t="s">
        <v>179</v>
      </c>
      <c r="I1541" s="32" t="str">
        <f aca="false">INDEX(Productos!$B$2:$B$13,MATCH($H1541,Productos!$A$2:$A$13,0))</f>
        <v>Autotaladrante DIN 7504 4,8x38 zincado</v>
      </c>
      <c r="J1541" s="32" t="str">
        <f aca="false">INDEX(Productos!$C$2:$C$13,MATCH($H1541,Productos!$A$2:$A$13,0))</f>
        <v>Autotaladrante</v>
      </c>
      <c r="K1541" s="31" t="s">
        <v>246</v>
      </c>
      <c r="L1541" s="46" t="n">
        <v>48</v>
      </c>
      <c r="M1541" s="50" t="n">
        <f aca="false">INDEX(Productos!$F$2:$F$13,MATCH($H1541,Productos!$A$2:$A$13,0))</f>
        <v>29.5</v>
      </c>
      <c r="N1541" s="51" t="n">
        <v>0.158</v>
      </c>
      <c r="O1541" s="52" t="n">
        <f aca="false">M1541*(1-N1541)</f>
        <v>24.839</v>
      </c>
      <c r="P1541" s="21" t="n">
        <f aca="false">L1541*O1541</f>
        <v>1192.272</v>
      </c>
      <c r="Q1541" s="50" t="n">
        <f aca="false">INDEX(Productos!$E$2:$E$13,MATCH($H1541,Productos!$A$2:$A$13,0))*INDEX(Parametros!$B$26:$B$43,MATCH($C1541,Parametros!$A$26:$A$43,0))</f>
        <v>15.3216</v>
      </c>
      <c r="R1541" s="21" t="n">
        <f aca="false">L1541*Q1541</f>
        <v>735.4368</v>
      </c>
      <c r="S1541" s="18" t="n">
        <f aca="false">L1541*INDEX(Parametros!$B$20:$B$22,MATCH($E1541,Parametros!$A$20:$A$22,0))</f>
        <v>91.2</v>
      </c>
      <c r="T1541" s="18" t="n">
        <f aca="false">P1541*INDEX(Parametros!$B$13:$B$16,MATCH($F1541,Parametros!$A$13:$A$16,0))</f>
        <v>47.69088</v>
      </c>
      <c r="U1541" s="21" t="n">
        <f aca="false">P1541-R1541-S1541-T1541</f>
        <v>317.94432</v>
      </c>
      <c r="V1541" s="19" t="n">
        <f aca="false">IFERROR(U1541/P1541,0)</f>
        <v>0.266670960988768</v>
      </c>
      <c r="W1541" s="48" t="n">
        <f aca="false">B1541+INDEX(Parametros!$C$13:$C$16,MATCH($F1541,Parametros!$A$13:$A$16,0))</f>
        <v>46256</v>
      </c>
      <c r="X1541" s="31" t="s">
        <v>68</v>
      </c>
      <c r="Y1541" s="53" t="n">
        <f aca="false">IF(COUNTIF($A$2:$A1541,A1541)=1,1,0)</f>
        <v>0</v>
      </c>
    </row>
    <row r="1542" customFormat="false" ht="15" hidden="false" customHeight="false" outlineLevel="0" collapsed="false">
      <c r="A1542" s="31" t="s">
        <v>1073</v>
      </c>
      <c r="B1542" s="36" t="n">
        <v>46181</v>
      </c>
      <c r="C1542" s="49" t="n">
        <f aca="false">DATE(YEAR(B1542),MONTH(B1542),1)</f>
        <v>46174</v>
      </c>
      <c r="D1542" s="31" t="s">
        <v>207</v>
      </c>
      <c r="E1542" s="31" t="s">
        <v>41</v>
      </c>
      <c r="F1542" s="31" t="s">
        <v>47</v>
      </c>
      <c r="G1542" s="31" t="s">
        <v>62</v>
      </c>
      <c r="H1542" s="31" t="s">
        <v>167</v>
      </c>
      <c r="I1542" s="32" t="str">
        <f aca="false">INDEX(Productos!$B$2:$B$13,MATCH($H1542,Productos!$A$2:$A$13,0))</f>
        <v>Tornillo DIN 912 M6x25 Allen zincado</v>
      </c>
      <c r="J1542" s="32" t="str">
        <f aca="false">INDEX(Productos!$C$2:$C$13,MATCH($H1542,Productos!$A$2:$A$13,0))</f>
        <v>Métrica</v>
      </c>
      <c r="K1542" s="31" t="s">
        <v>246</v>
      </c>
      <c r="L1542" s="46" t="n">
        <v>148</v>
      </c>
      <c r="M1542" s="50" t="n">
        <f aca="false">INDEX(Productos!$F$2:$F$13,MATCH($H1542,Productos!$A$2:$A$13,0))</f>
        <v>42</v>
      </c>
      <c r="N1542" s="51" t="n">
        <v>0.058</v>
      </c>
      <c r="O1542" s="52" t="n">
        <f aca="false">M1542*(1-N1542)</f>
        <v>39.564</v>
      </c>
      <c r="P1542" s="21" t="n">
        <f aca="false">L1542*O1542</f>
        <v>5855.472</v>
      </c>
      <c r="Q1542" s="50" t="n">
        <f aca="false">INDEX(Productos!$E$2:$E$13,MATCH($H1542,Productos!$A$2:$A$13,0))*INDEX(Parametros!$B$26:$B$43,MATCH($C1542,Parametros!$A$26:$A$43,0))</f>
        <v>21.9744</v>
      </c>
      <c r="R1542" s="21" t="n">
        <f aca="false">L1542*Q1542</f>
        <v>3252.2112</v>
      </c>
      <c r="S1542" s="18" t="n">
        <f aca="false">L1542*INDEX(Parametros!$B$20:$B$22,MATCH($E1542,Parametros!$A$20:$A$22,0))</f>
        <v>125.8</v>
      </c>
      <c r="T1542" s="18" t="n">
        <f aca="false">P1542*INDEX(Parametros!$B$13:$B$16,MATCH($F1542,Parametros!$A$13:$A$16,0))</f>
        <v>204.94152</v>
      </c>
      <c r="U1542" s="21" t="n">
        <f aca="false">P1542-R1542-S1542-T1542</f>
        <v>2272.51928</v>
      </c>
      <c r="V1542" s="19" t="n">
        <f aca="false">IFERROR(U1542/P1542,0)</f>
        <v>0.388101809726014</v>
      </c>
      <c r="W1542" s="48" t="n">
        <f aca="false">B1542+INDEX(Parametros!$C$13:$C$16,MATCH($F1542,Parametros!$A$13:$A$16,0))</f>
        <v>46226</v>
      </c>
      <c r="X1542" s="31" t="s">
        <v>67</v>
      </c>
      <c r="Y1542" s="53" t="n">
        <f aca="false">IF(COUNTIF($A$2:$A1542,A1542)=1,1,0)</f>
        <v>1</v>
      </c>
    </row>
    <row r="1543" customFormat="false" ht="15" hidden="false" customHeight="false" outlineLevel="0" collapsed="false">
      <c r="A1543" s="31" t="s">
        <v>1074</v>
      </c>
      <c r="B1543" s="36" t="n">
        <v>46181</v>
      </c>
      <c r="C1543" s="49" t="n">
        <f aca="false">DATE(YEAR(B1543),MONTH(B1543),1)</f>
        <v>46174</v>
      </c>
      <c r="D1543" s="31" t="s">
        <v>223</v>
      </c>
      <c r="E1543" s="31" t="s">
        <v>43</v>
      </c>
      <c r="F1543" s="31" t="s">
        <v>46</v>
      </c>
      <c r="G1543" s="31" t="s">
        <v>59</v>
      </c>
      <c r="H1543" s="31" t="s">
        <v>163</v>
      </c>
      <c r="I1543" s="32" t="str">
        <f aca="false">INDEX(Productos!$B$2:$B$13,MATCH($H1543,Productos!$A$2:$A$13,0))</f>
        <v>Tornillo DIN 933 M6x30 rosca completa zincado</v>
      </c>
      <c r="J1543" s="32" t="str">
        <f aca="false">INDEX(Productos!$C$2:$C$13,MATCH($H1543,Productos!$A$2:$A$13,0))</f>
        <v>Métrica</v>
      </c>
      <c r="K1543" s="31" t="s">
        <v>246</v>
      </c>
      <c r="L1543" s="46" t="n">
        <v>137</v>
      </c>
      <c r="M1543" s="50" t="n">
        <f aca="false">INDEX(Productos!$F$2:$F$13,MATCH($H1543,Productos!$A$2:$A$13,0))</f>
        <v>32</v>
      </c>
      <c r="N1543" s="51" t="n">
        <v>0.165</v>
      </c>
      <c r="O1543" s="52" t="n">
        <f aca="false">M1543*(1-N1543)</f>
        <v>26.72</v>
      </c>
      <c r="P1543" s="21" t="n">
        <f aca="false">L1543*O1543</f>
        <v>3660.64</v>
      </c>
      <c r="Q1543" s="50" t="n">
        <f aca="false">INDEX(Productos!$E$2:$E$13,MATCH($H1543,Productos!$A$2:$A$13,0))*INDEX(Parametros!$B$26:$B$43,MATCH($C1543,Parametros!$A$26:$A$43,0))</f>
        <v>16.7328</v>
      </c>
      <c r="R1543" s="21" t="n">
        <f aca="false">L1543*Q1543</f>
        <v>2292.3936</v>
      </c>
      <c r="S1543" s="18" t="n">
        <f aca="false">L1543*INDEX(Parametros!$B$20:$B$22,MATCH($E1543,Parametros!$A$20:$A$22,0))</f>
        <v>260.3</v>
      </c>
      <c r="T1543" s="18" t="n">
        <f aca="false">P1543*INDEX(Parametros!$B$13:$B$16,MATCH($F1543,Parametros!$A$13:$A$16,0))</f>
        <v>146.4256</v>
      </c>
      <c r="U1543" s="21" t="n">
        <f aca="false">P1543-R1543-S1543-T1543</f>
        <v>961.5208</v>
      </c>
      <c r="V1543" s="19" t="n">
        <f aca="false">IFERROR(U1543/P1543,0)</f>
        <v>0.262664670658683</v>
      </c>
      <c r="W1543" s="48" t="n">
        <f aca="false">B1543+INDEX(Parametros!$C$13:$C$16,MATCH($F1543,Parametros!$A$13:$A$16,0))</f>
        <v>46256</v>
      </c>
      <c r="X1543" s="31" t="s">
        <v>68</v>
      </c>
      <c r="Y1543" s="53" t="n">
        <f aca="false">IF(COUNTIF($A$2:$A1543,A1543)=1,1,0)</f>
        <v>1</v>
      </c>
    </row>
    <row r="1544" customFormat="false" ht="15" hidden="false" customHeight="false" outlineLevel="0" collapsed="false">
      <c r="A1544" s="31" t="s">
        <v>1075</v>
      </c>
      <c r="B1544" s="36" t="n">
        <v>46181</v>
      </c>
      <c r="C1544" s="49" t="n">
        <f aca="false">DATE(YEAR(B1544),MONTH(B1544),1)</f>
        <v>46174</v>
      </c>
      <c r="D1544" s="31" t="s">
        <v>191</v>
      </c>
      <c r="E1544" s="31" t="s">
        <v>41</v>
      </c>
      <c r="F1544" s="31" t="s">
        <v>47</v>
      </c>
      <c r="G1544" s="31" t="s">
        <v>58</v>
      </c>
      <c r="H1544" s="31" t="s">
        <v>177</v>
      </c>
      <c r="I1544" s="32" t="str">
        <f aca="false">INDEX(Productos!$B$2:$B$13,MATCH($H1544,Productos!$A$2:$A$13,0))</f>
        <v>Tirafondo madera 6x100 cabeza plana Torx</v>
      </c>
      <c r="J1544" s="32" t="str">
        <f aca="false">INDEX(Productos!$C$2:$C$13,MATCH($H1544,Productos!$A$2:$A$13,0))</f>
        <v>Madera</v>
      </c>
      <c r="K1544" s="31" t="s">
        <v>246</v>
      </c>
      <c r="L1544" s="46" t="n">
        <v>44</v>
      </c>
      <c r="M1544" s="50" t="n">
        <f aca="false">INDEX(Productos!$F$2:$F$13,MATCH($H1544,Productos!$A$2:$A$13,0))</f>
        <v>34</v>
      </c>
      <c r="N1544" s="51" t="n">
        <v>0.081</v>
      </c>
      <c r="O1544" s="52" t="n">
        <f aca="false">M1544*(1-N1544)</f>
        <v>31.246</v>
      </c>
      <c r="P1544" s="21" t="n">
        <f aca="false">L1544*O1544</f>
        <v>1374.824</v>
      </c>
      <c r="Q1544" s="50" t="n">
        <f aca="false">INDEX(Productos!$E$2:$E$13,MATCH($H1544,Productos!$A$2:$A$13,0))*INDEX(Parametros!$B$26:$B$43,MATCH($C1544,Parametros!$A$26:$A$43,0))</f>
        <v>17.9424</v>
      </c>
      <c r="R1544" s="21" t="n">
        <f aca="false">L1544*Q1544</f>
        <v>789.4656</v>
      </c>
      <c r="S1544" s="18" t="n">
        <f aca="false">L1544*INDEX(Parametros!$B$20:$B$22,MATCH($E1544,Parametros!$A$20:$A$22,0))</f>
        <v>37.4</v>
      </c>
      <c r="T1544" s="18" t="n">
        <f aca="false">P1544*INDEX(Parametros!$B$13:$B$16,MATCH($F1544,Parametros!$A$13:$A$16,0))</f>
        <v>48.11884</v>
      </c>
      <c r="U1544" s="21" t="n">
        <f aca="false">P1544-R1544-S1544-T1544</f>
        <v>499.83956</v>
      </c>
      <c r="V1544" s="19" t="n">
        <f aca="false">IFERROR(U1544/P1544,0)</f>
        <v>0.363566216475709</v>
      </c>
      <c r="W1544" s="48" t="n">
        <f aca="false">B1544+INDEX(Parametros!$C$13:$C$16,MATCH($F1544,Parametros!$A$13:$A$16,0))</f>
        <v>46226</v>
      </c>
      <c r="X1544" s="31" t="s">
        <v>67</v>
      </c>
      <c r="Y1544" s="53" t="n">
        <f aca="false">IF(COUNTIF($A$2:$A1544,A1544)=1,1,0)</f>
        <v>1</v>
      </c>
    </row>
    <row r="1545" customFormat="false" ht="15" hidden="false" customHeight="false" outlineLevel="0" collapsed="false">
      <c r="A1545" s="31" t="s">
        <v>1075</v>
      </c>
      <c r="B1545" s="36" t="n">
        <v>46181</v>
      </c>
      <c r="C1545" s="49" t="n">
        <f aca="false">DATE(YEAR(B1545),MONTH(B1545),1)</f>
        <v>46174</v>
      </c>
      <c r="D1545" s="31" t="s">
        <v>191</v>
      </c>
      <c r="E1545" s="31" t="s">
        <v>41</v>
      </c>
      <c r="F1545" s="31" t="s">
        <v>47</v>
      </c>
      <c r="G1545" s="31" t="s">
        <v>58</v>
      </c>
      <c r="H1545" s="31" t="s">
        <v>167</v>
      </c>
      <c r="I1545" s="32" t="str">
        <f aca="false">INDEX(Productos!$B$2:$B$13,MATCH($H1545,Productos!$A$2:$A$13,0))</f>
        <v>Tornillo DIN 912 M6x25 Allen zincado</v>
      </c>
      <c r="J1545" s="32" t="str">
        <f aca="false">INDEX(Productos!$C$2:$C$13,MATCH($H1545,Productos!$A$2:$A$13,0))</f>
        <v>Métrica</v>
      </c>
      <c r="K1545" s="31" t="s">
        <v>246</v>
      </c>
      <c r="L1545" s="46" t="n">
        <v>35</v>
      </c>
      <c r="M1545" s="50" t="n">
        <f aca="false">INDEX(Productos!$F$2:$F$13,MATCH($H1545,Productos!$A$2:$A$13,0))</f>
        <v>42</v>
      </c>
      <c r="N1545" s="51" t="n">
        <v>0.07</v>
      </c>
      <c r="O1545" s="52" t="n">
        <f aca="false">M1545*(1-N1545)</f>
        <v>39.06</v>
      </c>
      <c r="P1545" s="21" t="n">
        <f aca="false">L1545*O1545</f>
        <v>1367.1</v>
      </c>
      <c r="Q1545" s="50" t="n">
        <f aca="false">INDEX(Productos!$E$2:$E$13,MATCH($H1545,Productos!$A$2:$A$13,0))*INDEX(Parametros!$B$26:$B$43,MATCH($C1545,Parametros!$A$26:$A$43,0))</f>
        <v>21.9744</v>
      </c>
      <c r="R1545" s="21" t="n">
        <f aca="false">L1545*Q1545</f>
        <v>769.104</v>
      </c>
      <c r="S1545" s="18" t="n">
        <f aca="false">L1545*INDEX(Parametros!$B$20:$B$22,MATCH($E1545,Parametros!$A$20:$A$22,0))</f>
        <v>29.75</v>
      </c>
      <c r="T1545" s="18" t="n">
        <f aca="false">P1545*INDEX(Parametros!$B$13:$B$16,MATCH($F1545,Parametros!$A$13:$A$16,0))</f>
        <v>47.8485</v>
      </c>
      <c r="U1545" s="21" t="n">
        <f aca="false">P1545-R1545-S1545-T1545</f>
        <v>520.3975</v>
      </c>
      <c r="V1545" s="19" t="n">
        <f aca="false">IFERROR(U1545/P1545,0)</f>
        <v>0.380657962109575</v>
      </c>
      <c r="W1545" s="48" t="n">
        <f aca="false">B1545+INDEX(Parametros!$C$13:$C$16,MATCH($F1545,Parametros!$A$13:$A$16,0))</f>
        <v>46226</v>
      </c>
      <c r="X1545" s="31" t="s">
        <v>67</v>
      </c>
      <c r="Y1545" s="53" t="n">
        <f aca="false">IF(COUNTIF($A$2:$A1545,A1545)=1,1,0)</f>
        <v>0</v>
      </c>
    </row>
    <row r="1546" customFormat="false" ht="15" hidden="false" customHeight="false" outlineLevel="0" collapsed="false">
      <c r="A1546" s="31" t="s">
        <v>1075</v>
      </c>
      <c r="B1546" s="36" t="n">
        <v>46181</v>
      </c>
      <c r="C1546" s="49" t="n">
        <f aca="false">DATE(YEAR(B1546),MONTH(B1546),1)</f>
        <v>46174</v>
      </c>
      <c r="D1546" s="31" t="s">
        <v>191</v>
      </c>
      <c r="E1546" s="31" t="s">
        <v>41</v>
      </c>
      <c r="F1546" s="31" t="s">
        <v>47</v>
      </c>
      <c r="G1546" s="31" t="s">
        <v>58</v>
      </c>
      <c r="H1546" s="31" t="s">
        <v>183</v>
      </c>
      <c r="I1546" s="32" t="str">
        <f aca="false">INDEX(Productos!$B$2:$B$13,MATCH($H1546,Productos!$A$2:$A$13,0))</f>
        <v>Tornillo estructural M16x90 clase 10.9</v>
      </c>
      <c r="J1546" s="32" t="str">
        <f aca="false">INDEX(Productos!$C$2:$C$13,MATCH($H1546,Productos!$A$2:$A$13,0))</f>
        <v>Especial</v>
      </c>
      <c r="K1546" s="31" t="s">
        <v>246</v>
      </c>
      <c r="L1546" s="46" t="n">
        <v>75</v>
      </c>
      <c r="M1546" s="50" t="n">
        <f aca="false">INDEX(Productos!$F$2:$F$13,MATCH($H1546,Productos!$A$2:$A$13,0))</f>
        <v>112</v>
      </c>
      <c r="N1546" s="51" t="n">
        <v>0.042</v>
      </c>
      <c r="O1546" s="52" t="n">
        <f aca="false">M1546*(1-N1546)</f>
        <v>107.296</v>
      </c>
      <c r="P1546" s="21" t="n">
        <f aca="false">L1546*O1546</f>
        <v>8047.2</v>
      </c>
      <c r="Q1546" s="50" t="n">
        <f aca="false">INDEX(Productos!$E$2:$E$13,MATCH($H1546,Productos!$A$2:$A$13,0))*INDEX(Parametros!$B$26:$B$43,MATCH($C1546,Parametros!$A$26:$A$43,0))</f>
        <v>60.48</v>
      </c>
      <c r="R1546" s="21" t="n">
        <f aca="false">L1546*Q1546</f>
        <v>4536</v>
      </c>
      <c r="S1546" s="18" t="n">
        <f aca="false">L1546*INDEX(Parametros!$B$20:$B$22,MATCH($E1546,Parametros!$A$20:$A$22,0))</f>
        <v>63.75</v>
      </c>
      <c r="T1546" s="18" t="n">
        <f aca="false">P1546*INDEX(Parametros!$B$13:$B$16,MATCH($F1546,Parametros!$A$13:$A$16,0))</f>
        <v>281.652</v>
      </c>
      <c r="U1546" s="21" t="n">
        <f aca="false">P1546-R1546-S1546-T1546</f>
        <v>3165.798</v>
      </c>
      <c r="V1546" s="19" t="n">
        <f aca="false">IFERROR(U1546/P1546,0)</f>
        <v>0.393403668356696</v>
      </c>
      <c r="W1546" s="48" t="n">
        <f aca="false">B1546+INDEX(Parametros!$C$13:$C$16,MATCH($F1546,Parametros!$A$13:$A$16,0))</f>
        <v>46226</v>
      </c>
      <c r="X1546" s="31" t="s">
        <v>67</v>
      </c>
      <c r="Y1546" s="53" t="n">
        <f aca="false">IF(COUNTIF($A$2:$A1546,A1546)=1,1,0)</f>
        <v>0</v>
      </c>
    </row>
    <row r="1547" customFormat="false" ht="15" hidden="false" customHeight="false" outlineLevel="0" collapsed="false">
      <c r="A1547" s="31" t="s">
        <v>1076</v>
      </c>
      <c r="B1547" s="36" t="n">
        <v>46182</v>
      </c>
      <c r="C1547" s="49" t="n">
        <f aca="false">DATE(YEAR(B1547),MONTH(B1547),1)</f>
        <v>46174</v>
      </c>
      <c r="D1547" s="31" t="s">
        <v>221</v>
      </c>
      <c r="E1547" s="31" t="s">
        <v>43</v>
      </c>
      <c r="F1547" s="31" t="s">
        <v>45</v>
      </c>
      <c r="G1547" s="31" t="s">
        <v>59</v>
      </c>
      <c r="H1547" s="31" t="s">
        <v>165</v>
      </c>
      <c r="I1547" s="32" t="str">
        <f aca="false">INDEX(Productos!$B$2:$B$13,MATCH($H1547,Productos!$A$2:$A$13,0))</f>
        <v>Tornillo DIN 933 M8x40 rosca completa zincado</v>
      </c>
      <c r="J1547" s="32" t="str">
        <f aca="false">INDEX(Productos!$C$2:$C$13,MATCH($H1547,Productos!$A$2:$A$13,0))</f>
        <v>Métrica</v>
      </c>
      <c r="K1547" s="31" t="s">
        <v>246</v>
      </c>
      <c r="L1547" s="46" t="n">
        <v>129</v>
      </c>
      <c r="M1547" s="50" t="n">
        <f aca="false">INDEX(Productos!$F$2:$F$13,MATCH($H1547,Productos!$A$2:$A$13,0))</f>
        <v>37.5</v>
      </c>
      <c r="N1547" s="51" t="n">
        <v>0.131</v>
      </c>
      <c r="O1547" s="52" t="n">
        <f aca="false">M1547*(1-N1547)</f>
        <v>32.5875</v>
      </c>
      <c r="P1547" s="21" t="n">
        <f aca="false">L1547*O1547</f>
        <v>4203.7875</v>
      </c>
      <c r="Q1547" s="50" t="n">
        <f aca="false">INDEX(Productos!$E$2:$E$13,MATCH($H1547,Productos!$A$2:$A$13,0))*INDEX(Parametros!$B$26:$B$43,MATCH($C1547,Parametros!$A$26:$A$43,0))</f>
        <v>19.5552</v>
      </c>
      <c r="R1547" s="21" t="n">
        <f aca="false">L1547*Q1547</f>
        <v>2522.6208</v>
      </c>
      <c r="S1547" s="18" t="n">
        <f aca="false">L1547*INDEX(Parametros!$B$20:$B$22,MATCH($E1547,Parametros!$A$20:$A$22,0))</f>
        <v>245.1</v>
      </c>
      <c r="T1547" s="18" t="n">
        <f aca="false">P1547*INDEX(Parametros!$B$13:$B$16,MATCH($F1547,Parametros!$A$13:$A$16,0))</f>
        <v>126.113625</v>
      </c>
      <c r="U1547" s="21" t="n">
        <f aca="false">P1547-R1547-S1547-T1547</f>
        <v>1309.953075</v>
      </c>
      <c r="V1547" s="19" t="n">
        <f aca="false">IFERROR(U1547/P1547,0)</f>
        <v>0.311612581511316</v>
      </c>
      <c r="W1547" s="48" t="n">
        <f aca="false">B1547+INDEX(Parametros!$C$13:$C$16,MATCH($F1547,Parametros!$A$13:$A$16,0))</f>
        <v>46242</v>
      </c>
      <c r="X1547" s="31" t="s">
        <v>68</v>
      </c>
      <c r="Y1547" s="53" t="n">
        <f aca="false">IF(COUNTIF($A$2:$A1547,A1547)=1,1,0)</f>
        <v>1</v>
      </c>
    </row>
    <row r="1548" customFormat="false" ht="15" hidden="false" customHeight="false" outlineLevel="0" collapsed="false">
      <c r="A1548" s="31" t="s">
        <v>1076</v>
      </c>
      <c r="B1548" s="36" t="n">
        <v>46182</v>
      </c>
      <c r="C1548" s="49" t="n">
        <f aca="false">DATE(YEAR(B1548),MONTH(B1548),1)</f>
        <v>46174</v>
      </c>
      <c r="D1548" s="31" t="s">
        <v>221</v>
      </c>
      <c r="E1548" s="31" t="s">
        <v>43</v>
      </c>
      <c r="F1548" s="31" t="s">
        <v>45</v>
      </c>
      <c r="G1548" s="31" t="s">
        <v>59</v>
      </c>
      <c r="H1548" s="31" t="s">
        <v>179</v>
      </c>
      <c r="I1548" s="32" t="str">
        <f aca="false">INDEX(Productos!$B$2:$B$13,MATCH($H1548,Productos!$A$2:$A$13,0))</f>
        <v>Autotaladrante DIN 7504 4,8x38 zincado</v>
      </c>
      <c r="J1548" s="32" t="str">
        <f aca="false">INDEX(Productos!$C$2:$C$13,MATCH($H1548,Productos!$A$2:$A$13,0))</f>
        <v>Autotaladrante</v>
      </c>
      <c r="K1548" s="31" t="s">
        <v>246</v>
      </c>
      <c r="L1548" s="46" t="n">
        <v>34</v>
      </c>
      <c r="M1548" s="50" t="n">
        <f aca="false">INDEX(Productos!$F$2:$F$13,MATCH($H1548,Productos!$A$2:$A$13,0))</f>
        <v>29.5</v>
      </c>
      <c r="N1548" s="51" t="n">
        <v>0.198</v>
      </c>
      <c r="O1548" s="52" t="n">
        <f aca="false">M1548*(1-N1548)</f>
        <v>23.659</v>
      </c>
      <c r="P1548" s="21" t="n">
        <f aca="false">L1548*O1548</f>
        <v>804.406</v>
      </c>
      <c r="Q1548" s="50" t="n">
        <f aca="false">INDEX(Productos!$E$2:$E$13,MATCH($H1548,Productos!$A$2:$A$13,0))*INDEX(Parametros!$B$26:$B$43,MATCH($C1548,Parametros!$A$26:$A$43,0))</f>
        <v>15.3216</v>
      </c>
      <c r="R1548" s="21" t="n">
        <f aca="false">L1548*Q1548</f>
        <v>520.9344</v>
      </c>
      <c r="S1548" s="18" t="n">
        <f aca="false">L1548*INDEX(Parametros!$B$20:$B$22,MATCH($E1548,Parametros!$A$20:$A$22,0))</f>
        <v>64.6</v>
      </c>
      <c r="T1548" s="18" t="n">
        <f aca="false">P1548*INDEX(Parametros!$B$13:$B$16,MATCH($F1548,Parametros!$A$13:$A$16,0))</f>
        <v>24.13218</v>
      </c>
      <c r="U1548" s="21" t="n">
        <f aca="false">P1548-R1548-S1548-T1548</f>
        <v>194.73942</v>
      </c>
      <c r="V1548" s="19" t="n">
        <f aca="false">IFERROR(U1548/P1548,0)</f>
        <v>0.24209095904307</v>
      </c>
      <c r="W1548" s="48" t="n">
        <f aca="false">B1548+INDEX(Parametros!$C$13:$C$16,MATCH($F1548,Parametros!$A$13:$A$16,0))</f>
        <v>46242</v>
      </c>
      <c r="X1548" s="31" t="s">
        <v>68</v>
      </c>
      <c r="Y1548" s="53" t="n">
        <f aca="false">IF(COUNTIF($A$2:$A1548,A1548)=1,1,0)</f>
        <v>0</v>
      </c>
    </row>
    <row r="1549" customFormat="false" ht="15" hidden="false" customHeight="false" outlineLevel="0" collapsed="false">
      <c r="A1549" s="31" t="s">
        <v>1076</v>
      </c>
      <c r="B1549" s="36" t="n">
        <v>46182</v>
      </c>
      <c r="C1549" s="49" t="n">
        <f aca="false">DATE(YEAR(B1549),MONTH(B1549),1)</f>
        <v>46174</v>
      </c>
      <c r="D1549" s="31" t="s">
        <v>221</v>
      </c>
      <c r="E1549" s="31" t="s">
        <v>43</v>
      </c>
      <c r="F1549" s="31" t="s">
        <v>45</v>
      </c>
      <c r="G1549" s="31" t="s">
        <v>59</v>
      </c>
      <c r="H1549" s="31" t="s">
        <v>163</v>
      </c>
      <c r="I1549" s="32" t="str">
        <f aca="false">INDEX(Productos!$B$2:$B$13,MATCH($H1549,Productos!$A$2:$A$13,0))</f>
        <v>Tornillo DIN 933 M6x30 rosca completa zincado</v>
      </c>
      <c r="J1549" s="32" t="str">
        <f aca="false">INDEX(Productos!$C$2:$C$13,MATCH($H1549,Productos!$A$2:$A$13,0))</f>
        <v>Métrica</v>
      </c>
      <c r="K1549" s="31" t="s">
        <v>246</v>
      </c>
      <c r="L1549" s="46" t="n">
        <v>298</v>
      </c>
      <c r="M1549" s="50" t="n">
        <f aca="false">INDEX(Productos!$F$2:$F$13,MATCH($H1549,Productos!$A$2:$A$13,0))</f>
        <v>32</v>
      </c>
      <c r="N1549" s="51" t="n">
        <v>0.196</v>
      </c>
      <c r="O1549" s="52" t="n">
        <f aca="false">M1549*(1-N1549)</f>
        <v>25.728</v>
      </c>
      <c r="P1549" s="21" t="n">
        <f aca="false">L1549*O1549</f>
        <v>7666.944</v>
      </c>
      <c r="Q1549" s="50" t="n">
        <f aca="false">INDEX(Productos!$E$2:$E$13,MATCH($H1549,Productos!$A$2:$A$13,0))*INDEX(Parametros!$B$26:$B$43,MATCH($C1549,Parametros!$A$26:$A$43,0))</f>
        <v>16.7328</v>
      </c>
      <c r="R1549" s="21" t="n">
        <f aca="false">L1549*Q1549</f>
        <v>4986.3744</v>
      </c>
      <c r="S1549" s="18" t="n">
        <f aca="false">L1549*INDEX(Parametros!$B$20:$B$22,MATCH($E1549,Parametros!$A$20:$A$22,0))</f>
        <v>566.2</v>
      </c>
      <c r="T1549" s="18" t="n">
        <f aca="false">P1549*INDEX(Parametros!$B$13:$B$16,MATCH($F1549,Parametros!$A$13:$A$16,0))</f>
        <v>230.00832</v>
      </c>
      <c r="U1549" s="21" t="n">
        <f aca="false">P1549-R1549-S1549-T1549</f>
        <v>1884.36128</v>
      </c>
      <c r="V1549" s="19" t="n">
        <f aca="false">IFERROR(U1549/P1549,0)</f>
        <v>0.24577736318408</v>
      </c>
      <c r="W1549" s="48" t="n">
        <f aca="false">B1549+INDEX(Parametros!$C$13:$C$16,MATCH($F1549,Parametros!$A$13:$A$16,0))</f>
        <v>46242</v>
      </c>
      <c r="X1549" s="31" t="s">
        <v>68</v>
      </c>
      <c r="Y1549" s="53" t="n">
        <f aca="false">IF(COUNTIF($A$2:$A1549,A1549)=1,1,0)</f>
        <v>0</v>
      </c>
    </row>
    <row r="1550" customFormat="false" ht="15" hidden="false" customHeight="false" outlineLevel="0" collapsed="false">
      <c r="A1550" s="31" t="s">
        <v>1077</v>
      </c>
      <c r="B1550" s="36" t="n">
        <v>46182</v>
      </c>
      <c r="C1550" s="49" t="n">
        <f aca="false">DATE(YEAR(B1550),MONTH(B1550),1)</f>
        <v>46174</v>
      </c>
      <c r="D1550" s="31" t="s">
        <v>203</v>
      </c>
      <c r="E1550" s="31" t="s">
        <v>41</v>
      </c>
      <c r="F1550" s="31" t="s">
        <v>46</v>
      </c>
      <c r="G1550" s="31" t="s">
        <v>58</v>
      </c>
      <c r="H1550" s="31" t="s">
        <v>181</v>
      </c>
      <c r="I1550" s="32" t="str">
        <f aca="false">INDEX(Productos!$B$2:$B$13,MATCH($H1550,Productos!$A$2:$A$13,0))</f>
        <v>Autotaladrante 5,5x55 punta broca</v>
      </c>
      <c r="J1550" s="32" t="str">
        <f aca="false">INDEX(Productos!$C$2:$C$13,MATCH($H1550,Productos!$A$2:$A$13,0))</f>
        <v>Autotaladrante</v>
      </c>
      <c r="K1550" s="31" t="s">
        <v>246</v>
      </c>
      <c r="L1550" s="46" t="n">
        <v>116</v>
      </c>
      <c r="M1550" s="50" t="n">
        <f aca="false">INDEX(Productos!$F$2:$F$13,MATCH($H1550,Productos!$A$2:$A$13,0))</f>
        <v>39</v>
      </c>
      <c r="N1550" s="51" t="n">
        <v>0.086</v>
      </c>
      <c r="O1550" s="52" t="n">
        <f aca="false">M1550*(1-N1550)</f>
        <v>35.646</v>
      </c>
      <c r="P1550" s="21" t="n">
        <f aca="false">L1550*O1550</f>
        <v>4134.936</v>
      </c>
      <c r="Q1550" s="50" t="n">
        <f aca="false">INDEX(Productos!$E$2:$E$13,MATCH($H1550,Productos!$A$2:$A$13,0))*INDEX(Parametros!$B$26:$B$43,MATCH($C1550,Parametros!$A$26:$A$43,0))</f>
        <v>20.4624</v>
      </c>
      <c r="R1550" s="21" t="n">
        <f aca="false">L1550*Q1550</f>
        <v>2373.6384</v>
      </c>
      <c r="S1550" s="18" t="n">
        <f aca="false">L1550*INDEX(Parametros!$B$20:$B$22,MATCH($E1550,Parametros!$A$20:$A$22,0))</f>
        <v>98.6</v>
      </c>
      <c r="T1550" s="18" t="n">
        <f aca="false">P1550*INDEX(Parametros!$B$13:$B$16,MATCH($F1550,Parametros!$A$13:$A$16,0))</f>
        <v>165.39744</v>
      </c>
      <c r="U1550" s="21" t="n">
        <f aca="false">P1550-R1550-S1550-T1550</f>
        <v>1497.30016</v>
      </c>
      <c r="V1550" s="19" t="n">
        <f aca="false">IFERROR(U1550/P1550,0)</f>
        <v>0.36210963361948</v>
      </c>
      <c r="W1550" s="48" t="n">
        <f aca="false">B1550+INDEX(Parametros!$C$13:$C$16,MATCH($F1550,Parametros!$A$13:$A$16,0))</f>
        <v>46257</v>
      </c>
      <c r="X1550" s="31" t="s">
        <v>68</v>
      </c>
      <c r="Y1550" s="53" t="n">
        <f aca="false">IF(COUNTIF($A$2:$A1550,A1550)=1,1,0)</f>
        <v>1</v>
      </c>
    </row>
    <row r="1551" customFormat="false" ht="15" hidden="false" customHeight="false" outlineLevel="0" collapsed="false">
      <c r="A1551" s="31" t="s">
        <v>1078</v>
      </c>
      <c r="B1551" s="36" t="n">
        <v>46182</v>
      </c>
      <c r="C1551" s="49" t="n">
        <f aca="false">DATE(YEAR(B1551),MONTH(B1551),1)</f>
        <v>46174</v>
      </c>
      <c r="D1551" s="31" t="s">
        <v>208</v>
      </c>
      <c r="E1551" s="31" t="s">
        <v>41</v>
      </c>
      <c r="F1551" s="31" t="s">
        <v>46</v>
      </c>
      <c r="G1551" s="31" t="s">
        <v>58</v>
      </c>
      <c r="H1551" s="31" t="s">
        <v>183</v>
      </c>
      <c r="I1551" s="32" t="str">
        <f aca="false">INDEX(Productos!$B$2:$B$13,MATCH($H1551,Productos!$A$2:$A$13,0))</f>
        <v>Tornillo estructural M16x90 clase 10.9</v>
      </c>
      <c r="J1551" s="32" t="str">
        <f aca="false">INDEX(Productos!$C$2:$C$13,MATCH($H1551,Productos!$A$2:$A$13,0))</f>
        <v>Especial</v>
      </c>
      <c r="K1551" s="31" t="s">
        <v>246</v>
      </c>
      <c r="L1551" s="46" t="n">
        <v>69</v>
      </c>
      <c r="M1551" s="50" t="n">
        <f aca="false">INDEX(Productos!$F$2:$F$13,MATCH($H1551,Productos!$A$2:$A$13,0))</f>
        <v>112</v>
      </c>
      <c r="N1551" s="51" t="n">
        <v>0.134</v>
      </c>
      <c r="O1551" s="52" t="n">
        <f aca="false">M1551*(1-N1551)</f>
        <v>96.992</v>
      </c>
      <c r="P1551" s="21" t="n">
        <f aca="false">L1551*O1551</f>
        <v>6692.448</v>
      </c>
      <c r="Q1551" s="50" t="n">
        <f aca="false">INDEX(Productos!$E$2:$E$13,MATCH($H1551,Productos!$A$2:$A$13,0))*INDEX(Parametros!$B$26:$B$43,MATCH($C1551,Parametros!$A$26:$A$43,0))</f>
        <v>60.48</v>
      </c>
      <c r="R1551" s="21" t="n">
        <f aca="false">L1551*Q1551</f>
        <v>4173.12</v>
      </c>
      <c r="S1551" s="18" t="n">
        <f aca="false">L1551*INDEX(Parametros!$B$20:$B$22,MATCH($E1551,Parametros!$A$20:$A$22,0))</f>
        <v>58.65</v>
      </c>
      <c r="T1551" s="18" t="n">
        <f aca="false">P1551*INDEX(Parametros!$B$13:$B$16,MATCH($F1551,Parametros!$A$13:$A$16,0))</f>
        <v>267.69792</v>
      </c>
      <c r="U1551" s="21" t="n">
        <f aca="false">P1551-R1551-S1551-T1551</f>
        <v>2192.98008</v>
      </c>
      <c r="V1551" s="19" t="n">
        <f aca="false">IFERROR(U1551/P1551,0)</f>
        <v>0.327679808644012</v>
      </c>
      <c r="W1551" s="48" t="n">
        <f aca="false">B1551+INDEX(Parametros!$C$13:$C$16,MATCH($F1551,Parametros!$A$13:$A$16,0))</f>
        <v>46257</v>
      </c>
      <c r="X1551" s="31" t="s">
        <v>68</v>
      </c>
      <c r="Y1551" s="53" t="n">
        <f aca="false">IF(COUNTIF($A$2:$A1551,A1551)=1,1,0)</f>
        <v>1</v>
      </c>
    </row>
    <row r="1552" customFormat="false" ht="15" hidden="false" customHeight="false" outlineLevel="0" collapsed="false">
      <c r="A1552" s="31" t="s">
        <v>1078</v>
      </c>
      <c r="B1552" s="36" t="n">
        <v>46182</v>
      </c>
      <c r="C1552" s="49" t="n">
        <f aca="false">DATE(YEAR(B1552),MONTH(B1552),1)</f>
        <v>46174</v>
      </c>
      <c r="D1552" s="31" t="s">
        <v>208</v>
      </c>
      <c r="E1552" s="31" t="s">
        <v>41</v>
      </c>
      <c r="F1552" s="31" t="s">
        <v>46</v>
      </c>
      <c r="G1552" s="31" t="s">
        <v>58</v>
      </c>
      <c r="H1552" s="31" t="s">
        <v>177</v>
      </c>
      <c r="I1552" s="32" t="str">
        <f aca="false">INDEX(Productos!$B$2:$B$13,MATCH($H1552,Productos!$A$2:$A$13,0))</f>
        <v>Tirafondo madera 6x100 cabeza plana Torx</v>
      </c>
      <c r="J1552" s="32" t="str">
        <f aca="false">INDEX(Productos!$C$2:$C$13,MATCH($H1552,Productos!$A$2:$A$13,0))</f>
        <v>Madera</v>
      </c>
      <c r="K1552" s="31" t="s">
        <v>246</v>
      </c>
      <c r="L1552" s="46" t="n">
        <v>54</v>
      </c>
      <c r="M1552" s="50" t="n">
        <f aca="false">INDEX(Productos!$F$2:$F$13,MATCH($H1552,Productos!$A$2:$A$13,0))</f>
        <v>34</v>
      </c>
      <c r="N1552" s="51" t="n">
        <v>0.127</v>
      </c>
      <c r="O1552" s="52" t="n">
        <f aca="false">M1552*(1-N1552)</f>
        <v>29.682</v>
      </c>
      <c r="P1552" s="21" t="n">
        <f aca="false">L1552*O1552</f>
        <v>1602.828</v>
      </c>
      <c r="Q1552" s="50" t="n">
        <f aca="false">INDEX(Productos!$E$2:$E$13,MATCH($H1552,Productos!$A$2:$A$13,0))*INDEX(Parametros!$B$26:$B$43,MATCH($C1552,Parametros!$A$26:$A$43,0))</f>
        <v>17.9424</v>
      </c>
      <c r="R1552" s="21" t="n">
        <f aca="false">L1552*Q1552</f>
        <v>968.8896</v>
      </c>
      <c r="S1552" s="18" t="n">
        <f aca="false">L1552*INDEX(Parametros!$B$20:$B$22,MATCH($E1552,Parametros!$A$20:$A$22,0))</f>
        <v>45.9</v>
      </c>
      <c r="T1552" s="18" t="n">
        <f aca="false">P1552*INDEX(Parametros!$B$13:$B$16,MATCH($F1552,Parametros!$A$13:$A$16,0))</f>
        <v>64.11312</v>
      </c>
      <c r="U1552" s="21" t="n">
        <f aca="false">P1552-R1552-S1552-T1552</f>
        <v>523.92528</v>
      </c>
      <c r="V1552" s="19" t="n">
        <f aca="false">IFERROR(U1552/P1552,0)</f>
        <v>0.326875547469847</v>
      </c>
      <c r="W1552" s="48" t="n">
        <f aca="false">B1552+INDEX(Parametros!$C$13:$C$16,MATCH($F1552,Parametros!$A$13:$A$16,0))</f>
        <v>46257</v>
      </c>
      <c r="X1552" s="31" t="s">
        <v>68</v>
      </c>
      <c r="Y1552" s="53" t="n">
        <f aca="false">IF(COUNTIF($A$2:$A1552,A1552)=1,1,0)</f>
        <v>0</v>
      </c>
    </row>
    <row r="1553" customFormat="false" ht="15" hidden="false" customHeight="false" outlineLevel="0" collapsed="false">
      <c r="A1553" s="31" t="s">
        <v>1079</v>
      </c>
      <c r="B1553" s="36" t="n">
        <v>46182</v>
      </c>
      <c r="C1553" s="49" t="n">
        <f aca="false">DATE(YEAR(B1553),MONTH(B1553),1)</f>
        <v>46174</v>
      </c>
      <c r="D1553" s="31" t="s">
        <v>212</v>
      </c>
      <c r="E1553" s="31" t="s">
        <v>42</v>
      </c>
      <c r="F1553" s="31" t="s">
        <v>45</v>
      </c>
      <c r="G1553" s="31" t="s">
        <v>61</v>
      </c>
      <c r="H1553" s="31" t="s">
        <v>169</v>
      </c>
      <c r="I1553" s="32" t="str">
        <f aca="false">INDEX(Productos!$B$2:$B$13,MATCH($H1553,Productos!$A$2:$A$13,0))</f>
        <v>Tornillo DIN 912 M10x60 Allen inox A2</v>
      </c>
      <c r="J1553" s="32" t="str">
        <f aca="false">INDEX(Productos!$C$2:$C$13,MATCH($H1553,Productos!$A$2:$A$13,0))</f>
        <v>Inoxidable</v>
      </c>
      <c r="K1553" s="31" t="s">
        <v>246</v>
      </c>
      <c r="L1553" s="46" t="n">
        <v>125</v>
      </c>
      <c r="M1553" s="50" t="n">
        <f aca="false">INDEX(Productos!$F$2:$F$13,MATCH($H1553,Productos!$A$2:$A$13,0))</f>
        <v>79</v>
      </c>
      <c r="N1553" s="51" t="n">
        <v>0.121</v>
      </c>
      <c r="O1553" s="52" t="n">
        <f aca="false">M1553*(1-N1553)</f>
        <v>69.441</v>
      </c>
      <c r="P1553" s="21" t="n">
        <f aca="false">L1553*O1553</f>
        <v>8680.125</v>
      </c>
      <c r="Q1553" s="50" t="n">
        <f aca="false">INDEX(Productos!$E$2:$E$13,MATCH($H1553,Productos!$A$2:$A$13,0))*INDEX(Parametros!$B$26:$B$43,MATCH($C1553,Parametros!$A$26:$A$43,0))</f>
        <v>42.336</v>
      </c>
      <c r="R1553" s="21" t="n">
        <f aca="false">L1553*Q1553</f>
        <v>5292</v>
      </c>
      <c r="S1553" s="18" t="n">
        <f aca="false">L1553*INDEX(Parametros!$B$20:$B$22,MATCH($E1553,Parametros!$A$20:$A$22,0))</f>
        <v>300</v>
      </c>
      <c r="T1553" s="18" t="n">
        <f aca="false">P1553*INDEX(Parametros!$B$13:$B$16,MATCH($F1553,Parametros!$A$13:$A$16,0))</f>
        <v>260.40375</v>
      </c>
      <c r="U1553" s="21" t="n">
        <f aca="false">P1553-R1553-S1553-T1553</f>
        <v>2827.72125</v>
      </c>
      <c r="V1553" s="19" t="n">
        <f aca="false">IFERROR(U1553/P1553,0)</f>
        <v>0.32576964617445</v>
      </c>
      <c r="W1553" s="48" t="n">
        <f aca="false">B1553+INDEX(Parametros!$C$13:$C$16,MATCH($F1553,Parametros!$A$13:$A$16,0))</f>
        <v>46242</v>
      </c>
      <c r="X1553" s="31" t="s">
        <v>68</v>
      </c>
      <c r="Y1553" s="53" t="n">
        <f aca="false">IF(COUNTIF($A$2:$A1553,A1553)=1,1,0)</f>
        <v>1</v>
      </c>
    </row>
    <row r="1554" customFormat="false" ht="15" hidden="false" customHeight="false" outlineLevel="0" collapsed="false">
      <c r="A1554" s="31" t="s">
        <v>1079</v>
      </c>
      <c r="B1554" s="36" t="n">
        <v>46182</v>
      </c>
      <c r="C1554" s="49" t="n">
        <f aca="false">DATE(YEAR(B1554),MONTH(B1554),1)</f>
        <v>46174</v>
      </c>
      <c r="D1554" s="31" t="s">
        <v>212</v>
      </c>
      <c r="E1554" s="31" t="s">
        <v>42</v>
      </c>
      <c r="F1554" s="31" t="s">
        <v>45</v>
      </c>
      <c r="G1554" s="31" t="s">
        <v>61</v>
      </c>
      <c r="H1554" s="31" t="s">
        <v>175</v>
      </c>
      <c r="I1554" s="32" t="str">
        <f aca="false">INDEX(Productos!$B$2:$B$13,MATCH($H1554,Productos!$A$2:$A$13,0))</f>
        <v>Tirafondo madera 5x60 cabeza plana Torx</v>
      </c>
      <c r="J1554" s="32" t="str">
        <f aca="false">INDEX(Productos!$C$2:$C$13,MATCH($H1554,Productos!$A$2:$A$13,0))</f>
        <v>Madera</v>
      </c>
      <c r="K1554" s="31" t="s">
        <v>246</v>
      </c>
      <c r="L1554" s="46" t="n">
        <v>306</v>
      </c>
      <c r="M1554" s="50" t="n">
        <f aca="false">INDEX(Productos!$F$2:$F$13,MATCH($H1554,Productos!$A$2:$A$13,0))</f>
        <v>26</v>
      </c>
      <c r="N1554" s="51" t="n">
        <v>0.134</v>
      </c>
      <c r="O1554" s="52" t="n">
        <f aca="false">M1554*(1-N1554)</f>
        <v>22.516</v>
      </c>
      <c r="P1554" s="21" t="n">
        <f aca="false">L1554*O1554</f>
        <v>6889.896</v>
      </c>
      <c r="Q1554" s="50" t="n">
        <f aca="false">INDEX(Productos!$E$2:$E$13,MATCH($H1554,Productos!$A$2:$A$13,0))*INDEX(Parametros!$B$26:$B$43,MATCH($C1554,Parametros!$A$26:$A$43,0))</f>
        <v>13.5072</v>
      </c>
      <c r="R1554" s="21" t="n">
        <f aca="false">L1554*Q1554</f>
        <v>4133.2032</v>
      </c>
      <c r="S1554" s="18" t="n">
        <f aca="false">L1554*INDEX(Parametros!$B$20:$B$22,MATCH($E1554,Parametros!$A$20:$A$22,0))</f>
        <v>734.4</v>
      </c>
      <c r="T1554" s="18" t="n">
        <f aca="false">P1554*INDEX(Parametros!$B$13:$B$16,MATCH($F1554,Parametros!$A$13:$A$16,0))</f>
        <v>206.69688</v>
      </c>
      <c r="U1554" s="21" t="n">
        <f aca="false">P1554-R1554-S1554-T1554</f>
        <v>1815.59592</v>
      </c>
      <c r="V1554" s="19" t="n">
        <f aca="false">IFERROR(U1554/P1554,0)</f>
        <v>0.263515722153136</v>
      </c>
      <c r="W1554" s="48" t="n">
        <f aca="false">B1554+INDEX(Parametros!$C$13:$C$16,MATCH($F1554,Parametros!$A$13:$A$16,0))</f>
        <v>46242</v>
      </c>
      <c r="X1554" s="31" t="s">
        <v>68</v>
      </c>
      <c r="Y1554" s="53" t="n">
        <f aca="false">IF(COUNTIF($A$2:$A1554,A1554)=1,1,0)</f>
        <v>0</v>
      </c>
    </row>
    <row r="1555" customFormat="false" ht="15" hidden="false" customHeight="false" outlineLevel="0" collapsed="false">
      <c r="A1555" s="31" t="s">
        <v>1080</v>
      </c>
      <c r="B1555" s="36" t="n">
        <v>46182</v>
      </c>
      <c r="C1555" s="49" t="n">
        <f aca="false">DATE(YEAR(B1555),MONTH(B1555),1)</f>
        <v>46174</v>
      </c>
      <c r="D1555" s="31" t="s">
        <v>192</v>
      </c>
      <c r="E1555" s="31" t="s">
        <v>41</v>
      </c>
      <c r="F1555" s="31" t="s">
        <v>45</v>
      </c>
      <c r="G1555" s="31" t="s">
        <v>58</v>
      </c>
      <c r="H1555" s="31" t="s">
        <v>175</v>
      </c>
      <c r="I1555" s="32" t="str">
        <f aca="false">INDEX(Productos!$B$2:$B$13,MATCH($H1555,Productos!$A$2:$A$13,0))</f>
        <v>Tirafondo madera 5x60 cabeza plana Torx</v>
      </c>
      <c r="J1555" s="32" t="str">
        <f aca="false">INDEX(Productos!$C$2:$C$13,MATCH($H1555,Productos!$A$2:$A$13,0))</f>
        <v>Madera</v>
      </c>
      <c r="K1555" s="31" t="s">
        <v>246</v>
      </c>
      <c r="L1555" s="46" t="n">
        <v>154</v>
      </c>
      <c r="M1555" s="50" t="n">
        <f aca="false">INDEX(Productos!$F$2:$F$13,MATCH($H1555,Productos!$A$2:$A$13,0))</f>
        <v>26</v>
      </c>
      <c r="N1555" s="51" t="n">
        <v>0.16</v>
      </c>
      <c r="O1555" s="52" t="n">
        <f aca="false">M1555*(1-N1555)</f>
        <v>21.84</v>
      </c>
      <c r="P1555" s="21" t="n">
        <f aca="false">L1555*O1555</f>
        <v>3363.36</v>
      </c>
      <c r="Q1555" s="50" t="n">
        <f aca="false">INDEX(Productos!$E$2:$E$13,MATCH($H1555,Productos!$A$2:$A$13,0))*INDEX(Parametros!$B$26:$B$43,MATCH($C1555,Parametros!$A$26:$A$43,0))</f>
        <v>13.5072</v>
      </c>
      <c r="R1555" s="21" t="n">
        <f aca="false">L1555*Q1555</f>
        <v>2080.1088</v>
      </c>
      <c r="S1555" s="18" t="n">
        <f aca="false">L1555*INDEX(Parametros!$B$20:$B$22,MATCH($E1555,Parametros!$A$20:$A$22,0))</f>
        <v>130.9</v>
      </c>
      <c r="T1555" s="18" t="n">
        <f aca="false">P1555*INDEX(Parametros!$B$13:$B$16,MATCH($F1555,Parametros!$A$13:$A$16,0))</f>
        <v>100.9008</v>
      </c>
      <c r="U1555" s="21" t="n">
        <f aca="false">P1555-R1555-S1555-T1555</f>
        <v>1051.4504</v>
      </c>
      <c r="V1555" s="19" t="n">
        <f aca="false">IFERROR(U1555/P1555,0)</f>
        <v>0.312619047619048</v>
      </c>
      <c r="W1555" s="48" t="n">
        <f aca="false">B1555+INDEX(Parametros!$C$13:$C$16,MATCH($F1555,Parametros!$A$13:$A$16,0))</f>
        <v>46242</v>
      </c>
      <c r="X1555" s="31" t="s">
        <v>68</v>
      </c>
      <c r="Y1555" s="53" t="n">
        <f aca="false">IF(COUNTIF($A$2:$A1555,A1555)=1,1,0)</f>
        <v>1</v>
      </c>
    </row>
    <row r="1556" customFormat="false" ht="15" hidden="false" customHeight="false" outlineLevel="0" collapsed="false">
      <c r="A1556" s="31" t="s">
        <v>1080</v>
      </c>
      <c r="B1556" s="36" t="n">
        <v>46182</v>
      </c>
      <c r="C1556" s="49" t="n">
        <f aca="false">DATE(YEAR(B1556),MONTH(B1556),1)</f>
        <v>46174</v>
      </c>
      <c r="D1556" s="31" t="s">
        <v>192</v>
      </c>
      <c r="E1556" s="31" t="s">
        <v>41</v>
      </c>
      <c r="F1556" s="31" t="s">
        <v>45</v>
      </c>
      <c r="G1556" s="31" t="s">
        <v>58</v>
      </c>
      <c r="H1556" s="31" t="s">
        <v>185</v>
      </c>
      <c r="I1556" s="32" t="str">
        <f aca="false">INDEX(Productos!$B$2:$B$13,MATCH($H1556,Productos!$A$2:$A$13,0))</f>
        <v>Varilla roscada M10 x 1 m zincada</v>
      </c>
      <c r="J1556" s="32" t="str">
        <f aca="false">INDEX(Productos!$C$2:$C$13,MATCH($H1556,Productos!$A$2:$A$13,0))</f>
        <v>Especial</v>
      </c>
      <c r="K1556" s="31" t="s">
        <v>246</v>
      </c>
      <c r="L1556" s="46" t="n">
        <v>126</v>
      </c>
      <c r="M1556" s="50" t="n">
        <f aca="false">INDEX(Productos!$F$2:$F$13,MATCH($H1556,Productos!$A$2:$A$13,0))</f>
        <v>54</v>
      </c>
      <c r="N1556" s="51" t="n">
        <v>0.19</v>
      </c>
      <c r="O1556" s="52" t="n">
        <f aca="false">M1556*(1-N1556)</f>
        <v>43.74</v>
      </c>
      <c r="P1556" s="21" t="n">
        <f aca="false">L1556*O1556</f>
        <v>5511.24</v>
      </c>
      <c r="Q1556" s="50" t="n">
        <f aca="false">INDEX(Productos!$E$2:$E$13,MATCH($H1556,Productos!$A$2:$A$13,0))*INDEX(Parametros!$B$26:$B$43,MATCH($C1556,Parametros!$A$26:$A$43,0))</f>
        <v>28.728</v>
      </c>
      <c r="R1556" s="21" t="n">
        <f aca="false">L1556*Q1556</f>
        <v>3619.728</v>
      </c>
      <c r="S1556" s="18" t="n">
        <f aca="false">L1556*INDEX(Parametros!$B$20:$B$22,MATCH($E1556,Parametros!$A$20:$A$22,0))</f>
        <v>107.1</v>
      </c>
      <c r="T1556" s="18" t="n">
        <f aca="false">P1556*INDEX(Parametros!$B$13:$B$16,MATCH($F1556,Parametros!$A$13:$A$16,0))</f>
        <v>165.3372</v>
      </c>
      <c r="U1556" s="21" t="n">
        <f aca="false">P1556-R1556-S1556-T1556</f>
        <v>1619.0748</v>
      </c>
      <c r="V1556" s="19" t="n">
        <f aca="false">IFERROR(U1556/P1556,0)</f>
        <v>0.293776863283036</v>
      </c>
      <c r="W1556" s="48" t="n">
        <f aca="false">B1556+INDEX(Parametros!$C$13:$C$16,MATCH($F1556,Parametros!$A$13:$A$16,0))</f>
        <v>46242</v>
      </c>
      <c r="X1556" s="31" t="s">
        <v>68</v>
      </c>
      <c r="Y1556" s="53" t="n">
        <f aca="false">IF(COUNTIF($A$2:$A1556,A1556)=1,1,0)</f>
        <v>0</v>
      </c>
    </row>
    <row r="1557" customFormat="false" ht="15" hidden="false" customHeight="false" outlineLevel="0" collapsed="false">
      <c r="A1557" s="31" t="s">
        <v>1081</v>
      </c>
      <c r="B1557" s="36" t="n">
        <v>46183</v>
      </c>
      <c r="C1557" s="49" t="n">
        <f aca="false">DATE(YEAR(B1557),MONTH(B1557),1)</f>
        <v>46174</v>
      </c>
      <c r="D1557" s="31" t="s">
        <v>217</v>
      </c>
      <c r="E1557" s="31" t="s">
        <v>42</v>
      </c>
      <c r="F1557" s="31" t="s">
        <v>47</v>
      </c>
      <c r="G1557" s="31" t="s">
        <v>61</v>
      </c>
      <c r="H1557" s="31" t="s">
        <v>163</v>
      </c>
      <c r="I1557" s="32" t="str">
        <f aca="false">INDEX(Productos!$B$2:$B$13,MATCH($H1557,Productos!$A$2:$A$13,0))</f>
        <v>Tornillo DIN 933 M6x30 rosca completa zincado</v>
      </c>
      <c r="J1557" s="32" t="str">
        <f aca="false">INDEX(Productos!$C$2:$C$13,MATCH($H1557,Productos!$A$2:$A$13,0))</f>
        <v>Métrica</v>
      </c>
      <c r="K1557" s="31" t="s">
        <v>246</v>
      </c>
      <c r="L1557" s="46" t="n">
        <v>47</v>
      </c>
      <c r="M1557" s="50" t="n">
        <f aca="false">INDEX(Productos!$F$2:$F$13,MATCH($H1557,Productos!$A$2:$A$13,0))</f>
        <v>32</v>
      </c>
      <c r="N1557" s="51" t="n">
        <v>0.065</v>
      </c>
      <c r="O1557" s="52" t="n">
        <f aca="false">M1557*(1-N1557)</f>
        <v>29.92</v>
      </c>
      <c r="P1557" s="21" t="n">
        <f aca="false">L1557*O1557</f>
        <v>1406.24</v>
      </c>
      <c r="Q1557" s="50" t="n">
        <f aca="false">INDEX(Productos!$E$2:$E$13,MATCH($H1557,Productos!$A$2:$A$13,0))*INDEX(Parametros!$B$26:$B$43,MATCH($C1557,Parametros!$A$26:$A$43,0))</f>
        <v>16.7328</v>
      </c>
      <c r="R1557" s="21" t="n">
        <f aca="false">L1557*Q1557</f>
        <v>786.4416</v>
      </c>
      <c r="S1557" s="18" t="n">
        <f aca="false">L1557*INDEX(Parametros!$B$20:$B$22,MATCH($E1557,Parametros!$A$20:$A$22,0))</f>
        <v>112.8</v>
      </c>
      <c r="T1557" s="18" t="n">
        <f aca="false">P1557*INDEX(Parametros!$B$13:$B$16,MATCH($F1557,Parametros!$A$13:$A$16,0))</f>
        <v>49.2184</v>
      </c>
      <c r="U1557" s="21" t="n">
        <f aca="false">P1557-R1557-S1557-T1557</f>
        <v>457.78</v>
      </c>
      <c r="V1557" s="19" t="n">
        <f aca="false">IFERROR(U1557/P1557,0)</f>
        <v>0.325534759358289</v>
      </c>
      <c r="W1557" s="48" t="n">
        <f aca="false">B1557+INDEX(Parametros!$C$13:$C$16,MATCH($F1557,Parametros!$A$13:$A$16,0))</f>
        <v>46228</v>
      </c>
      <c r="X1557" s="31" t="s">
        <v>67</v>
      </c>
      <c r="Y1557" s="53" t="n">
        <f aca="false">IF(COUNTIF($A$2:$A1557,A1557)=1,1,0)</f>
        <v>1</v>
      </c>
    </row>
    <row r="1558" customFormat="false" ht="15" hidden="false" customHeight="false" outlineLevel="0" collapsed="false">
      <c r="A1558" s="31" t="s">
        <v>1081</v>
      </c>
      <c r="B1558" s="36" t="n">
        <v>46183</v>
      </c>
      <c r="C1558" s="49" t="n">
        <f aca="false">DATE(YEAR(B1558),MONTH(B1558),1)</f>
        <v>46174</v>
      </c>
      <c r="D1558" s="31" t="s">
        <v>217</v>
      </c>
      <c r="E1558" s="31" t="s">
        <v>42</v>
      </c>
      <c r="F1558" s="31" t="s">
        <v>47</v>
      </c>
      <c r="G1558" s="31" t="s">
        <v>61</v>
      </c>
      <c r="H1558" s="31" t="s">
        <v>171</v>
      </c>
      <c r="I1558" s="32" t="str">
        <f aca="false">INDEX(Productos!$B$2:$B$13,MATCH($H1558,Productos!$A$2:$A$13,0))</f>
        <v>Tornillo DIN 7991 M8x30 avellanado inox A2</v>
      </c>
      <c r="J1558" s="32" t="str">
        <f aca="false">INDEX(Productos!$C$2:$C$13,MATCH($H1558,Productos!$A$2:$A$13,0))</f>
        <v>Inoxidable</v>
      </c>
      <c r="K1558" s="31" t="s">
        <v>246</v>
      </c>
      <c r="L1558" s="46" t="n">
        <v>35</v>
      </c>
      <c r="M1558" s="50" t="n">
        <f aca="false">INDEX(Productos!$F$2:$F$13,MATCH($H1558,Productos!$A$2:$A$13,0))</f>
        <v>88</v>
      </c>
      <c r="N1558" s="51" t="n">
        <v>0.077</v>
      </c>
      <c r="O1558" s="52" t="n">
        <f aca="false">M1558*(1-N1558)</f>
        <v>81.224</v>
      </c>
      <c r="P1558" s="21" t="n">
        <f aca="false">L1558*O1558</f>
        <v>2842.84</v>
      </c>
      <c r="Q1558" s="50" t="n">
        <f aca="false">INDEX(Productos!$E$2:$E$13,MATCH($H1558,Productos!$A$2:$A$13,0))*INDEX(Parametros!$B$26:$B$43,MATCH($C1558,Parametros!$A$26:$A$43,0))</f>
        <v>46.872</v>
      </c>
      <c r="R1558" s="21" t="n">
        <f aca="false">L1558*Q1558</f>
        <v>1640.52</v>
      </c>
      <c r="S1558" s="18" t="n">
        <f aca="false">L1558*INDEX(Parametros!$B$20:$B$22,MATCH($E1558,Parametros!$A$20:$A$22,0))</f>
        <v>84</v>
      </c>
      <c r="T1558" s="18" t="n">
        <f aca="false">P1558*INDEX(Parametros!$B$13:$B$16,MATCH($F1558,Parametros!$A$13:$A$16,0))</f>
        <v>99.4994</v>
      </c>
      <c r="U1558" s="21" t="n">
        <f aca="false">P1558-R1558-S1558-T1558</f>
        <v>1018.8206</v>
      </c>
      <c r="V1558" s="19" t="n">
        <f aca="false">IFERROR(U1558/P1558,0)</f>
        <v>0.358381266620703</v>
      </c>
      <c r="W1558" s="48" t="n">
        <f aca="false">B1558+INDEX(Parametros!$C$13:$C$16,MATCH($F1558,Parametros!$A$13:$A$16,0))</f>
        <v>46228</v>
      </c>
      <c r="X1558" s="31" t="s">
        <v>67</v>
      </c>
      <c r="Y1558" s="53" t="n">
        <f aca="false">IF(COUNTIF($A$2:$A1558,A1558)=1,1,0)</f>
        <v>0</v>
      </c>
    </row>
    <row r="1559" customFormat="false" ht="15" hidden="false" customHeight="false" outlineLevel="0" collapsed="false">
      <c r="A1559" s="31" t="s">
        <v>1082</v>
      </c>
      <c r="B1559" s="36" t="n">
        <v>46183</v>
      </c>
      <c r="C1559" s="49" t="n">
        <f aca="false">DATE(YEAR(B1559),MONTH(B1559),1)</f>
        <v>46174</v>
      </c>
      <c r="D1559" s="31" t="s">
        <v>223</v>
      </c>
      <c r="E1559" s="31" t="s">
        <v>43</v>
      </c>
      <c r="F1559" s="31" t="s">
        <v>46</v>
      </c>
      <c r="G1559" s="31" t="s">
        <v>59</v>
      </c>
      <c r="H1559" s="31" t="s">
        <v>179</v>
      </c>
      <c r="I1559" s="32" t="str">
        <f aca="false">INDEX(Productos!$B$2:$B$13,MATCH($H1559,Productos!$A$2:$A$13,0))</f>
        <v>Autotaladrante DIN 7504 4,8x38 zincado</v>
      </c>
      <c r="J1559" s="32" t="str">
        <f aca="false">INDEX(Productos!$C$2:$C$13,MATCH($H1559,Productos!$A$2:$A$13,0))</f>
        <v>Autotaladrante</v>
      </c>
      <c r="K1559" s="31" t="s">
        <v>246</v>
      </c>
      <c r="L1559" s="46" t="n">
        <v>36</v>
      </c>
      <c r="M1559" s="50" t="n">
        <f aca="false">INDEX(Productos!$F$2:$F$13,MATCH($H1559,Productos!$A$2:$A$13,0))</f>
        <v>29.5</v>
      </c>
      <c r="N1559" s="51" t="n">
        <v>0.158</v>
      </c>
      <c r="O1559" s="52" t="n">
        <f aca="false">M1559*(1-N1559)</f>
        <v>24.839</v>
      </c>
      <c r="P1559" s="21" t="n">
        <f aca="false">L1559*O1559</f>
        <v>894.204</v>
      </c>
      <c r="Q1559" s="50" t="n">
        <f aca="false">INDEX(Productos!$E$2:$E$13,MATCH($H1559,Productos!$A$2:$A$13,0))*INDEX(Parametros!$B$26:$B$43,MATCH($C1559,Parametros!$A$26:$A$43,0))</f>
        <v>15.3216</v>
      </c>
      <c r="R1559" s="21" t="n">
        <f aca="false">L1559*Q1559</f>
        <v>551.5776</v>
      </c>
      <c r="S1559" s="18" t="n">
        <f aca="false">L1559*INDEX(Parametros!$B$20:$B$22,MATCH($E1559,Parametros!$A$20:$A$22,0))</f>
        <v>68.4</v>
      </c>
      <c r="T1559" s="18" t="n">
        <f aca="false">P1559*INDEX(Parametros!$B$13:$B$16,MATCH($F1559,Parametros!$A$13:$A$16,0))</f>
        <v>35.76816</v>
      </c>
      <c r="U1559" s="21" t="n">
        <f aca="false">P1559-R1559-S1559-T1559</f>
        <v>238.45824</v>
      </c>
      <c r="V1559" s="19" t="n">
        <f aca="false">IFERROR(U1559/P1559,0)</f>
        <v>0.266670960988768</v>
      </c>
      <c r="W1559" s="48" t="n">
        <f aca="false">B1559+INDEX(Parametros!$C$13:$C$16,MATCH($F1559,Parametros!$A$13:$A$16,0))</f>
        <v>46258</v>
      </c>
      <c r="X1559" s="31" t="s">
        <v>68</v>
      </c>
      <c r="Y1559" s="53" t="n">
        <f aca="false">IF(COUNTIF($A$2:$A1559,A1559)=1,1,0)</f>
        <v>1</v>
      </c>
    </row>
    <row r="1560" customFormat="false" ht="15" hidden="false" customHeight="false" outlineLevel="0" collapsed="false">
      <c r="A1560" s="31" t="s">
        <v>1083</v>
      </c>
      <c r="B1560" s="36" t="n">
        <v>46183</v>
      </c>
      <c r="C1560" s="49" t="n">
        <f aca="false">DATE(YEAR(B1560),MONTH(B1560),1)</f>
        <v>46174</v>
      </c>
      <c r="D1560" s="31" t="s">
        <v>201</v>
      </c>
      <c r="E1560" s="31" t="s">
        <v>41</v>
      </c>
      <c r="F1560" s="31" t="s">
        <v>46</v>
      </c>
      <c r="G1560" s="31" t="s">
        <v>62</v>
      </c>
      <c r="H1560" s="31" t="s">
        <v>167</v>
      </c>
      <c r="I1560" s="32" t="str">
        <f aca="false">INDEX(Productos!$B$2:$B$13,MATCH($H1560,Productos!$A$2:$A$13,0))</f>
        <v>Tornillo DIN 912 M6x25 Allen zincado</v>
      </c>
      <c r="J1560" s="32" t="str">
        <f aca="false">INDEX(Productos!$C$2:$C$13,MATCH($H1560,Productos!$A$2:$A$13,0))</f>
        <v>Métrica</v>
      </c>
      <c r="K1560" s="31" t="s">
        <v>246</v>
      </c>
      <c r="L1560" s="46" t="n">
        <v>79</v>
      </c>
      <c r="M1560" s="50" t="n">
        <f aca="false">INDEX(Productos!$F$2:$F$13,MATCH($H1560,Productos!$A$2:$A$13,0))</f>
        <v>42</v>
      </c>
      <c r="N1560" s="51" t="n">
        <v>0.139</v>
      </c>
      <c r="O1560" s="52" t="n">
        <f aca="false">M1560*(1-N1560)</f>
        <v>36.162</v>
      </c>
      <c r="P1560" s="21" t="n">
        <f aca="false">L1560*O1560</f>
        <v>2856.798</v>
      </c>
      <c r="Q1560" s="50" t="n">
        <f aca="false">INDEX(Productos!$E$2:$E$13,MATCH($H1560,Productos!$A$2:$A$13,0))*INDEX(Parametros!$B$26:$B$43,MATCH($C1560,Parametros!$A$26:$A$43,0))</f>
        <v>21.9744</v>
      </c>
      <c r="R1560" s="21" t="n">
        <f aca="false">L1560*Q1560</f>
        <v>1735.9776</v>
      </c>
      <c r="S1560" s="18" t="n">
        <f aca="false">L1560*INDEX(Parametros!$B$20:$B$22,MATCH($E1560,Parametros!$A$20:$A$22,0))</f>
        <v>67.15</v>
      </c>
      <c r="T1560" s="18" t="n">
        <f aca="false">P1560*INDEX(Parametros!$B$13:$B$16,MATCH($F1560,Parametros!$A$13:$A$16,0))</f>
        <v>114.27192</v>
      </c>
      <c r="U1560" s="21" t="n">
        <f aca="false">P1560-R1560-S1560-T1560</f>
        <v>939.39848</v>
      </c>
      <c r="V1560" s="19" t="n">
        <f aca="false">IFERROR(U1560/P1560,0)</f>
        <v>0.328829157679332</v>
      </c>
      <c r="W1560" s="48" t="n">
        <f aca="false">B1560+INDEX(Parametros!$C$13:$C$16,MATCH($F1560,Parametros!$A$13:$A$16,0))</f>
        <v>46258</v>
      </c>
      <c r="X1560" s="31" t="s">
        <v>68</v>
      </c>
      <c r="Y1560" s="53" t="n">
        <f aca="false">IF(COUNTIF($A$2:$A1560,A1560)=1,1,0)</f>
        <v>1</v>
      </c>
    </row>
    <row r="1561" customFormat="false" ht="15" hidden="false" customHeight="false" outlineLevel="0" collapsed="false">
      <c r="A1561" s="31" t="s">
        <v>1083</v>
      </c>
      <c r="B1561" s="36" t="n">
        <v>46183</v>
      </c>
      <c r="C1561" s="49" t="n">
        <f aca="false">DATE(YEAR(B1561),MONTH(B1561),1)</f>
        <v>46174</v>
      </c>
      <c r="D1561" s="31" t="s">
        <v>201</v>
      </c>
      <c r="E1561" s="31" t="s">
        <v>41</v>
      </c>
      <c r="F1561" s="31" t="s">
        <v>46</v>
      </c>
      <c r="G1561" s="31" t="s">
        <v>62</v>
      </c>
      <c r="H1561" s="31" t="s">
        <v>185</v>
      </c>
      <c r="I1561" s="32" t="str">
        <f aca="false">INDEX(Productos!$B$2:$B$13,MATCH($H1561,Productos!$A$2:$A$13,0))</f>
        <v>Varilla roscada M10 x 1 m zincada</v>
      </c>
      <c r="J1561" s="32" t="str">
        <f aca="false">INDEX(Productos!$C$2:$C$13,MATCH($H1561,Productos!$A$2:$A$13,0))</f>
        <v>Especial</v>
      </c>
      <c r="K1561" s="31" t="s">
        <v>246</v>
      </c>
      <c r="L1561" s="46" t="n">
        <v>98</v>
      </c>
      <c r="M1561" s="50" t="n">
        <f aca="false">INDEX(Productos!$F$2:$F$13,MATCH($H1561,Productos!$A$2:$A$13,0))</f>
        <v>54</v>
      </c>
      <c r="N1561" s="51" t="n">
        <v>0.134</v>
      </c>
      <c r="O1561" s="52" t="n">
        <f aca="false">M1561*(1-N1561)</f>
        <v>46.764</v>
      </c>
      <c r="P1561" s="21" t="n">
        <f aca="false">L1561*O1561</f>
        <v>4582.872</v>
      </c>
      <c r="Q1561" s="50" t="n">
        <f aca="false">INDEX(Productos!$E$2:$E$13,MATCH($H1561,Productos!$A$2:$A$13,0))*INDEX(Parametros!$B$26:$B$43,MATCH($C1561,Parametros!$A$26:$A$43,0))</f>
        <v>28.728</v>
      </c>
      <c r="R1561" s="21" t="n">
        <f aca="false">L1561*Q1561</f>
        <v>2815.344</v>
      </c>
      <c r="S1561" s="18" t="n">
        <f aca="false">L1561*INDEX(Parametros!$B$20:$B$22,MATCH($E1561,Parametros!$A$20:$A$22,0))</f>
        <v>83.3</v>
      </c>
      <c r="T1561" s="18" t="n">
        <f aca="false">P1561*INDEX(Parametros!$B$13:$B$16,MATCH($F1561,Parametros!$A$13:$A$16,0))</f>
        <v>183.31488</v>
      </c>
      <c r="U1561" s="21" t="n">
        <f aca="false">P1561-R1561-S1561-T1561</f>
        <v>1500.91312</v>
      </c>
      <c r="V1561" s="19" t="n">
        <f aca="false">IFERROR(U1561/P1561,0)</f>
        <v>0.327504918313232</v>
      </c>
      <c r="W1561" s="48" t="n">
        <f aca="false">B1561+INDEX(Parametros!$C$13:$C$16,MATCH($F1561,Parametros!$A$13:$A$16,0))</f>
        <v>46258</v>
      </c>
      <c r="X1561" s="31" t="s">
        <v>68</v>
      </c>
      <c r="Y1561" s="53" t="n">
        <f aca="false">IF(COUNTIF($A$2:$A1561,A1561)=1,1,0)</f>
        <v>0</v>
      </c>
    </row>
    <row r="1562" customFormat="false" ht="15" hidden="false" customHeight="false" outlineLevel="0" collapsed="false">
      <c r="A1562" s="31" t="s">
        <v>1084</v>
      </c>
      <c r="B1562" s="36" t="n">
        <v>46184</v>
      </c>
      <c r="C1562" s="49" t="n">
        <f aca="false">DATE(YEAR(B1562),MONTH(B1562),1)</f>
        <v>46174</v>
      </c>
      <c r="D1562" s="31" t="s">
        <v>218</v>
      </c>
      <c r="E1562" s="31" t="s">
        <v>42</v>
      </c>
      <c r="F1562" s="31" t="s">
        <v>45</v>
      </c>
      <c r="G1562" s="31" t="s">
        <v>61</v>
      </c>
      <c r="H1562" s="31" t="s">
        <v>185</v>
      </c>
      <c r="I1562" s="32" t="str">
        <f aca="false">INDEX(Productos!$B$2:$B$13,MATCH($H1562,Productos!$A$2:$A$13,0))</f>
        <v>Varilla roscada M10 x 1 m zincada</v>
      </c>
      <c r="J1562" s="32" t="str">
        <f aca="false">INDEX(Productos!$C$2:$C$13,MATCH($H1562,Productos!$A$2:$A$13,0))</f>
        <v>Especial</v>
      </c>
      <c r="K1562" s="31" t="s">
        <v>246</v>
      </c>
      <c r="L1562" s="46" t="n">
        <v>34</v>
      </c>
      <c r="M1562" s="50" t="n">
        <f aca="false">INDEX(Productos!$F$2:$F$13,MATCH($H1562,Productos!$A$2:$A$13,0))</f>
        <v>54</v>
      </c>
      <c r="N1562" s="51" t="n">
        <v>0.145</v>
      </c>
      <c r="O1562" s="52" t="n">
        <f aca="false">M1562*(1-N1562)</f>
        <v>46.17</v>
      </c>
      <c r="P1562" s="21" t="n">
        <f aca="false">L1562*O1562</f>
        <v>1569.78</v>
      </c>
      <c r="Q1562" s="50" t="n">
        <f aca="false">INDEX(Productos!$E$2:$E$13,MATCH($H1562,Productos!$A$2:$A$13,0))*INDEX(Parametros!$B$26:$B$43,MATCH($C1562,Parametros!$A$26:$A$43,0))</f>
        <v>28.728</v>
      </c>
      <c r="R1562" s="21" t="n">
        <f aca="false">L1562*Q1562</f>
        <v>976.752</v>
      </c>
      <c r="S1562" s="18" t="n">
        <f aca="false">L1562*INDEX(Parametros!$B$20:$B$22,MATCH($E1562,Parametros!$A$20:$A$22,0))</f>
        <v>81.6</v>
      </c>
      <c r="T1562" s="18" t="n">
        <f aca="false">P1562*INDEX(Parametros!$B$13:$B$16,MATCH($F1562,Parametros!$A$13:$A$16,0))</f>
        <v>47.0934</v>
      </c>
      <c r="U1562" s="21" t="n">
        <f aca="false">P1562-R1562-S1562-T1562</f>
        <v>464.3346</v>
      </c>
      <c r="V1562" s="19" t="n">
        <f aca="false">IFERROR(U1562/P1562,0)</f>
        <v>0.295795971410006</v>
      </c>
      <c r="W1562" s="48" t="n">
        <f aca="false">B1562+INDEX(Parametros!$C$13:$C$16,MATCH($F1562,Parametros!$A$13:$A$16,0))</f>
        <v>46244</v>
      </c>
      <c r="X1562" s="31" t="s">
        <v>68</v>
      </c>
      <c r="Y1562" s="53" t="n">
        <f aca="false">IF(COUNTIF($A$2:$A1562,A1562)=1,1,0)</f>
        <v>1</v>
      </c>
    </row>
    <row r="1563" customFormat="false" ht="15" hidden="false" customHeight="false" outlineLevel="0" collapsed="false">
      <c r="A1563" s="31" t="s">
        <v>1085</v>
      </c>
      <c r="B1563" s="36" t="n">
        <v>46184</v>
      </c>
      <c r="C1563" s="49" t="n">
        <f aca="false">DATE(YEAR(B1563),MONTH(B1563),1)</f>
        <v>46174</v>
      </c>
      <c r="D1563" s="31" t="s">
        <v>221</v>
      </c>
      <c r="E1563" s="31" t="s">
        <v>43</v>
      </c>
      <c r="F1563" s="31" t="s">
        <v>45</v>
      </c>
      <c r="G1563" s="31" t="s">
        <v>59</v>
      </c>
      <c r="H1563" s="31" t="s">
        <v>167</v>
      </c>
      <c r="I1563" s="32" t="str">
        <f aca="false">INDEX(Productos!$B$2:$B$13,MATCH($H1563,Productos!$A$2:$A$13,0))</f>
        <v>Tornillo DIN 912 M6x25 Allen zincado</v>
      </c>
      <c r="J1563" s="32" t="str">
        <f aca="false">INDEX(Productos!$C$2:$C$13,MATCH($H1563,Productos!$A$2:$A$13,0))</f>
        <v>Métrica</v>
      </c>
      <c r="K1563" s="31" t="s">
        <v>246</v>
      </c>
      <c r="L1563" s="46" t="n">
        <v>32</v>
      </c>
      <c r="M1563" s="50" t="n">
        <f aca="false">INDEX(Productos!$F$2:$F$13,MATCH($H1563,Productos!$A$2:$A$13,0))</f>
        <v>42</v>
      </c>
      <c r="N1563" s="51" t="n">
        <v>0.16</v>
      </c>
      <c r="O1563" s="52" t="n">
        <f aca="false">M1563*(1-N1563)</f>
        <v>35.28</v>
      </c>
      <c r="P1563" s="21" t="n">
        <f aca="false">L1563*O1563</f>
        <v>1128.96</v>
      </c>
      <c r="Q1563" s="50" t="n">
        <f aca="false">INDEX(Productos!$E$2:$E$13,MATCH($H1563,Productos!$A$2:$A$13,0))*INDEX(Parametros!$B$26:$B$43,MATCH($C1563,Parametros!$A$26:$A$43,0))</f>
        <v>21.9744</v>
      </c>
      <c r="R1563" s="21" t="n">
        <f aca="false">L1563*Q1563</f>
        <v>703.1808</v>
      </c>
      <c r="S1563" s="18" t="n">
        <f aca="false">L1563*INDEX(Parametros!$B$20:$B$22,MATCH($E1563,Parametros!$A$20:$A$22,0))</f>
        <v>60.8</v>
      </c>
      <c r="T1563" s="18" t="n">
        <f aca="false">P1563*INDEX(Parametros!$B$13:$B$16,MATCH($F1563,Parametros!$A$13:$A$16,0))</f>
        <v>33.8688</v>
      </c>
      <c r="U1563" s="21" t="n">
        <f aca="false">P1563-R1563-S1563-T1563</f>
        <v>331.1104</v>
      </c>
      <c r="V1563" s="19" t="n">
        <f aca="false">IFERROR(U1563/P1563,0)</f>
        <v>0.29328798185941</v>
      </c>
      <c r="W1563" s="48" t="n">
        <f aca="false">B1563+INDEX(Parametros!$C$13:$C$16,MATCH($F1563,Parametros!$A$13:$A$16,0))</f>
        <v>46244</v>
      </c>
      <c r="X1563" s="31" t="s">
        <v>68</v>
      </c>
      <c r="Y1563" s="53" t="n">
        <f aca="false">IF(COUNTIF($A$2:$A1563,A1563)=1,1,0)</f>
        <v>1</v>
      </c>
    </row>
    <row r="1564" customFormat="false" ht="15" hidden="false" customHeight="false" outlineLevel="0" collapsed="false">
      <c r="A1564" s="31" t="s">
        <v>1085</v>
      </c>
      <c r="B1564" s="36" t="n">
        <v>46184</v>
      </c>
      <c r="C1564" s="49" t="n">
        <f aca="false">DATE(YEAR(B1564),MONTH(B1564),1)</f>
        <v>46174</v>
      </c>
      <c r="D1564" s="31" t="s">
        <v>221</v>
      </c>
      <c r="E1564" s="31" t="s">
        <v>43</v>
      </c>
      <c r="F1564" s="31" t="s">
        <v>45</v>
      </c>
      <c r="G1564" s="31" t="s">
        <v>59</v>
      </c>
      <c r="H1564" s="31" t="s">
        <v>163</v>
      </c>
      <c r="I1564" s="32" t="str">
        <f aca="false">INDEX(Productos!$B$2:$B$13,MATCH($H1564,Productos!$A$2:$A$13,0))</f>
        <v>Tornillo DIN 933 M6x30 rosca completa zincado</v>
      </c>
      <c r="J1564" s="32" t="str">
        <f aca="false">INDEX(Productos!$C$2:$C$13,MATCH($H1564,Productos!$A$2:$A$13,0))</f>
        <v>Métrica</v>
      </c>
      <c r="K1564" s="31" t="s">
        <v>246</v>
      </c>
      <c r="L1564" s="46" t="n">
        <v>49</v>
      </c>
      <c r="M1564" s="50" t="n">
        <f aca="false">INDEX(Productos!$F$2:$F$13,MATCH($H1564,Productos!$A$2:$A$13,0))</f>
        <v>32</v>
      </c>
      <c r="N1564" s="51" t="n">
        <v>0.187</v>
      </c>
      <c r="O1564" s="52" t="n">
        <f aca="false">M1564*(1-N1564)</f>
        <v>26.016</v>
      </c>
      <c r="P1564" s="21" t="n">
        <f aca="false">L1564*O1564</f>
        <v>1274.784</v>
      </c>
      <c r="Q1564" s="50" t="n">
        <f aca="false">INDEX(Productos!$E$2:$E$13,MATCH($H1564,Productos!$A$2:$A$13,0))*INDEX(Parametros!$B$26:$B$43,MATCH($C1564,Parametros!$A$26:$A$43,0))</f>
        <v>16.7328</v>
      </c>
      <c r="R1564" s="21" t="n">
        <f aca="false">L1564*Q1564</f>
        <v>819.9072</v>
      </c>
      <c r="S1564" s="18" t="n">
        <f aca="false">L1564*INDEX(Parametros!$B$20:$B$22,MATCH($E1564,Parametros!$A$20:$A$22,0))</f>
        <v>93.1</v>
      </c>
      <c r="T1564" s="18" t="n">
        <f aca="false">P1564*INDEX(Parametros!$B$13:$B$16,MATCH($F1564,Parametros!$A$13:$A$16,0))</f>
        <v>38.24352</v>
      </c>
      <c r="U1564" s="21" t="n">
        <f aca="false">P1564-R1564-S1564-T1564</f>
        <v>323.53328</v>
      </c>
      <c r="V1564" s="19" t="n">
        <f aca="false">IFERROR(U1564/P1564,0)</f>
        <v>0.253794587945879</v>
      </c>
      <c r="W1564" s="48" t="n">
        <f aca="false">B1564+INDEX(Parametros!$C$13:$C$16,MATCH($F1564,Parametros!$A$13:$A$16,0))</f>
        <v>46244</v>
      </c>
      <c r="X1564" s="31" t="s">
        <v>68</v>
      </c>
      <c r="Y1564" s="53" t="n">
        <f aca="false">IF(COUNTIF($A$2:$A1564,A1564)=1,1,0)</f>
        <v>0</v>
      </c>
    </row>
    <row r="1565" customFormat="false" ht="15" hidden="false" customHeight="false" outlineLevel="0" collapsed="false">
      <c r="A1565" s="31" t="s">
        <v>1086</v>
      </c>
      <c r="B1565" s="36" t="n">
        <v>46185</v>
      </c>
      <c r="C1565" s="49" t="n">
        <f aca="false">DATE(YEAR(B1565),MONTH(B1565),1)</f>
        <v>46174</v>
      </c>
      <c r="D1565" s="31" t="s">
        <v>210</v>
      </c>
      <c r="E1565" s="31" t="s">
        <v>41</v>
      </c>
      <c r="F1565" s="31" t="s">
        <v>48</v>
      </c>
      <c r="G1565" s="31" t="s">
        <v>60</v>
      </c>
      <c r="H1565" s="31" t="s">
        <v>181</v>
      </c>
      <c r="I1565" s="32" t="str">
        <f aca="false">INDEX(Productos!$B$2:$B$13,MATCH($H1565,Productos!$A$2:$A$13,0))</f>
        <v>Autotaladrante 5,5x55 punta broca</v>
      </c>
      <c r="J1565" s="32" t="str">
        <f aca="false">INDEX(Productos!$C$2:$C$13,MATCH($H1565,Productos!$A$2:$A$13,0))</f>
        <v>Autotaladrante</v>
      </c>
      <c r="K1565" s="31" t="s">
        <v>246</v>
      </c>
      <c r="L1565" s="46" t="n">
        <v>6</v>
      </c>
      <c r="M1565" s="50" t="n">
        <f aca="false">INDEX(Productos!$F$2:$F$13,MATCH($H1565,Productos!$A$2:$A$13,0))</f>
        <v>39</v>
      </c>
      <c r="N1565" s="51" t="n">
        <v>0.005</v>
      </c>
      <c r="O1565" s="52" t="n">
        <f aca="false">M1565*(1-N1565)</f>
        <v>38.805</v>
      </c>
      <c r="P1565" s="21" t="n">
        <f aca="false">L1565*O1565</f>
        <v>232.83</v>
      </c>
      <c r="Q1565" s="50" t="n">
        <f aca="false">INDEX(Productos!$E$2:$E$13,MATCH($H1565,Productos!$A$2:$A$13,0))*INDEX(Parametros!$B$26:$B$43,MATCH($C1565,Parametros!$A$26:$A$43,0))</f>
        <v>20.4624</v>
      </c>
      <c r="R1565" s="21" t="n">
        <f aca="false">L1565*Q1565</f>
        <v>122.7744</v>
      </c>
      <c r="S1565" s="18" t="n">
        <f aca="false">L1565*INDEX(Parametros!$B$20:$B$22,MATCH($E1565,Parametros!$A$20:$A$22,0))</f>
        <v>5.1</v>
      </c>
      <c r="T1565" s="18" t="n">
        <f aca="false">P1565*INDEX(Parametros!$B$13:$B$16,MATCH($F1565,Parametros!$A$13:$A$16,0))</f>
        <v>2.3283</v>
      </c>
      <c r="U1565" s="21" t="n">
        <f aca="false">P1565-R1565-S1565-T1565</f>
        <v>102.6273</v>
      </c>
      <c r="V1565" s="19" t="n">
        <f aca="false">IFERROR(U1565/P1565,0)</f>
        <v>0.440782115706739</v>
      </c>
      <c r="W1565" s="48" t="n">
        <f aca="false">B1565+INDEX(Parametros!$C$13:$C$16,MATCH($F1565,Parametros!$A$13:$A$16,0))</f>
        <v>46185</v>
      </c>
      <c r="X1565" s="31" t="s">
        <v>67</v>
      </c>
      <c r="Y1565" s="53" t="n">
        <f aca="false">IF(COUNTIF($A$2:$A1565,A1565)=1,1,0)</f>
        <v>1</v>
      </c>
    </row>
    <row r="1566" customFormat="false" ht="15" hidden="false" customHeight="false" outlineLevel="0" collapsed="false">
      <c r="A1566" s="31" t="s">
        <v>1086</v>
      </c>
      <c r="B1566" s="36" t="n">
        <v>46185</v>
      </c>
      <c r="C1566" s="49" t="n">
        <f aca="false">DATE(YEAR(B1566),MONTH(B1566),1)</f>
        <v>46174</v>
      </c>
      <c r="D1566" s="31" t="s">
        <v>210</v>
      </c>
      <c r="E1566" s="31" t="s">
        <v>41</v>
      </c>
      <c r="F1566" s="31" t="s">
        <v>48</v>
      </c>
      <c r="G1566" s="31" t="s">
        <v>60</v>
      </c>
      <c r="H1566" s="31" t="s">
        <v>175</v>
      </c>
      <c r="I1566" s="32" t="str">
        <f aca="false">INDEX(Productos!$B$2:$B$13,MATCH($H1566,Productos!$A$2:$A$13,0))</f>
        <v>Tirafondo madera 5x60 cabeza plana Torx</v>
      </c>
      <c r="J1566" s="32" t="str">
        <f aca="false">INDEX(Productos!$C$2:$C$13,MATCH($H1566,Productos!$A$2:$A$13,0))</f>
        <v>Madera</v>
      </c>
      <c r="K1566" s="31" t="s">
        <v>246</v>
      </c>
      <c r="L1566" s="46" t="n">
        <v>14</v>
      </c>
      <c r="M1566" s="50" t="n">
        <f aca="false">INDEX(Productos!$F$2:$F$13,MATCH($H1566,Productos!$A$2:$A$13,0))</f>
        <v>26</v>
      </c>
      <c r="N1566" s="51" t="n">
        <v>0.023</v>
      </c>
      <c r="O1566" s="52" t="n">
        <f aca="false">M1566*(1-N1566)</f>
        <v>25.402</v>
      </c>
      <c r="P1566" s="21" t="n">
        <f aca="false">L1566*O1566</f>
        <v>355.628</v>
      </c>
      <c r="Q1566" s="50" t="n">
        <f aca="false">INDEX(Productos!$E$2:$E$13,MATCH($H1566,Productos!$A$2:$A$13,0))*INDEX(Parametros!$B$26:$B$43,MATCH($C1566,Parametros!$A$26:$A$43,0))</f>
        <v>13.5072</v>
      </c>
      <c r="R1566" s="21" t="n">
        <f aca="false">L1566*Q1566</f>
        <v>189.1008</v>
      </c>
      <c r="S1566" s="18" t="n">
        <f aca="false">L1566*INDEX(Parametros!$B$20:$B$22,MATCH($E1566,Parametros!$A$20:$A$22,0))</f>
        <v>11.9</v>
      </c>
      <c r="T1566" s="18" t="n">
        <f aca="false">P1566*INDEX(Parametros!$B$13:$B$16,MATCH($F1566,Parametros!$A$13:$A$16,0))</f>
        <v>3.55628</v>
      </c>
      <c r="U1566" s="21" t="n">
        <f aca="false">P1566-R1566-S1566-T1566</f>
        <v>151.07092</v>
      </c>
      <c r="V1566" s="19" t="n">
        <f aca="false">IFERROR(U1566/P1566,0)</f>
        <v>0.424800409416581</v>
      </c>
      <c r="W1566" s="48" t="n">
        <f aca="false">B1566+INDEX(Parametros!$C$13:$C$16,MATCH($F1566,Parametros!$A$13:$A$16,0))</f>
        <v>46185</v>
      </c>
      <c r="X1566" s="31" t="s">
        <v>67</v>
      </c>
      <c r="Y1566" s="53" t="n">
        <f aca="false">IF(COUNTIF($A$2:$A1566,A1566)=1,1,0)</f>
        <v>0</v>
      </c>
    </row>
    <row r="1567" customFormat="false" ht="15" hidden="false" customHeight="false" outlineLevel="0" collapsed="false">
      <c r="A1567" s="31" t="s">
        <v>1086</v>
      </c>
      <c r="B1567" s="36" t="n">
        <v>46185</v>
      </c>
      <c r="C1567" s="49" t="n">
        <f aca="false">DATE(YEAR(B1567),MONTH(B1567),1)</f>
        <v>46174</v>
      </c>
      <c r="D1567" s="31" t="s">
        <v>210</v>
      </c>
      <c r="E1567" s="31" t="s">
        <v>41</v>
      </c>
      <c r="F1567" s="31" t="s">
        <v>48</v>
      </c>
      <c r="G1567" s="31" t="s">
        <v>60</v>
      </c>
      <c r="H1567" s="31" t="s">
        <v>183</v>
      </c>
      <c r="I1567" s="32" t="str">
        <f aca="false">INDEX(Productos!$B$2:$B$13,MATCH($H1567,Productos!$A$2:$A$13,0))</f>
        <v>Tornillo estructural M16x90 clase 10.9</v>
      </c>
      <c r="J1567" s="32" t="str">
        <f aca="false">INDEX(Productos!$C$2:$C$13,MATCH($H1567,Productos!$A$2:$A$13,0))</f>
        <v>Especial</v>
      </c>
      <c r="K1567" s="31" t="s">
        <v>246</v>
      </c>
      <c r="L1567" s="46" t="n">
        <v>53</v>
      </c>
      <c r="M1567" s="50" t="n">
        <f aca="false">INDEX(Productos!$F$2:$F$13,MATCH($H1567,Productos!$A$2:$A$13,0))</f>
        <v>112</v>
      </c>
      <c r="N1567" s="51" t="n">
        <v>0.024</v>
      </c>
      <c r="O1567" s="52" t="n">
        <f aca="false">M1567*(1-N1567)</f>
        <v>109.312</v>
      </c>
      <c r="P1567" s="21" t="n">
        <f aca="false">L1567*O1567</f>
        <v>5793.536</v>
      </c>
      <c r="Q1567" s="50" t="n">
        <f aca="false">INDEX(Productos!$E$2:$E$13,MATCH($H1567,Productos!$A$2:$A$13,0))*INDEX(Parametros!$B$26:$B$43,MATCH($C1567,Parametros!$A$26:$A$43,0))</f>
        <v>60.48</v>
      </c>
      <c r="R1567" s="21" t="n">
        <f aca="false">L1567*Q1567</f>
        <v>3205.44</v>
      </c>
      <c r="S1567" s="18" t="n">
        <f aca="false">L1567*INDEX(Parametros!$B$20:$B$22,MATCH($E1567,Parametros!$A$20:$A$22,0))</f>
        <v>45.05</v>
      </c>
      <c r="T1567" s="18" t="n">
        <f aca="false">P1567*INDEX(Parametros!$B$13:$B$16,MATCH($F1567,Parametros!$A$13:$A$16,0))</f>
        <v>57.93536</v>
      </c>
      <c r="U1567" s="21" t="n">
        <f aca="false">P1567-R1567-S1567-T1567</f>
        <v>2485.11064</v>
      </c>
      <c r="V1567" s="19" t="n">
        <f aca="false">IFERROR(U1567/P1567,0)</f>
        <v>0.428945403981265</v>
      </c>
      <c r="W1567" s="48" t="n">
        <f aca="false">B1567+INDEX(Parametros!$C$13:$C$16,MATCH($F1567,Parametros!$A$13:$A$16,0))</f>
        <v>46185</v>
      </c>
      <c r="X1567" s="31" t="s">
        <v>69</v>
      </c>
      <c r="Y1567" s="53" t="n">
        <f aca="false">IF(COUNTIF($A$2:$A1567,A1567)=1,1,0)</f>
        <v>0</v>
      </c>
    </row>
    <row r="1568" customFormat="false" ht="15" hidden="false" customHeight="false" outlineLevel="0" collapsed="false">
      <c r="A1568" s="31" t="s">
        <v>1087</v>
      </c>
      <c r="B1568" s="36" t="n">
        <v>46188</v>
      </c>
      <c r="C1568" s="49" t="n">
        <f aca="false">DATE(YEAR(B1568),MONTH(B1568),1)</f>
        <v>46174</v>
      </c>
      <c r="D1568" s="31" t="s">
        <v>201</v>
      </c>
      <c r="E1568" s="31" t="s">
        <v>41</v>
      </c>
      <c r="F1568" s="31" t="s">
        <v>46</v>
      </c>
      <c r="G1568" s="31" t="s">
        <v>62</v>
      </c>
      <c r="H1568" s="31" t="s">
        <v>179</v>
      </c>
      <c r="I1568" s="32" t="str">
        <f aca="false">INDEX(Productos!$B$2:$B$13,MATCH($H1568,Productos!$A$2:$A$13,0))</f>
        <v>Autotaladrante DIN 7504 4,8x38 zincado</v>
      </c>
      <c r="J1568" s="32" t="str">
        <f aca="false">INDEX(Productos!$C$2:$C$13,MATCH($H1568,Productos!$A$2:$A$13,0))</f>
        <v>Autotaladrante</v>
      </c>
      <c r="K1568" s="31" t="s">
        <v>246</v>
      </c>
      <c r="L1568" s="46" t="n">
        <v>39</v>
      </c>
      <c r="M1568" s="50" t="n">
        <f aca="false">INDEX(Productos!$F$2:$F$13,MATCH($H1568,Productos!$A$2:$A$13,0))</f>
        <v>29.5</v>
      </c>
      <c r="N1568" s="51" t="n">
        <v>0.122</v>
      </c>
      <c r="O1568" s="52" t="n">
        <f aca="false">M1568*(1-N1568)</f>
        <v>25.901</v>
      </c>
      <c r="P1568" s="21" t="n">
        <f aca="false">L1568*O1568</f>
        <v>1010.139</v>
      </c>
      <c r="Q1568" s="50" t="n">
        <f aca="false">INDEX(Productos!$E$2:$E$13,MATCH($H1568,Productos!$A$2:$A$13,0))*INDEX(Parametros!$B$26:$B$43,MATCH($C1568,Parametros!$A$26:$A$43,0))</f>
        <v>15.3216</v>
      </c>
      <c r="R1568" s="21" t="n">
        <f aca="false">L1568*Q1568</f>
        <v>597.5424</v>
      </c>
      <c r="S1568" s="18" t="n">
        <f aca="false">L1568*INDEX(Parametros!$B$20:$B$22,MATCH($E1568,Parametros!$A$20:$A$22,0))</f>
        <v>33.15</v>
      </c>
      <c r="T1568" s="18" t="n">
        <f aca="false">P1568*INDEX(Parametros!$B$13:$B$16,MATCH($F1568,Parametros!$A$13:$A$16,0))</f>
        <v>40.40556</v>
      </c>
      <c r="U1568" s="21" t="n">
        <f aca="false">P1568-R1568-S1568-T1568</f>
        <v>339.04104</v>
      </c>
      <c r="V1568" s="19" t="n">
        <f aca="false">IFERROR(U1568/P1568,0)</f>
        <v>0.335638006254585</v>
      </c>
      <c r="W1568" s="48" t="n">
        <f aca="false">B1568+INDEX(Parametros!$C$13:$C$16,MATCH($F1568,Parametros!$A$13:$A$16,0))</f>
        <v>46263</v>
      </c>
      <c r="X1568" s="31" t="s">
        <v>68</v>
      </c>
      <c r="Y1568" s="53" t="n">
        <f aca="false">IF(COUNTIF($A$2:$A1568,A1568)=1,1,0)</f>
        <v>1</v>
      </c>
    </row>
    <row r="1569" customFormat="false" ht="15" hidden="false" customHeight="false" outlineLevel="0" collapsed="false">
      <c r="A1569" s="31" t="s">
        <v>1088</v>
      </c>
      <c r="B1569" s="36" t="n">
        <v>46188</v>
      </c>
      <c r="C1569" s="49" t="n">
        <f aca="false">DATE(YEAR(B1569),MONTH(B1569),1)</f>
        <v>46174</v>
      </c>
      <c r="D1569" s="31" t="s">
        <v>212</v>
      </c>
      <c r="E1569" s="31" t="s">
        <v>42</v>
      </c>
      <c r="F1569" s="31" t="s">
        <v>45</v>
      </c>
      <c r="G1569" s="31" t="s">
        <v>61</v>
      </c>
      <c r="H1569" s="31" t="s">
        <v>175</v>
      </c>
      <c r="I1569" s="32" t="str">
        <f aca="false">INDEX(Productos!$B$2:$B$13,MATCH($H1569,Productos!$A$2:$A$13,0))</f>
        <v>Tirafondo madera 5x60 cabeza plana Torx</v>
      </c>
      <c r="J1569" s="32" t="str">
        <f aca="false">INDEX(Productos!$C$2:$C$13,MATCH($H1569,Productos!$A$2:$A$13,0))</f>
        <v>Madera</v>
      </c>
      <c r="K1569" s="31" t="s">
        <v>246</v>
      </c>
      <c r="L1569" s="46" t="n">
        <v>43</v>
      </c>
      <c r="M1569" s="50" t="n">
        <f aca="false">INDEX(Productos!$F$2:$F$13,MATCH($H1569,Productos!$A$2:$A$13,0))</f>
        <v>26</v>
      </c>
      <c r="N1569" s="51" t="n">
        <v>0.136</v>
      </c>
      <c r="O1569" s="52" t="n">
        <f aca="false">M1569*(1-N1569)</f>
        <v>22.464</v>
      </c>
      <c r="P1569" s="21" t="n">
        <f aca="false">L1569*O1569</f>
        <v>965.952</v>
      </c>
      <c r="Q1569" s="50" t="n">
        <f aca="false">INDEX(Productos!$E$2:$E$13,MATCH($H1569,Productos!$A$2:$A$13,0))*INDEX(Parametros!$B$26:$B$43,MATCH($C1569,Parametros!$A$26:$A$43,0))</f>
        <v>13.5072</v>
      </c>
      <c r="R1569" s="21" t="n">
        <f aca="false">L1569*Q1569</f>
        <v>580.8096</v>
      </c>
      <c r="S1569" s="18" t="n">
        <f aca="false">L1569*INDEX(Parametros!$B$20:$B$22,MATCH($E1569,Parametros!$A$20:$A$22,0))</f>
        <v>103.2</v>
      </c>
      <c r="T1569" s="18" t="n">
        <f aca="false">P1569*INDEX(Parametros!$B$13:$B$16,MATCH($F1569,Parametros!$A$13:$A$16,0))</f>
        <v>28.97856</v>
      </c>
      <c r="U1569" s="21" t="n">
        <f aca="false">P1569-R1569-S1569-T1569</f>
        <v>252.96384</v>
      </c>
      <c r="V1569" s="19" t="n">
        <f aca="false">IFERROR(U1569/P1569,0)</f>
        <v>0.261880341880342</v>
      </c>
      <c r="W1569" s="48" t="n">
        <f aca="false">B1569+INDEX(Parametros!$C$13:$C$16,MATCH($F1569,Parametros!$A$13:$A$16,0))</f>
        <v>46248</v>
      </c>
      <c r="X1569" s="31" t="s">
        <v>68</v>
      </c>
      <c r="Y1569" s="53" t="n">
        <f aca="false">IF(COUNTIF($A$2:$A1569,A1569)=1,1,0)</f>
        <v>1</v>
      </c>
    </row>
    <row r="1570" customFormat="false" ht="15" hidden="false" customHeight="false" outlineLevel="0" collapsed="false">
      <c r="A1570" s="31" t="s">
        <v>1088</v>
      </c>
      <c r="B1570" s="36" t="n">
        <v>46188</v>
      </c>
      <c r="C1570" s="49" t="n">
        <f aca="false">DATE(YEAR(B1570),MONTH(B1570),1)</f>
        <v>46174</v>
      </c>
      <c r="D1570" s="31" t="s">
        <v>212</v>
      </c>
      <c r="E1570" s="31" t="s">
        <v>42</v>
      </c>
      <c r="F1570" s="31" t="s">
        <v>45</v>
      </c>
      <c r="G1570" s="31" t="s">
        <v>61</v>
      </c>
      <c r="H1570" s="31" t="s">
        <v>177</v>
      </c>
      <c r="I1570" s="32" t="str">
        <f aca="false">INDEX(Productos!$B$2:$B$13,MATCH($H1570,Productos!$A$2:$A$13,0))</f>
        <v>Tirafondo madera 6x100 cabeza plana Torx</v>
      </c>
      <c r="J1570" s="32" t="str">
        <f aca="false">INDEX(Productos!$C$2:$C$13,MATCH($H1570,Productos!$A$2:$A$13,0))</f>
        <v>Madera</v>
      </c>
      <c r="K1570" s="31" t="s">
        <v>246</v>
      </c>
      <c r="L1570" s="46" t="n">
        <v>59</v>
      </c>
      <c r="M1570" s="50" t="n">
        <f aca="false">INDEX(Productos!$F$2:$F$13,MATCH($H1570,Productos!$A$2:$A$13,0))</f>
        <v>34</v>
      </c>
      <c r="N1570" s="51" t="n">
        <v>0.215</v>
      </c>
      <c r="O1570" s="52" t="n">
        <f aca="false">M1570*(1-N1570)</f>
        <v>26.69</v>
      </c>
      <c r="P1570" s="21" t="n">
        <f aca="false">L1570*O1570</f>
        <v>1574.71</v>
      </c>
      <c r="Q1570" s="50" t="n">
        <f aca="false">INDEX(Productos!$E$2:$E$13,MATCH($H1570,Productos!$A$2:$A$13,0))*INDEX(Parametros!$B$26:$B$43,MATCH($C1570,Parametros!$A$26:$A$43,0))</f>
        <v>17.9424</v>
      </c>
      <c r="R1570" s="21" t="n">
        <f aca="false">L1570*Q1570</f>
        <v>1058.6016</v>
      </c>
      <c r="S1570" s="18" t="n">
        <f aca="false">L1570*INDEX(Parametros!$B$20:$B$22,MATCH($E1570,Parametros!$A$20:$A$22,0))</f>
        <v>141.6</v>
      </c>
      <c r="T1570" s="18" t="n">
        <f aca="false">P1570*INDEX(Parametros!$B$13:$B$16,MATCH($F1570,Parametros!$A$13:$A$16,0))</f>
        <v>47.2413</v>
      </c>
      <c r="U1570" s="21" t="n">
        <f aca="false">P1570-R1570-S1570-T1570</f>
        <v>327.2671</v>
      </c>
      <c r="V1570" s="19" t="n">
        <f aca="false">IFERROR(U1570/P1570,0)</f>
        <v>0.207826901461221</v>
      </c>
      <c r="W1570" s="48" t="n">
        <f aca="false">B1570+INDEX(Parametros!$C$13:$C$16,MATCH($F1570,Parametros!$A$13:$A$16,0))</f>
        <v>46248</v>
      </c>
      <c r="X1570" s="31" t="s">
        <v>68</v>
      </c>
      <c r="Y1570" s="53" t="n">
        <f aca="false">IF(COUNTIF($A$2:$A1570,A1570)=1,1,0)</f>
        <v>0</v>
      </c>
    </row>
    <row r="1571" customFormat="false" ht="15" hidden="false" customHeight="false" outlineLevel="0" collapsed="false">
      <c r="A1571" s="31" t="s">
        <v>1089</v>
      </c>
      <c r="B1571" s="36" t="n">
        <v>46188</v>
      </c>
      <c r="C1571" s="49" t="n">
        <f aca="false">DATE(YEAR(B1571),MONTH(B1571),1)</f>
        <v>46174</v>
      </c>
      <c r="D1571" s="31" t="s">
        <v>191</v>
      </c>
      <c r="E1571" s="31" t="s">
        <v>41</v>
      </c>
      <c r="F1571" s="31" t="s">
        <v>47</v>
      </c>
      <c r="G1571" s="31" t="s">
        <v>58</v>
      </c>
      <c r="H1571" s="31" t="s">
        <v>183</v>
      </c>
      <c r="I1571" s="32" t="str">
        <f aca="false">INDEX(Productos!$B$2:$B$13,MATCH($H1571,Productos!$A$2:$A$13,0))</f>
        <v>Tornillo estructural M16x90 clase 10.9</v>
      </c>
      <c r="J1571" s="32" t="str">
        <f aca="false">INDEX(Productos!$C$2:$C$13,MATCH($H1571,Productos!$A$2:$A$13,0))</f>
        <v>Especial</v>
      </c>
      <c r="K1571" s="31" t="s">
        <v>246</v>
      </c>
      <c r="L1571" s="46" t="n">
        <v>42</v>
      </c>
      <c r="M1571" s="50" t="n">
        <f aca="false">INDEX(Productos!$F$2:$F$13,MATCH($H1571,Productos!$A$2:$A$13,0))</f>
        <v>112</v>
      </c>
      <c r="N1571" s="51" t="n">
        <v>0.085</v>
      </c>
      <c r="O1571" s="52" t="n">
        <f aca="false">M1571*(1-N1571)</f>
        <v>102.48</v>
      </c>
      <c r="P1571" s="21" t="n">
        <f aca="false">L1571*O1571</f>
        <v>4304.16</v>
      </c>
      <c r="Q1571" s="50" t="n">
        <f aca="false">INDEX(Productos!$E$2:$E$13,MATCH($H1571,Productos!$A$2:$A$13,0))*INDEX(Parametros!$B$26:$B$43,MATCH($C1571,Parametros!$A$26:$A$43,0))</f>
        <v>60.48</v>
      </c>
      <c r="R1571" s="21" t="n">
        <f aca="false">L1571*Q1571</f>
        <v>2540.16</v>
      </c>
      <c r="S1571" s="18" t="n">
        <f aca="false">L1571*INDEX(Parametros!$B$20:$B$22,MATCH($E1571,Parametros!$A$20:$A$22,0))</f>
        <v>35.7</v>
      </c>
      <c r="T1571" s="18" t="n">
        <f aca="false">P1571*INDEX(Parametros!$B$13:$B$16,MATCH($F1571,Parametros!$A$13:$A$16,0))</f>
        <v>150.6456</v>
      </c>
      <c r="U1571" s="21" t="n">
        <f aca="false">P1571-R1571-S1571-T1571</f>
        <v>1577.6544</v>
      </c>
      <c r="V1571" s="19" t="n">
        <f aca="false">IFERROR(U1571/P1571,0)</f>
        <v>0.366541764246682</v>
      </c>
      <c r="W1571" s="48" t="n">
        <f aca="false">B1571+INDEX(Parametros!$C$13:$C$16,MATCH($F1571,Parametros!$A$13:$A$16,0))</f>
        <v>46233</v>
      </c>
      <c r="X1571" s="31" t="s">
        <v>67</v>
      </c>
      <c r="Y1571" s="53" t="n">
        <f aca="false">IF(COUNTIF($A$2:$A1571,A1571)=1,1,0)</f>
        <v>1</v>
      </c>
    </row>
    <row r="1572" customFormat="false" ht="15" hidden="false" customHeight="false" outlineLevel="0" collapsed="false">
      <c r="A1572" s="31" t="s">
        <v>1089</v>
      </c>
      <c r="B1572" s="36" t="n">
        <v>46188</v>
      </c>
      <c r="C1572" s="49" t="n">
        <f aca="false">DATE(YEAR(B1572),MONTH(B1572),1)</f>
        <v>46174</v>
      </c>
      <c r="D1572" s="31" t="s">
        <v>191</v>
      </c>
      <c r="E1572" s="31" t="s">
        <v>41</v>
      </c>
      <c r="F1572" s="31" t="s">
        <v>47</v>
      </c>
      <c r="G1572" s="31" t="s">
        <v>58</v>
      </c>
      <c r="H1572" s="31" t="s">
        <v>179</v>
      </c>
      <c r="I1572" s="32" t="str">
        <f aca="false">INDEX(Productos!$B$2:$B$13,MATCH($H1572,Productos!$A$2:$A$13,0))</f>
        <v>Autotaladrante DIN 7504 4,8x38 zincado</v>
      </c>
      <c r="J1572" s="32" t="str">
        <f aca="false">INDEX(Productos!$C$2:$C$13,MATCH($H1572,Productos!$A$2:$A$13,0))</f>
        <v>Autotaladrante</v>
      </c>
      <c r="K1572" s="31" t="s">
        <v>246</v>
      </c>
      <c r="L1572" s="46" t="n">
        <v>26</v>
      </c>
      <c r="M1572" s="50" t="n">
        <f aca="false">INDEX(Productos!$F$2:$F$13,MATCH($H1572,Productos!$A$2:$A$13,0))</f>
        <v>29.5</v>
      </c>
      <c r="N1572" s="51" t="n">
        <v>0.059</v>
      </c>
      <c r="O1572" s="52" t="n">
        <f aca="false">M1572*(1-N1572)</f>
        <v>27.7595</v>
      </c>
      <c r="P1572" s="21" t="n">
        <f aca="false">L1572*O1572</f>
        <v>721.747</v>
      </c>
      <c r="Q1572" s="50" t="n">
        <f aca="false">INDEX(Productos!$E$2:$E$13,MATCH($H1572,Productos!$A$2:$A$13,0))*INDEX(Parametros!$B$26:$B$43,MATCH($C1572,Parametros!$A$26:$A$43,0))</f>
        <v>15.3216</v>
      </c>
      <c r="R1572" s="21" t="n">
        <f aca="false">L1572*Q1572</f>
        <v>398.3616</v>
      </c>
      <c r="S1572" s="18" t="n">
        <f aca="false">L1572*INDEX(Parametros!$B$20:$B$22,MATCH($E1572,Parametros!$A$20:$A$22,0))</f>
        <v>22.1</v>
      </c>
      <c r="T1572" s="18" t="n">
        <f aca="false">P1572*INDEX(Parametros!$B$13:$B$16,MATCH($F1572,Parametros!$A$13:$A$16,0))</f>
        <v>25.261145</v>
      </c>
      <c r="U1572" s="21" t="n">
        <f aca="false">P1572-R1572-S1572-T1572</f>
        <v>276.024255</v>
      </c>
      <c r="V1572" s="19" t="n">
        <f aca="false">IFERROR(U1572/P1572,0)</f>
        <v>0.382439074911292</v>
      </c>
      <c r="W1572" s="48" t="n">
        <f aca="false">B1572+INDEX(Parametros!$C$13:$C$16,MATCH($F1572,Parametros!$A$13:$A$16,0))</f>
        <v>46233</v>
      </c>
      <c r="X1572" s="31" t="s">
        <v>67</v>
      </c>
      <c r="Y1572" s="53" t="n">
        <f aca="false">IF(COUNTIF($A$2:$A1572,A1572)=1,1,0)</f>
        <v>0</v>
      </c>
    </row>
    <row r="1573" customFormat="false" ht="15" hidden="false" customHeight="false" outlineLevel="0" collapsed="false">
      <c r="A1573" s="31" t="s">
        <v>1089</v>
      </c>
      <c r="B1573" s="36" t="n">
        <v>46188</v>
      </c>
      <c r="C1573" s="49" t="n">
        <f aca="false">DATE(YEAR(B1573),MONTH(B1573),1)</f>
        <v>46174</v>
      </c>
      <c r="D1573" s="31" t="s">
        <v>191</v>
      </c>
      <c r="E1573" s="31" t="s">
        <v>41</v>
      </c>
      <c r="F1573" s="31" t="s">
        <v>47</v>
      </c>
      <c r="G1573" s="31" t="s">
        <v>58</v>
      </c>
      <c r="H1573" s="31" t="s">
        <v>163</v>
      </c>
      <c r="I1573" s="32" t="str">
        <f aca="false">INDEX(Productos!$B$2:$B$13,MATCH($H1573,Productos!$A$2:$A$13,0))</f>
        <v>Tornillo DIN 933 M6x30 rosca completa zincado</v>
      </c>
      <c r="J1573" s="32" t="str">
        <f aca="false">INDEX(Productos!$C$2:$C$13,MATCH($H1573,Productos!$A$2:$A$13,0))</f>
        <v>Métrica</v>
      </c>
      <c r="K1573" s="31" t="s">
        <v>246</v>
      </c>
      <c r="L1573" s="46" t="n">
        <v>31</v>
      </c>
      <c r="M1573" s="50" t="n">
        <f aca="false">INDEX(Productos!$F$2:$F$13,MATCH($H1573,Productos!$A$2:$A$13,0))</f>
        <v>32</v>
      </c>
      <c r="N1573" s="51" t="n">
        <v>0.096</v>
      </c>
      <c r="O1573" s="52" t="n">
        <f aca="false">M1573*(1-N1573)</f>
        <v>28.928</v>
      </c>
      <c r="P1573" s="21" t="n">
        <f aca="false">L1573*O1573</f>
        <v>896.768</v>
      </c>
      <c r="Q1573" s="50" t="n">
        <f aca="false">INDEX(Productos!$E$2:$E$13,MATCH($H1573,Productos!$A$2:$A$13,0))*INDEX(Parametros!$B$26:$B$43,MATCH($C1573,Parametros!$A$26:$A$43,0))</f>
        <v>16.7328</v>
      </c>
      <c r="R1573" s="21" t="n">
        <f aca="false">L1573*Q1573</f>
        <v>518.7168</v>
      </c>
      <c r="S1573" s="18" t="n">
        <f aca="false">L1573*INDEX(Parametros!$B$20:$B$22,MATCH($E1573,Parametros!$A$20:$A$22,0))</f>
        <v>26.35</v>
      </c>
      <c r="T1573" s="18" t="n">
        <f aca="false">P1573*INDEX(Parametros!$B$13:$B$16,MATCH($F1573,Parametros!$A$13:$A$16,0))</f>
        <v>31.38688</v>
      </c>
      <c r="U1573" s="21" t="n">
        <f aca="false">P1573-R1573-S1573-T1573</f>
        <v>320.31432</v>
      </c>
      <c r="V1573" s="19" t="n">
        <f aca="false">IFERROR(U1573/P1573,0)</f>
        <v>0.3571875</v>
      </c>
      <c r="W1573" s="48" t="n">
        <f aca="false">B1573+INDEX(Parametros!$C$13:$C$16,MATCH($F1573,Parametros!$A$13:$A$16,0))</f>
        <v>46233</v>
      </c>
      <c r="X1573" s="31" t="s">
        <v>67</v>
      </c>
      <c r="Y1573" s="53" t="n">
        <f aca="false">IF(COUNTIF($A$2:$A1573,A1573)=1,1,0)</f>
        <v>0</v>
      </c>
    </row>
    <row r="1574" customFormat="false" ht="15" hidden="false" customHeight="false" outlineLevel="0" collapsed="false">
      <c r="A1574" s="31" t="s">
        <v>1090</v>
      </c>
      <c r="B1574" s="36" t="n">
        <v>46188</v>
      </c>
      <c r="C1574" s="49" t="n">
        <f aca="false">DATE(YEAR(B1574),MONTH(B1574),1)</f>
        <v>46174</v>
      </c>
      <c r="D1574" s="31" t="s">
        <v>221</v>
      </c>
      <c r="E1574" s="31" t="s">
        <v>43</v>
      </c>
      <c r="F1574" s="31" t="s">
        <v>45</v>
      </c>
      <c r="G1574" s="31" t="s">
        <v>59</v>
      </c>
      <c r="H1574" s="31" t="s">
        <v>165</v>
      </c>
      <c r="I1574" s="32" t="str">
        <f aca="false">INDEX(Productos!$B$2:$B$13,MATCH($H1574,Productos!$A$2:$A$13,0))</f>
        <v>Tornillo DIN 933 M8x40 rosca completa zincado</v>
      </c>
      <c r="J1574" s="32" t="str">
        <f aca="false">INDEX(Productos!$C$2:$C$13,MATCH($H1574,Productos!$A$2:$A$13,0))</f>
        <v>Métrica</v>
      </c>
      <c r="K1574" s="31" t="s">
        <v>246</v>
      </c>
      <c r="L1574" s="46" t="n">
        <v>98</v>
      </c>
      <c r="M1574" s="50" t="n">
        <f aca="false">INDEX(Productos!$F$2:$F$13,MATCH($H1574,Productos!$A$2:$A$13,0))</f>
        <v>37.5</v>
      </c>
      <c r="N1574" s="51" t="n">
        <v>0.137</v>
      </c>
      <c r="O1574" s="52" t="n">
        <f aca="false">M1574*(1-N1574)</f>
        <v>32.3625</v>
      </c>
      <c r="P1574" s="21" t="n">
        <f aca="false">L1574*O1574</f>
        <v>3171.525</v>
      </c>
      <c r="Q1574" s="50" t="n">
        <f aca="false">INDEX(Productos!$E$2:$E$13,MATCH($H1574,Productos!$A$2:$A$13,0))*INDEX(Parametros!$B$26:$B$43,MATCH($C1574,Parametros!$A$26:$A$43,0))</f>
        <v>19.5552</v>
      </c>
      <c r="R1574" s="21" t="n">
        <f aca="false">L1574*Q1574</f>
        <v>1916.4096</v>
      </c>
      <c r="S1574" s="18" t="n">
        <f aca="false">L1574*INDEX(Parametros!$B$20:$B$22,MATCH($E1574,Parametros!$A$20:$A$22,0))</f>
        <v>186.2</v>
      </c>
      <c r="T1574" s="18" t="n">
        <f aca="false">P1574*INDEX(Parametros!$B$13:$B$16,MATCH($F1574,Parametros!$A$13:$A$16,0))</f>
        <v>95.14575</v>
      </c>
      <c r="U1574" s="21" t="n">
        <f aca="false">P1574-R1574-S1574-T1574</f>
        <v>973.76965</v>
      </c>
      <c r="V1574" s="19" t="n">
        <f aca="false">IFERROR(U1574/P1574,0)</f>
        <v>0.307035148706064</v>
      </c>
      <c r="W1574" s="48" t="n">
        <f aca="false">B1574+INDEX(Parametros!$C$13:$C$16,MATCH($F1574,Parametros!$A$13:$A$16,0))</f>
        <v>46248</v>
      </c>
      <c r="X1574" s="31" t="s">
        <v>68</v>
      </c>
      <c r="Y1574" s="53" t="n">
        <f aca="false">IF(COUNTIF($A$2:$A1574,A1574)=1,1,0)</f>
        <v>1</v>
      </c>
    </row>
    <row r="1575" customFormat="false" ht="15" hidden="false" customHeight="false" outlineLevel="0" collapsed="false">
      <c r="A1575" s="31" t="s">
        <v>1091</v>
      </c>
      <c r="B1575" s="36" t="n">
        <v>46188</v>
      </c>
      <c r="C1575" s="49" t="n">
        <f aca="false">DATE(YEAR(B1575),MONTH(B1575),1)</f>
        <v>46174</v>
      </c>
      <c r="D1575" s="31" t="s">
        <v>216</v>
      </c>
      <c r="E1575" s="31" t="s">
        <v>42</v>
      </c>
      <c r="F1575" s="31" t="s">
        <v>45</v>
      </c>
      <c r="G1575" s="31" t="s">
        <v>61</v>
      </c>
      <c r="H1575" s="31" t="s">
        <v>183</v>
      </c>
      <c r="I1575" s="32" t="str">
        <f aca="false">INDEX(Productos!$B$2:$B$13,MATCH($H1575,Productos!$A$2:$A$13,0))</f>
        <v>Tornillo estructural M16x90 clase 10.9</v>
      </c>
      <c r="J1575" s="32" t="str">
        <f aca="false">INDEX(Productos!$C$2:$C$13,MATCH($H1575,Productos!$A$2:$A$13,0))</f>
        <v>Especial</v>
      </c>
      <c r="K1575" s="31" t="s">
        <v>246</v>
      </c>
      <c r="L1575" s="46" t="n">
        <v>76</v>
      </c>
      <c r="M1575" s="50" t="n">
        <f aca="false">INDEX(Productos!$F$2:$F$13,MATCH($H1575,Productos!$A$2:$A$13,0))</f>
        <v>112</v>
      </c>
      <c r="N1575" s="51" t="n">
        <v>0.15</v>
      </c>
      <c r="O1575" s="52" t="n">
        <f aca="false">M1575*(1-N1575)</f>
        <v>95.2</v>
      </c>
      <c r="P1575" s="21" t="n">
        <f aca="false">L1575*O1575</f>
        <v>7235.2</v>
      </c>
      <c r="Q1575" s="50" t="n">
        <f aca="false">INDEX(Productos!$E$2:$E$13,MATCH($H1575,Productos!$A$2:$A$13,0))*INDEX(Parametros!$B$26:$B$43,MATCH($C1575,Parametros!$A$26:$A$43,0))</f>
        <v>60.48</v>
      </c>
      <c r="R1575" s="21" t="n">
        <f aca="false">L1575*Q1575</f>
        <v>4596.48</v>
      </c>
      <c r="S1575" s="18" t="n">
        <f aca="false">L1575*INDEX(Parametros!$B$20:$B$22,MATCH($E1575,Parametros!$A$20:$A$22,0))</f>
        <v>182.4</v>
      </c>
      <c r="T1575" s="18" t="n">
        <f aca="false">P1575*INDEX(Parametros!$B$13:$B$16,MATCH($F1575,Parametros!$A$13:$A$16,0))</f>
        <v>217.056</v>
      </c>
      <c r="U1575" s="21" t="n">
        <f aca="false">P1575-R1575-S1575-T1575</f>
        <v>2239.264</v>
      </c>
      <c r="V1575" s="19" t="n">
        <f aca="false">IFERROR(U1575/P1575,0)</f>
        <v>0.309495798319328</v>
      </c>
      <c r="W1575" s="48" t="n">
        <f aca="false">B1575+INDEX(Parametros!$C$13:$C$16,MATCH($F1575,Parametros!$A$13:$A$16,0))</f>
        <v>46248</v>
      </c>
      <c r="X1575" s="31" t="s">
        <v>68</v>
      </c>
      <c r="Y1575" s="53" t="n">
        <f aca="false">IF(COUNTIF($A$2:$A1575,A1575)=1,1,0)</f>
        <v>1</v>
      </c>
    </row>
    <row r="1576" customFormat="false" ht="15" hidden="false" customHeight="false" outlineLevel="0" collapsed="false">
      <c r="A1576" s="31" t="s">
        <v>1092</v>
      </c>
      <c r="B1576" s="36" t="n">
        <v>46188</v>
      </c>
      <c r="C1576" s="49" t="n">
        <f aca="false">DATE(YEAR(B1576),MONTH(B1576),1)</f>
        <v>46174</v>
      </c>
      <c r="D1576" s="31" t="s">
        <v>193</v>
      </c>
      <c r="E1576" s="31" t="s">
        <v>41</v>
      </c>
      <c r="F1576" s="31" t="s">
        <v>45</v>
      </c>
      <c r="G1576" s="31" t="s">
        <v>62</v>
      </c>
      <c r="H1576" s="31" t="s">
        <v>171</v>
      </c>
      <c r="I1576" s="32" t="str">
        <f aca="false">INDEX(Productos!$B$2:$B$13,MATCH($H1576,Productos!$A$2:$A$13,0))</f>
        <v>Tornillo DIN 7991 M8x30 avellanado inox A2</v>
      </c>
      <c r="J1576" s="32" t="str">
        <f aca="false">INDEX(Productos!$C$2:$C$13,MATCH($H1576,Productos!$A$2:$A$13,0))</f>
        <v>Inoxidable</v>
      </c>
      <c r="K1576" s="31" t="s">
        <v>246</v>
      </c>
      <c r="L1576" s="46" t="n">
        <v>51</v>
      </c>
      <c r="M1576" s="50" t="n">
        <f aca="false">INDEX(Productos!$F$2:$F$13,MATCH($H1576,Productos!$A$2:$A$13,0))</f>
        <v>88</v>
      </c>
      <c r="N1576" s="51" t="n">
        <v>0.185</v>
      </c>
      <c r="O1576" s="52" t="n">
        <f aca="false">M1576*(1-N1576)</f>
        <v>71.72</v>
      </c>
      <c r="P1576" s="21" t="n">
        <f aca="false">L1576*O1576</f>
        <v>3657.72</v>
      </c>
      <c r="Q1576" s="50" t="n">
        <f aca="false">INDEX(Productos!$E$2:$E$13,MATCH($H1576,Productos!$A$2:$A$13,0))*INDEX(Parametros!$B$26:$B$43,MATCH($C1576,Parametros!$A$26:$A$43,0))</f>
        <v>46.872</v>
      </c>
      <c r="R1576" s="21" t="n">
        <f aca="false">L1576*Q1576</f>
        <v>2390.472</v>
      </c>
      <c r="S1576" s="18" t="n">
        <f aca="false">L1576*INDEX(Parametros!$B$20:$B$22,MATCH($E1576,Parametros!$A$20:$A$22,0))</f>
        <v>43.35</v>
      </c>
      <c r="T1576" s="18" t="n">
        <f aca="false">P1576*INDEX(Parametros!$B$13:$B$16,MATCH($F1576,Parametros!$A$13:$A$16,0))</f>
        <v>109.7316</v>
      </c>
      <c r="U1576" s="21" t="n">
        <f aca="false">P1576-R1576-S1576-T1576</f>
        <v>1114.1664</v>
      </c>
      <c r="V1576" s="19" t="n">
        <f aca="false">IFERROR(U1576/P1576,0)</f>
        <v>0.304606804238706</v>
      </c>
      <c r="W1576" s="48" t="n">
        <f aca="false">B1576+INDEX(Parametros!$C$13:$C$16,MATCH($F1576,Parametros!$A$13:$A$16,0))</f>
        <v>46248</v>
      </c>
      <c r="X1576" s="31" t="s">
        <v>68</v>
      </c>
      <c r="Y1576" s="53" t="n">
        <f aca="false">IF(COUNTIF($A$2:$A1576,A1576)=1,1,0)</f>
        <v>1</v>
      </c>
    </row>
    <row r="1577" customFormat="false" ht="15" hidden="false" customHeight="false" outlineLevel="0" collapsed="false">
      <c r="A1577" s="31" t="s">
        <v>1093</v>
      </c>
      <c r="B1577" s="36" t="n">
        <v>46188</v>
      </c>
      <c r="C1577" s="49" t="n">
        <f aca="false">DATE(YEAR(B1577),MONTH(B1577),1)</f>
        <v>46174</v>
      </c>
      <c r="D1577" s="31" t="s">
        <v>206</v>
      </c>
      <c r="E1577" s="31" t="s">
        <v>41</v>
      </c>
      <c r="F1577" s="31" t="s">
        <v>46</v>
      </c>
      <c r="G1577" s="31" t="s">
        <v>58</v>
      </c>
      <c r="H1577" s="31" t="s">
        <v>163</v>
      </c>
      <c r="I1577" s="32" t="str">
        <f aca="false">INDEX(Productos!$B$2:$B$13,MATCH($H1577,Productos!$A$2:$A$13,0))</f>
        <v>Tornillo DIN 933 M6x30 rosca completa zincado</v>
      </c>
      <c r="J1577" s="32" t="str">
        <f aca="false">INDEX(Productos!$C$2:$C$13,MATCH($H1577,Productos!$A$2:$A$13,0))</f>
        <v>Métrica</v>
      </c>
      <c r="K1577" s="31" t="s">
        <v>246</v>
      </c>
      <c r="L1577" s="46" t="n">
        <v>295</v>
      </c>
      <c r="M1577" s="50" t="n">
        <f aca="false">INDEX(Productos!$F$2:$F$13,MATCH($H1577,Productos!$A$2:$A$13,0))</f>
        <v>32</v>
      </c>
      <c r="N1577" s="51" t="n">
        <v>0.142</v>
      </c>
      <c r="O1577" s="52" t="n">
        <f aca="false">M1577*(1-N1577)</f>
        <v>27.456</v>
      </c>
      <c r="P1577" s="21" t="n">
        <f aca="false">L1577*O1577</f>
        <v>8099.52</v>
      </c>
      <c r="Q1577" s="50" t="n">
        <f aca="false">INDEX(Productos!$E$2:$E$13,MATCH($H1577,Productos!$A$2:$A$13,0))*INDEX(Parametros!$B$26:$B$43,MATCH($C1577,Parametros!$A$26:$A$43,0))</f>
        <v>16.7328</v>
      </c>
      <c r="R1577" s="21" t="n">
        <f aca="false">L1577*Q1577</f>
        <v>4936.176</v>
      </c>
      <c r="S1577" s="18" t="n">
        <f aca="false">L1577*INDEX(Parametros!$B$20:$B$22,MATCH($E1577,Parametros!$A$20:$A$22,0))</f>
        <v>250.75</v>
      </c>
      <c r="T1577" s="18" t="n">
        <f aca="false">P1577*INDEX(Parametros!$B$13:$B$16,MATCH($F1577,Parametros!$A$13:$A$16,0))</f>
        <v>323.9808</v>
      </c>
      <c r="U1577" s="21" t="n">
        <f aca="false">P1577-R1577-S1577-T1577</f>
        <v>2588.6132</v>
      </c>
      <c r="V1577" s="19" t="n">
        <f aca="false">IFERROR(U1577/P1577,0)</f>
        <v>0.319600815850816</v>
      </c>
      <c r="W1577" s="48" t="n">
        <f aca="false">B1577+INDEX(Parametros!$C$13:$C$16,MATCH($F1577,Parametros!$A$13:$A$16,0))</f>
        <v>46263</v>
      </c>
      <c r="X1577" s="31" t="s">
        <v>68</v>
      </c>
      <c r="Y1577" s="53" t="n">
        <f aca="false">IF(COUNTIF($A$2:$A1577,A1577)=1,1,0)</f>
        <v>1</v>
      </c>
    </row>
    <row r="1578" customFormat="false" ht="15" hidden="false" customHeight="false" outlineLevel="0" collapsed="false">
      <c r="A1578" s="31" t="s">
        <v>1094</v>
      </c>
      <c r="B1578" s="36" t="n">
        <v>46189</v>
      </c>
      <c r="C1578" s="49" t="n">
        <f aca="false">DATE(YEAR(B1578),MONTH(B1578),1)</f>
        <v>46174</v>
      </c>
      <c r="D1578" s="31" t="s">
        <v>227</v>
      </c>
      <c r="E1578" s="31" t="s">
        <v>43</v>
      </c>
      <c r="F1578" s="31" t="s">
        <v>46</v>
      </c>
      <c r="G1578" s="31" t="s">
        <v>59</v>
      </c>
      <c r="H1578" s="31" t="s">
        <v>173</v>
      </c>
      <c r="I1578" s="32" t="str">
        <f aca="false">INDEX(Productos!$B$2:$B$13,MATCH($H1578,Productos!$A$2:$A$13,0))</f>
        <v>Tornillo DIN 933 M12x70 clase 8.8</v>
      </c>
      <c r="J1578" s="32" t="str">
        <f aca="false">INDEX(Productos!$C$2:$C$13,MATCH($H1578,Productos!$A$2:$A$13,0))</f>
        <v>Métrica</v>
      </c>
      <c r="K1578" s="31" t="s">
        <v>246</v>
      </c>
      <c r="L1578" s="46" t="n">
        <v>130</v>
      </c>
      <c r="M1578" s="50" t="n">
        <f aca="false">INDEX(Productos!$F$2:$F$13,MATCH($H1578,Productos!$A$2:$A$13,0))</f>
        <v>64</v>
      </c>
      <c r="N1578" s="51" t="n">
        <v>0.164</v>
      </c>
      <c r="O1578" s="52" t="n">
        <f aca="false">M1578*(1-N1578)</f>
        <v>53.504</v>
      </c>
      <c r="P1578" s="21" t="n">
        <f aca="false">L1578*O1578</f>
        <v>6955.52</v>
      </c>
      <c r="Q1578" s="50" t="n">
        <f aca="false">INDEX(Productos!$E$2:$E$13,MATCH($H1578,Productos!$A$2:$A$13,0))*INDEX(Parametros!$B$26:$B$43,MATCH($C1578,Parametros!$A$26:$A$43,0))</f>
        <v>33.768</v>
      </c>
      <c r="R1578" s="21" t="n">
        <f aca="false">L1578*Q1578</f>
        <v>4389.84</v>
      </c>
      <c r="S1578" s="18" t="n">
        <f aca="false">L1578*INDEX(Parametros!$B$20:$B$22,MATCH($E1578,Parametros!$A$20:$A$22,0))</f>
        <v>247</v>
      </c>
      <c r="T1578" s="18" t="n">
        <f aca="false">P1578*INDEX(Parametros!$B$13:$B$16,MATCH($F1578,Parametros!$A$13:$A$16,0))</f>
        <v>278.2208</v>
      </c>
      <c r="U1578" s="21" t="n">
        <f aca="false">P1578-R1578-S1578-T1578</f>
        <v>2040.4592</v>
      </c>
      <c r="V1578" s="19" t="n">
        <f aca="false">IFERROR(U1578/P1578,0)</f>
        <v>0.293358253588517</v>
      </c>
      <c r="W1578" s="48" t="n">
        <f aca="false">B1578+INDEX(Parametros!$C$13:$C$16,MATCH($F1578,Parametros!$A$13:$A$16,0))</f>
        <v>46264</v>
      </c>
      <c r="X1578" s="31" t="s">
        <v>68</v>
      </c>
      <c r="Y1578" s="53" t="n">
        <f aca="false">IF(COUNTIF($A$2:$A1578,A1578)=1,1,0)</f>
        <v>1</v>
      </c>
    </row>
    <row r="1579" customFormat="false" ht="15" hidden="false" customHeight="false" outlineLevel="0" collapsed="false">
      <c r="A1579" s="31" t="s">
        <v>1094</v>
      </c>
      <c r="B1579" s="36" t="n">
        <v>46189</v>
      </c>
      <c r="C1579" s="49" t="n">
        <f aca="false">DATE(YEAR(B1579),MONTH(B1579),1)</f>
        <v>46174</v>
      </c>
      <c r="D1579" s="31" t="s">
        <v>227</v>
      </c>
      <c r="E1579" s="31" t="s">
        <v>43</v>
      </c>
      <c r="F1579" s="31" t="s">
        <v>46</v>
      </c>
      <c r="G1579" s="31" t="s">
        <v>59</v>
      </c>
      <c r="H1579" s="31" t="s">
        <v>163</v>
      </c>
      <c r="I1579" s="32" t="str">
        <f aca="false">INDEX(Productos!$B$2:$B$13,MATCH($H1579,Productos!$A$2:$A$13,0))</f>
        <v>Tornillo DIN 933 M6x30 rosca completa zincado</v>
      </c>
      <c r="J1579" s="32" t="str">
        <f aca="false">INDEX(Productos!$C$2:$C$13,MATCH($H1579,Productos!$A$2:$A$13,0))</f>
        <v>Métrica</v>
      </c>
      <c r="K1579" s="31" t="s">
        <v>246</v>
      </c>
      <c r="L1579" s="46" t="n">
        <v>62</v>
      </c>
      <c r="M1579" s="50" t="n">
        <f aca="false">INDEX(Productos!$F$2:$F$13,MATCH($H1579,Productos!$A$2:$A$13,0))</f>
        <v>32</v>
      </c>
      <c r="N1579" s="51" t="n">
        <v>0.16</v>
      </c>
      <c r="O1579" s="52" t="n">
        <f aca="false">M1579*(1-N1579)</f>
        <v>26.88</v>
      </c>
      <c r="P1579" s="21" t="n">
        <f aca="false">L1579*O1579</f>
        <v>1666.56</v>
      </c>
      <c r="Q1579" s="50" t="n">
        <f aca="false">INDEX(Productos!$E$2:$E$13,MATCH($H1579,Productos!$A$2:$A$13,0))*INDEX(Parametros!$B$26:$B$43,MATCH($C1579,Parametros!$A$26:$A$43,0))</f>
        <v>16.7328</v>
      </c>
      <c r="R1579" s="21" t="n">
        <f aca="false">L1579*Q1579</f>
        <v>1037.4336</v>
      </c>
      <c r="S1579" s="18" t="n">
        <f aca="false">L1579*INDEX(Parametros!$B$20:$B$22,MATCH($E1579,Parametros!$A$20:$A$22,0))</f>
        <v>117.8</v>
      </c>
      <c r="T1579" s="18" t="n">
        <f aca="false">P1579*INDEX(Parametros!$B$13:$B$16,MATCH($F1579,Parametros!$A$13:$A$16,0))</f>
        <v>66.6624</v>
      </c>
      <c r="U1579" s="21" t="n">
        <f aca="false">P1579-R1579-S1579-T1579</f>
        <v>444.664</v>
      </c>
      <c r="V1579" s="19" t="n">
        <f aca="false">IFERROR(U1579/P1579,0)</f>
        <v>0.266815476190476</v>
      </c>
      <c r="W1579" s="48" t="n">
        <f aca="false">B1579+INDEX(Parametros!$C$13:$C$16,MATCH($F1579,Parametros!$A$13:$A$16,0))</f>
        <v>46264</v>
      </c>
      <c r="X1579" s="31" t="s">
        <v>68</v>
      </c>
      <c r="Y1579" s="53" t="n">
        <f aca="false">IF(COUNTIF($A$2:$A1579,A1579)=1,1,0)</f>
        <v>0</v>
      </c>
    </row>
    <row r="1580" customFormat="false" ht="15" hidden="false" customHeight="false" outlineLevel="0" collapsed="false">
      <c r="A1580" s="31" t="s">
        <v>1094</v>
      </c>
      <c r="B1580" s="36" t="n">
        <v>46189</v>
      </c>
      <c r="C1580" s="49" t="n">
        <f aca="false">DATE(YEAR(B1580),MONTH(B1580),1)</f>
        <v>46174</v>
      </c>
      <c r="D1580" s="31" t="s">
        <v>227</v>
      </c>
      <c r="E1580" s="31" t="s">
        <v>43</v>
      </c>
      <c r="F1580" s="31" t="s">
        <v>46</v>
      </c>
      <c r="G1580" s="31" t="s">
        <v>59</v>
      </c>
      <c r="H1580" s="31" t="s">
        <v>167</v>
      </c>
      <c r="I1580" s="32" t="str">
        <f aca="false">INDEX(Productos!$B$2:$B$13,MATCH($H1580,Productos!$A$2:$A$13,0))</f>
        <v>Tornillo DIN 912 M6x25 Allen zincado</v>
      </c>
      <c r="J1580" s="32" t="str">
        <f aca="false">INDEX(Productos!$C$2:$C$13,MATCH($H1580,Productos!$A$2:$A$13,0))</f>
        <v>Métrica</v>
      </c>
      <c r="K1580" s="31" t="s">
        <v>246</v>
      </c>
      <c r="L1580" s="46" t="n">
        <v>62</v>
      </c>
      <c r="M1580" s="50" t="n">
        <f aca="false">INDEX(Productos!$F$2:$F$13,MATCH($H1580,Productos!$A$2:$A$13,0))</f>
        <v>42</v>
      </c>
      <c r="N1580" s="51" t="n">
        <v>0.173</v>
      </c>
      <c r="O1580" s="52" t="n">
        <f aca="false">M1580*(1-N1580)</f>
        <v>34.734</v>
      </c>
      <c r="P1580" s="21" t="n">
        <f aca="false">L1580*O1580</f>
        <v>2153.508</v>
      </c>
      <c r="Q1580" s="50" t="n">
        <f aca="false">INDEX(Productos!$E$2:$E$13,MATCH($H1580,Productos!$A$2:$A$13,0))*INDEX(Parametros!$B$26:$B$43,MATCH($C1580,Parametros!$A$26:$A$43,0))</f>
        <v>21.9744</v>
      </c>
      <c r="R1580" s="21" t="n">
        <f aca="false">L1580*Q1580</f>
        <v>1362.4128</v>
      </c>
      <c r="S1580" s="18" t="n">
        <f aca="false">L1580*INDEX(Parametros!$B$20:$B$22,MATCH($E1580,Parametros!$A$20:$A$22,0))</f>
        <v>117.8</v>
      </c>
      <c r="T1580" s="18" t="n">
        <f aca="false">P1580*INDEX(Parametros!$B$13:$B$16,MATCH($F1580,Parametros!$A$13:$A$16,0))</f>
        <v>86.14032</v>
      </c>
      <c r="U1580" s="21" t="n">
        <f aca="false">P1580-R1580-S1580-T1580</f>
        <v>587.15488</v>
      </c>
      <c r="V1580" s="19" t="n">
        <f aca="false">IFERROR(U1580/P1580,0)</f>
        <v>0.272650428974492</v>
      </c>
      <c r="W1580" s="48" t="n">
        <f aca="false">B1580+INDEX(Parametros!$C$13:$C$16,MATCH($F1580,Parametros!$A$13:$A$16,0))</f>
        <v>46264</v>
      </c>
      <c r="X1580" s="31" t="s">
        <v>68</v>
      </c>
      <c r="Y1580" s="53" t="n">
        <f aca="false">IF(COUNTIF($A$2:$A1580,A1580)=1,1,0)</f>
        <v>0</v>
      </c>
    </row>
    <row r="1581" customFormat="false" ht="15" hidden="false" customHeight="false" outlineLevel="0" collapsed="false">
      <c r="A1581" s="31" t="s">
        <v>1095</v>
      </c>
      <c r="B1581" s="36" t="n">
        <v>46189</v>
      </c>
      <c r="C1581" s="49" t="n">
        <f aca="false">DATE(YEAR(B1581),MONTH(B1581),1)</f>
        <v>46174</v>
      </c>
      <c r="D1581" s="31" t="s">
        <v>195</v>
      </c>
      <c r="E1581" s="31" t="s">
        <v>41</v>
      </c>
      <c r="F1581" s="31" t="s">
        <v>45</v>
      </c>
      <c r="G1581" s="31" t="s">
        <v>58</v>
      </c>
      <c r="H1581" s="31" t="s">
        <v>169</v>
      </c>
      <c r="I1581" s="32" t="str">
        <f aca="false">INDEX(Productos!$B$2:$B$13,MATCH($H1581,Productos!$A$2:$A$13,0))</f>
        <v>Tornillo DIN 912 M10x60 Allen inox A2</v>
      </c>
      <c r="J1581" s="32" t="str">
        <f aca="false">INDEX(Productos!$C$2:$C$13,MATCH($H1581,Productos!$A$2:$A$13,0))</f>
        <v>Inoxidable</v>
      </c>
      <c r="K1581" s="31" t="s">
        <v>246</v>
      </c>
      <c r="L1581" s="46" t="n">
        <v>52</v>
      </c>
      <c r="M1581" s="50" t="n">
        <f aca="false">INDEX(Productos!$F$2:$F$13,MATCH($H1581,Productos!$A$2:$A$13,0))</f>
        <v>79</v>
      </c>
      <c r="N1581" s="51" t="n">
        <v>0.189</v>
      </c>
      <c r="O1581" s="52" t="n">
        <f aca="false">M1581*(1-N1581)</f>
        <v>64.069</v>
      </c>
      <c r="P1581" s="21" t="n">
        <f aca="false">L1581*O1581</f>
        <v>3331.588</v>
      </c>
      <c r="Q1581" s="50" t="n">
        <f aca="false">INDEX(Productos!$E$2:$E$13,MATCH($H1581,Productos!$A$2:$A$13,0))*INDEX(Parametros!$B$26:$B$43,MATCH($C1581,Parametros!$A$26:$A$43,0))</f>
        <v>42.336</v>
      </c>
      <c r="R1581" s="21" t="n">
        <f aca="false">L1581*Q1581</f>
        <v>2201.472</v>
      </c>
      <c r="S1581" s="18" t="n">
        <f aca="false">L1581*INDEX(Parametros!$B$20:$B$22,MATCH($E1581,Parametros!$A$20:$A$22,0))</f>
        <v>44.2</v>
      </c>
      <c r="T1581" s="18" t="n">
        <f aca="false">P1581*INDEX(Parametros!$B$13:$B$16,MATCH($F1581,Parametros!$A$13:$A$16,0))</f>
        <v>99.94764</v>
      </c>
      <c r="U1581" s="21" t="n">
        <f aca="false">P1581-R1581-S1581-T1581</f>
        <v>985.96836</v>
      </c>
      <c r="V1581" s="19" t="n">
        <f aca="false">IFERROR(U1581/P1581,0)</f>
        <v>0.295945465045498</v>
      </c>
      <c r="W1581" s="48" t="n">
        <f aca="false">B1581+INDEX(Parametros!$C$13:$C$16,MATCH($F1581,Parametros!$A$13:$A$16,0))</f>
        <v>46249</v>
      </c>
      <c r="X1581" s="31" t="s">
        <v>68</v>
      </c>
      <c r="Y1581" s="53" t="n">
        <f aca="false">IF(COUNTIF($A$2:$A1581,A1581)=1,1,0)</f>
        <v>1</v>
      </c>
    </row>
    <row r="1582" customFormat="false" ht="15" hidden="false" customHeight="false" outlineLevel="0" collapsed="false">
      <c r="A1582" s="31" t="s">
        <v>1096</v>
      </c>
      <c r="B1582" s="36" t="n">
        <v>46189</v>
      </c>
      <c r="C1582" s="49" t="n">
        <f aca="false">DATE(YEAR(B1582),MONTH(B1582),1)</f>
        <v>46174</v>
      </c>
      <c r="D1582" s="31" t="s">
        <v>224</v>
      </c>
      <c r="E1582" s="31" t="s">
        <v>43</v>
      </c>
      <c r="F1582" s="31" t="s">
        <v>45</v>
      </c>
      <c r="G1582" s="31" t="s">
        <v>59</v>
      </c>
      <c r="H1582" s="31" t="s">
        <v>165</v>
      </c>
      <c r="I1582" s="32" t="str">
        <f aca="false">INDEX(Productos!$B$2:$B$13,MATCH($H1582,Productos!$A$2:$A$13,0))</f>
        <v>Tornillo DIN 933 M8x40 rosca completa zincado</v>
      </c>
      <c r="J1582" s="32" t="str">
        <f aca="false">INDEX(Productos!$C$2:$C$13,MATCH($H1582,Productos!$A$2:$A$13,0))</f>
        <v>Métrica</v>
      </c>
      <c r="K1582" s="31" t="s">
        <v>246</v>
      </c>
      <c r="L1582" s="46" t="n">
        <v>59</v>
      </c>
      <c r="M1582" s="50" t="n">
        <f aca="false">INDEX(Productos!$F$2:$F$13,MATCH($H1582,Productos!$A$2:$A$13,0))</f>
        <v>37.5</v>
      </c>
      <c r="N1582" s="51" t="n">
        <v>0.159</v>
      </c>
      <c r="O1582" s="52" t="n">
        <f aca="false">M1582*(1-N1582)</f>
        <v>31.5375</v>
      </c>
      <c r="P1582" s="21" t="n">
        <f aca="false">L1582*O1582</f>
        <v>1860.7125</v>
      </c>
      <c r="Q1582" s="50" t="n">
        <f aca="false">INDEX(Productos!$E$2:$E$13,MATCH($H1582,Productos!$A$2:$A$13,0))*INDEX(Parametros!$B$26:$B$43,MATCH($C1582,Parametros!$A$26:$A$43,0))</f>
        <v>19.5552</v>
      </c>
      <c r="R1582" s="21" t="n">
        <f aca="false">L1582*Q1582</f>
        <v>1153.7568</v>
      </c>
      <c r="S1582" s="18" t="n">
        <f aca="false">L1582*INDEX(Parametros!$B$20:$B$22,MATCH($E1582,Parametros!$A$20:$A$22,0))</f>
        <v>112.1</v>
      </c>
      <c r="T1582" s="18" t="n">
        <f aca="false">P1582*INDEX(Parametros!$B$13:$B$16,MATCH($F1582,Parametros!$A$13:$A$16,0))</f>
        <v>55.821375</v>
      </c>
      <c r="U1582" s="21" t="n">
        <f aca="false">P1582-R1582-S1582-T1582</f>
        <v>539.034325</v>
      </c>
      <c r="V1582" s="19" t="n">
        <f aca="false">IFERROR(U1582/P1582,0)</f>
        <v>0.289692429647245</v>
      </c>
      <c r="W1582" s="48" t="n">
        <f aca="false">B1582+INDEX(Parametros!$C$13:$C$16,MATCH($F1582,Parametros!$A$13:$A$16,0))</f>
        <v>46249</v>
      </c>
      <c r="X1582" s="31" t="s">
        <v>68</v>
      </c>
      <c r="Y1582" s="53" t="n">
        <f aca="false">IF(COUNTIF($A$2:$A1582,A1582)=1,1,0)</f>
        <v>1</v>
      </c>
    </row>
    <row r="1583" customFormat="false" ht="15" hidden="false" customHeight="false" outlineLevel="0" collapsed="false">
      <c r="A1583" s="31" t="s">
        <v>1097</v>
      </c>
      <c r="B1583" s="36" t="n">
        <v>46190</v>
      </c>
      <c r="C1583" s="49" t="n">
        <f aca="false">DATE(YEAR(B1583),MONTH(B1583),1)</f>
        <v>46174</v>
      </c>
      <c r="D1583" s="31" t="s">
        <v>199</v>
      </c>
      <c r="E1583" s="31" t="s">
        <v>41</v>
      </c>
      <c r="F1583" s="31" t="s">
        <v>45</v>
      </c>
      <c r="G1583" s="31" t="s">
        <v>58</v>
      </c>
      <c r="H1583" s="31" t="s">
        <v>185</v>
      </c>
      <c r="I1583" s="32" t="str">
        <f aca="false">INDEX(Productos!$B$2:$B$13,MATCH($H1583,Productos!$A$2:$A$13,0))</f>
        <v>Varilla roscada M10 x 1 m zincada</v>
      </c>
      <c r="J1583" s="32" t="str">
        <f aca="false">INDEX(Productos!$C$2:$C$13,MATCH($H1583,Productos!$A$2:$A$13,0))</f>
        <v>Especial</v>
      </c>
      <c r="K1583" s="31" t="s">
        <v>246</v>
      </c>
      <c r="L1583" s="46" t="n">
        <v>55</v>
      </c>
      <c r="M1583" s="50" t="n">
        <f aca="false">INDEX(Productos!$F$2:$F$13,MATCH($H1583,Productos!$A$2:$A$13,0))</f>
        <v>54</v>
      </c>
      <c r="N1583" s="51" t="n">
        <v>0.218</v>
      </c>
      <c r="O1583" s="52" t="n">
        <f aca="false">M1583*(1-N1583)</f>
        <v>42.228</v>
      </c>
      <c r="P1583" s="21" t="n">
        <f aca="false">L1583*O1583</f>
        <v>2322.54</v>
      </c>
      <c r="Q1583" s="50" t="n">
        <f aca="false">INDEX(Productos!$E$2:$E$13,MATCH($H1583,Productos!$A$2:$A$13,0))*INDEX(Parametros!$B$26:$B$43,MATCH($C1583,Parametros!$A$26:$A$43,0))</f>
        <v>28.728</v>
      </c>
      <c r="R1583" s="21" t="n">
        <f aca="false">L1583*Q1583</f>
        <v>1580.04</v>
      </c>
      <c r="S1583" s="18" t="n">
        <f aca="false">L1583*INDEX(Parametros!$B$20:$B$22,MATCH($E1583,Parametros!$A$20:$A$22,0))</f>
        <v>46.75</v>
      </c>
      <c r="T1583" s="18" t="n">
        <f aca="false">P1583*INDEX(Parametros!$B$13:$B$16,MATCH($F1583,Parametros!$A$13:$A$16,0))</f>
        <v>69.6762</v>
      </c>
      <c r="U1583" s="21" t="n">
        <f aca="false">P1583-R1583-S1583-T1583</f>
        <v>626.0738</v>
      </c>
      <c r="V1583" s="19" t="n">
        <f aca="false">IFERROR(U1583/P1583,0)</f>
        <v>0.269564270152505</v>
      </c>
      <c r="W1583" s="48" t="n">
        <f aca="false">B1583+INDEX(Parametros!$C$13:$C$16,MATCH($F1583,Parametros!$A$13:$A$16,0))</f>
        <v>46250</v>
      </c>
      <c r="X1583" s="31" t="s">
        <v>68</v>
      </c>
      <c r="Y1583" s="53" t="n">
        <f aca="false">IF(COUNTIF($A$2:$A1583,A1583)=1,1,0)</f>
        <v>1</v>
      </c>
    </row>
    <row r="1584" customFormat="false" ht="15" hidden="false" customHeight="false" outlineLevel="0" collapsed="false">
      <c r="A1584" s="31" t="s">
        <v>1098</v>
      </c>
      <c r="B1584" s="36" t="n">
        <v>46191</v>
      </c>
      <c r="C1584" s="49" t="n">
        <f aca="false">DATE(YEAR(B1584),MONTH(B1584),1)</f>
        <v>46174</v>
      </c>
      <c r="D1584" s="31" t="s">
        <v>216</v>
      </c>
      <c r="E1584" s="31" t="s">
        <v>42</v>
      </c>
      <c r="F1584" s="31" t="s">
        <v>45</v>
      </c>
      <c r="G1584" s="31" t="s">
        <v>61</v>
      </c>
      <c r="H1584" s="31" t="s">
        <v>175</v>
      </c>
      <c r="I1584" s="32" t="str">
        <f aca="false">INDEX(Productos!$B$2:$B$13,MATCH($H1584,Productos!$A$2:$A$13,0))</f>
        <v>Tirafondo madera 5x60 cabeza plana Torx</v>
      </c>
      <c r="J1584" s="32" t="str">
        <f aca="false">INDEX(Productos!$C$2:$C$13,MATCH($H1584,Productos!$A$2:$A$13,0))</f>
        <v>Madera</v>
      </c>
      <c r="K1584" s="31" t="s">
        <v>246</v>
      </c>
      <c r="L1584" s="46" t="n">
        <v>311</v>
      </c>
      <c r="M1584" s="50" t="n">
        <f aca="false">INDEX(Productos!$F$2:$F$13,MATCH($H1584,Productos!$A$2:$A$13,0))</f>
        <v>26</v>
      </c>
      <c r="N1584" s="51" t="n">
        <v>0.202</v>
      </c>
      <c r="O1584" s="52" t="n">
        <f aca="false">M1584*(1-N1584)</f>
        <v>20.748</v>
      </c>
      <c r="P1584" s="21" t="n">
        <f aca="false">L1584*O1584</f>
        <v>6452.628</v>
      </c>
      <c r="Q1584" s="50" t="n">
        <f aca="false">INDEX(Productos!$E$2:$E$13,MATCH($H1584,Productos!$A$2:$A$13,0))*INDEX(Parametros!$B$26:$B$43,MATCH($C1584,Parametros!$A$26:$A$43,0))</f>
        <v>13.5072</v>
      </c>
      <c r="R1584" s="21" t="n">
        <f aca="false">L1584*Q1584</f>
        <v>4200.7392</v>
      </c>
      <c r="S1584" s="18" t="n">
        <f aca="false">L1584*INDEX(Parametros!$B$20:$B$22,MATCH($E1584,Parametros!$A$20:$A$22,0))</f>
        <v>746.4</v>
      </c>
      <c r="T1584" s="18" t="n">
        <f aca="false">P1584*INDEX(Parametros!$B$13:$B$16,MATCH($F1584,Parametros!$A$13:$A$16,0))</f>
        <v>193.57884</v>
      </c>
      <c r="U1584" s="21" t="n">
        <f aca="false">P1584-R1584-S1584-T1584</f>
        <v>1311.90996</v>
      </c>
      <c r="V1584" s="19" t="n">
        <f aca="false">IFERROR(U1584/P1584,0)</f>
        <v>0.203314054366686</v>
      </c>
      <c r="W1584" s="48" t="n">
        <f aca="false">B1584+INDEX(Parametros!$C$13:$C$16,MATCH($F1584,Parametros!$A$13:$A$16,0))</f>
        <v>46251</v>
      </c>
      <c r="X1584" s="31" t="s">
        <v>68</v>
      </c>
      <c r="Y1584" s="53" t="n">
        <f aca="false">IF(COUNTIF($A$2:$A1584,A1584)=1,1,0)</f>
        <v>1</v>
      </c>
    </row>
    <row r="1585" customFormat="false" ht="15" hidden="false" customHeight="false" outlineLevel="0" collapsed="false">
      <c r="A1585" s="31" t="s">
        <v>1098</v>
      </c>
      <c r="B1585" s="36" t="n">
        <v>46191</v>
      </c>
      <c r="C1585" s="49" t="n">
        <f aca="false">DATE(YEAR(B1585),MONTH(B1585),1)</f>
        <v>46174</v>
      </c>
      <c r="D1585" s="31" t="s">
        <v>216</v>
      </c>
      <c r="E1585" s="31" t="s">
        <v>42</v>
      </c>
      <c r="F1585" s="31" t="s">
        <v>45</v>
      </c>
      <c r="G1585" s="31" t="s">
        <v>61</v>
      </c>
      <c r="H1585" s="31" t="s">
        <v>165</v>
      </c>
      <c r="I1585" s="32" t="str">
        <f aca="false">INDEX(Productos!$B$2:$B$13,MATCH($H1585,Productos!$A$2:$A$13,0))</f>
        <v>Tornillo DIN 933 M8x40 rosca completa zincado</v>
      </c>
      <c r="J1585" s="32" t="str">
        <f aca="false">INDEX(Productos!$C$2:$C$13,MATCH($H1585,Productos!$A$2:$A$13,0))</f>
        <v>Métrica</v>
      </c>
      <c r="K1585" s="31" t="s">
        <v>246</v>
      </c>
      <c r="L1585" s="46" t="n">
        <v>80</v>
      </c>
      <c r="M1585" s="50" t="n">
        <f aca="false">INDEX(Productos!$F$2:$F$13,MATCH($H1585,Productos!$A$2:$A$13,0))</f>
        <v>37.5</v>
      </c>
      <c r="N1585" s="51" t="n">
        <v>0.208</v>
      </c>
      <c r="O1585" s="52" t="n">
        <f aca="false">M1585*(1-N1585)</f>
        <v>29.7</v>
      </c>
      <c r="P1585" s="21" t="n">
        <f aca="false">L1585*O1585</f>
        <v>2376</v>
      </c>
      <c r="Q1585" s="50" t="n">
        <f aca="false">INDEX(Productos!$E$2:$E$13,MATCH($H1585,Productos!$A$2:$A$13,0))*INDEX(Parametros!$B$26:$B$43,MATCH($C1585,Parametros!$A$26:$A$43,0))</f>
        <v>19.5552</v>
      </c>
      <c r="R1585" s="21" t="n">
        <f aca="false">L1585*Q1585</f>
        <v>1564.416</v>
      </c>
      <c r="S1585" s="18" t="n">
        <f aca="false">L1585*INDEX(Parametros!$B$20:$B$22,MATCH($E1585,Parametros!$A$20:$A$22,0))</f>
        <v>192</v>
      </c>
      <c r="T1585" s="18" t="n">
        <f aca="false">P1585*INDEX(Parametros!$B$13:$B$16,MATCH($F1585,Parametros!$A$13:$A$16,0))</f>
        <v>71.28</v>
      </c>
      <c r="U1585" s="21" t="n">
        <f aca="false">P1585-R1585-S1585-T1585</f>
        <v>548.304</v>
      </c>
      <c r="V1585" s="19" t="n">
        <f aca="false">IFERROR(U1585/P1585,0)</f>
        <v>0.230767676767677</v>
      </c>
      <c r="W1585" s="48" t="n">
        <f aca="false">B1585+INDEX(Parametros!$C$13:$C$16,MATCH($F1585,Parametros!$A$13:$A$16,0))</f>
        <v>46251</v>
      </c>
      <c r="X1585" s="31" t="s">
        <v>68</v>
      </c>
      <c r="Y1585" s="53" t="n">
        <f aca="false">IF(COUNTIF($A$2:$A1585,A1585)=1,1,0)</f>
        <v>0</v>
      </c>
    </row>
    <row r="1586" customFormat="false" ht="15" hidden="false" customHeight="false" outlineLevel="0" collapsed="false">
      <c r="A1586" s="31" t="s">
        <v>1099</v>
      </c>
      <c r="B1586" s="36" t="n">
        <v>46191</v>
      </c>
      <c r="C1586" s="49" t="n">
        <f aca="false">DATE(YEAR(B1586),MONTH(B1586),1)</f>
        <v>46174</v>
      </c>
      <c r="D1586" s="31" t="s">
        <v>196</v>
      </c>
      <c r="E1586" s="31" t="s">
        <v>41</v>
      </c>
      <c r="F1586" s="31" t="s">
        <v>47</v>
      </c>
      <c r="G1586" s="31" t="s">
        <v>58</v>
      </c>
      <c r="H1586" s="31" t="s">
        <v>171</v>
      </c>
      <c r="I1586" s="32" t="str">
        <f aca="false">INDEX(Productos!$B$2:$B$13,MATCH($H1586,Productos!$A$2:$A$13,0))</f>
        <v>Tornillo DIN 7991 M8x30 avellanado inox A2</v>
      </c>
      <c r="J1586" s="32" t="str">
        <f aca="false">INDEX(Productos!$C$2:$C$13,MATCH($H1586,Productos!$A$2:$A$13,0))</f>
        <v>Inoxidable</v>
      </c>
      <c r="K1586" s="31" t="s">
        <v>246</v>
      </c>
      <c r="L1586" s="46" t="n">
        <v>66</v>
      </c>
      <c r="M1586" s="50" t="n">
        <f aca="false">INDEX(Productos!$F$2:$F$13,MATCH($H1586,Productos!$A$2:$A$13,0))</f>
        <v>88</v>
      </c>
      <c r="N1586" s="51" t="n">
        <v>0.051</v>
      </c>
      <c r="O1586" s="52" t="n">
        <f aca="false">M1586*(1-N1586)</f>
        <v>83.512</v>
      </c>
      <c r="P1586" s="21" t="n">
        <f aca="false">L1586*O1586</f>
        <v>5511.792</v>
      </c>
      <c r="Q1586" s="50" t="n">
        <f aca="false">INDEX(Productos!$E$2:$E$13,MATCH($H1586,Productos!$A$2:$A$13,0))*INDEX(Parametros!$B$26:$B$43,MATCH($C1586,Parametros!$A$26:$A$43,0))</f>
        <v>46.872</v>
      </c>
      <c r="R1586" s="21" t="n">
        <f aca="false">L1586*Q1586</f>
        <v>3093.552</v>
      </c>
      <c r="S1586" s="18" t="n">
        <f aca="false">L1586*INDEX(Parametros!$B$20:$B$22,MATCH($E1586,Parametros!$A$20:$A$22,0))</f>
        <v>56.1</v>
      </c>
      <c r="T1586" s="18" t="n">
        <f aca="false">P1586*INDEX(Parametros!$B$13:$B$16,MATCH($F1586,Parametros!$A$13:$A$16,0))</f>
        <v>192.91272</v>
      </c>
      <c r="U1586" s="21" t="n">
        <f aca="false">P1586-R1586-S1586-T1586</f>
        <v>2169.22728</v>
      </c>
      <c r="V1586" s="19" t="n">
        <f aca="false">IFERROR(U1586/P1586,0)</f>
        <v>0.393561164862535</v>
      </c>
      <c r="W1586" s="48" t="n">
        <f aca="false">B1586+INDEX(Parametros!$C$13:$C$16,MATCH($F1586,Parametros!$A$13:$A$16,0))</f>
        <v>46236</v>
      </c>
      <c r="X1586" s="31" t="s">
        <v>68</v>
      </c>
      <c r="Y1586" s="53" t="n">
        <f aca="false">IF(COUNTIF($A$2:$A1586,A1586)=1,1,0)</f>
        <v>1</v>
      </c>
    </row>
    <row r="1587" customFormat="false" ht="15" hidden="false" customHeight="false" outlineLevel="0" collapsed="false">
      <c r="A1587" s="31" t="s">
        <v>1100</v>
      </c>
      <c r="B1587" s="36" t="n">
        <v>46191</v>
      </c>
      <c r="C1587" s="49" t="n">
        <f aca="false">DATE(YEAR(B1587),MONTH(B1587),1)</f>
        <v>46174</v>
      </c>
      <c r="D1587" s="31" t="s">
        <v>216</v>
      </c>
      <c r="E1587" s="31" t="s">
        <v>42</v>
      </c>
      <c r="F1587" s="31" t="s">
        <v>45</v>
      </c>
      <c r="G1587" s="31" t="s">
        <v>61</v>
      </c>
      <c r="H1587" s="31" t="s">
        <v>185</v>
      </c>
      <c r="I1587" s="32" t="str">
        <f aca="false">INDEX(Productos!$B$2:$B$13,MATCH($H1587,Productos!$A$2:$A$13,0))</f>
        <v>Varilla roscada M10 x 1 m zincada</v>
      </c>
      <c r="J1587" s="32" t="str">
        <f aca="false">INDEX(Productos!$C$2:$C$13,MATCH($H1587,Productos!$A$2:$A$13,0))</f>
        <v>Especial</v>
      </c>
      <c r="K1587" s="31" t="s">
        <v>246</v>
      </c>
      <c r="L1587" s="46" t="n">
        <v>44</v>
      </c>
      <c r="M1587" s="50" t="n">
        <f aca="false">INDEX(Productos!$F$2:$F$13,MATCH($H1587,Productos!$A$2:$A$13,0))</f>
        <v>54</v>
      </c>
      <c r="N1587" s="51" t="n">
        <v>0.219</v>
      </c>
      <c r="O1587" s="52" t="n">
        <f aca="false">M1587*(1-N1587)</f>
        <v>42.174</v>
      </c>
      <c r="P1587" s="21" t="n">
        <f aca="false">L1587*O1587</f>
        <v>1855.656</v>
      </c>
      <c r="Q1587" s="50" t="n">
        <f aca="false">INDEX(Productos!$E$2:$E$13,MATCH($H1587,Productos!$A$2:$A$13,0))*INDEX(Parametros!$B$26:$B$43,MATCH($C1587,Parametros!$A$26:$A$43,0))</f>
        <v>28.728</v>
      </c>
      <c r="R1587" s="21" t="n">
        <f aca="false">L1587*Q1587</f>
        <v>1264.032</v>
      </c>
      <c r="S1587" s="18" t="n">
        <f aca="false">L1587*INDEX(Parametros!$B$20:$B$22,MATCH($E1587,Parametros!$A$20:$A$22,0))</f>
        <v>105.6</v>
      </c>
      <c r="T1587" s="18" t="n">
        <f aca="false">P1587*INDEX(Parametros!$B$13:$B$16,MATCH($F1587,Parametros!$A$13:$A$16,0))</f>
        <v>55.66968</v>
      </c>
      <c r="U1587" s="21" t="n">
        <f aca="false">P1587-R1587-S1587-T1587</f>
        <v>430.35432</v>
      </c>
      <c r="V1587" s="19" t="n">
        <f aca="false">IFERROR(U1587/P1587,0)</f>
        <v>0.231914923886755</v>
      </c>
      <c r="W1587" s="48" t="n">
        <f aca="false">B1587+INDEX(Parametros!$C$13:$C$16,MATCH($F1587,Parametros!$A$13:$A$16,0))</f>
        <v>46251</v>
      </c>
      <c r="X1587" s="31" t="s">
        <v>68</v>
      </c>
      <c r="Y1587" s="53" t="n">
        <f aca="false">IF(COUNTIF($A$2:$A1587,A1587)=1,1,0)</f>
        <v>1</v>
      </c>
    </row>
    <row r="1588" customFormat="false" ht="15" hidden="false" customHeight="false" outlineLevel="0" collapsed="false">
      <c r="A1588" s="31" t="s">
        <v>1100</v>
      </c>
      <c r="B1588" s="36" t="n">
        <v>46191</v>
      </c>
      <c r="C1588" s="49" t="n">
        <f aca="false">DATE(YEAR(B1588),MONTH(B1588),1)</f>
        <v>46174</v>
      </c>
      <c r="D1588" s="31" t="s">
        <v>216</v>
      </c>
      <c r="E1588" s="31" t="s">
        <v>42</v>
      </c>
      <c r="F1588" s="31" t="s">
        <v>45</v>
      </c>
      <c r="G1588" s="31" t="s">
        <v>61</v>
      </c>
      <c r="H1588" s="31" t="s">
        <v>163</v>
      </c>
      <c r="I1588" s="32" t="str">
        <f aca="false">INDEX(Productos!$B$2:$B$13,MATCH($H1588,Productos!$A$2:$A$13,0))</f>
        <v>Tornillo DIN 933 M6x30 rosca completa zincado</v>
      </c>
      <c r="J1588" s="32" t="str">
        <f aca="false">INDEX(Productos!$C$2:$C$13,MATCH($H1588,Productos!$A$2:$A$13,0))</f>
        <v>Métrica</v>
      </c>
      <c r="K1588" s="31" t="s">
        <v>246</v>
      </c>
      <c r="L1588" s="46" t="n">
        <v>263</v>
      </c>
      <c r="M1588" s="50" t="n">
        <f aca="false">INDEX(Productos!$F$2:$F$13,MATCH($H1588,Productos!$A$2:$A$13,0))</f>
        <v>32</v>
      </c>
      <c r="N1588" s="51" t="n">
        <v>0.154</v>
      </c>
      <c r="O1588" s="52" t="n">
        <f aca="false">M1588*(1-N1588)</f>
        <v>27.072</v>
      </c>
      <c r="P1588" s="21" t="n">
        <f aca="false">L1588*O1588</f>
        <v>7119.936</v>
      </c>
      <c r="Q1588" s="50" t="n">
        <f aca="false">INDEX(Productos!$E$2:$E$13,MATCH($H1588,Productos!$A$2:$A$13,0))*INDEX(Parametros!$B$26:$B$43,MATCH($C1588,Parametros!$A$26:$A$43,0))</f>
        <v>16.7328</v>
      </c>
      <c r="R1588" s="21" t="n">
        <f aca="false">L1588*Q1588</f>
        <v>4400.7264</v>
      </c>
      <c r="S1588" s="18" t="n">
        <f aca="false">L1588*INDEX(Parametros!$B$20:$B$22,MATCH($E1588,Parametros!$A$20:$A$22,0))</f>
        <v>631.2</v>
      </c>
      <c r="T1588" s="18" t="n">
        <f aca="false">P1588*INDEX(Parametros!$B$13:$B$16,MATCH($F1588,Parametros!$A$13:$A$16,0))</f>
        <v>213.59808</v>
      </c>
      <c r="U1588" s="21" t="n">
        <f aca="false">P1588-R1588-S1588-T1588</f>
        <v>1874.41152</v>
      </c>
      <c r="V1588" s="19" t="n">
        <f aca="false">IFERROR(U1588/P1588,0)</f>
        <v>0.263262411347518</v>
      </c>
      <c r="W1588" s="48" t="n">
        <f aca="false">B1588+INDEX(Parametros!$C$13:$C$16,MATCH($F1588,Parametros!$A$13:$A$16,0))</f>
        <v>46251</v>
      </c>
      <c r="X1588" s="31" t="s">
        <v>68</v>
      </c>
      <c r="Y1588" s="53" t="n">
        <f aca="false">IF(COUNTIF($A$2:$A1588,A1588)=1,1,0)</f>
        <v>0</v>
      </c>
    </row>
    <row r="1589" customFormat="false" ht="15" hidden="false" customHeight="false" outlineLevel="0" collapsed="false">
      <c r="A1589" s="31" t="s">
        <v>1100</v>
      </c>
      <c r="B1589" s="36" t="n">
        <v>46191</v>
      </c>
      <c r="C1589" s="49" t="n">
        <f aca="false">DATE(YEAR(B1589),MONTH(B1589),1)</f>
        <v>46174</v>
      </c>
      <c r="D1589" s="31" t="s">
        <v>216</v>
      </c>
      <c r="E1589" s="31" t="s">
        <v>42</v>
      </c>
      <c r="F1589" s="31" t="s">
        <v>45</v>
      </c>
      <c r="G1589" s="31" t="s">
        <v>61</v>
      </c>
      <c r="H1589" s="31" t="s">
        <v>179</v>
      </c>
      <c r="I1589" s="32" t="str">
        <f aca="false">INDEX(Productos!$B$2:$B$13,MATCH($H1589,Productos!$A$2:$A$13,0))</f>
        <v>Autotaladrante DIN 7504 4,8x38 zincado</v>
      </c>
      <c r="J1589" s="32" t="str">
        <f aca="false">INDEX(Productos!$C$2:$C$13,MATCH($H1589,Productos!$A$2:$A$13,0))</f>
        <v>Autotaladrante</v>
      </c>
      <c r="K1589" s="31" t="s">
        <v>246</v>
      </c>
      <c r="L1589" s="46" t="n">
        <v>40</v>
      </c>
      <c r="M1589" s="50" t="n">
        <f aca="false">INDEX(Productos!$F$2:$F$13,MATCH($H1589,Productos!$A$2:$A$13,0))</f>
        <v>29.5</v>
      </c>
      <c r="N1589" s="51" t="n">
        <v>0.201</v>
      </c>
      <c r="O1589" s="52" t="n">
        <f aca="false">M1589*(1-N1589)</f>
        <v>23.5705</v>
      </c>
      <c r="P1589" s="21" t="n">
        <f aca="false">L1589*O1589</f>
        <v>942.82</v>
      </c>
      <c r="Q1589" s="50" t="n">
        <f aca="false">INDEX(Productos!$E$2:$E$13,MATCH($H1589,Productos!$A$2:$A$13,0))*INDEX(Parametros!$B$26:$B$43,MATCH($C1589,Parametros!$A$26:$A$43,0))</f>
        <v>15.3216</v>
      </c>
      <c r="R1589" s="21" t="n">
        <f aca="false">L1589*Q1589</f>
        <v>612.864</v>
      </c>
      <c r="S1589" s="18" t="n">
        <f aca="false">L1589*INDEX(Parametros!$B$20:$B$22,MATCH($E1589,Parametros!$A$20:$A$22,0))</f>
        <v>96</v>
      </c>
      <c r="T1589" s="18" t="n">
        <f aca="false">P1589*INDEX(Parametros!$B$13:$B$16,MATCH($F1589,Parametros!$A$13:$A$16,0))</f>
        <v>28.2846</v>
      </c>
      <c r="U1589" s="21" t="n">
        <f aca="false">P1589-R1589-S1589-T1589</f>
        <v>205.6714</v>
      </c>
      <c r="V1589" s="19" t="n">
        <f aca="false">IFERROR(U1589/P1589,0)</f>
        <v>0.218144926921363</v>
      </c>
      <c r="W1589" s="48" t="n">
        <f aca="false">B1589+INDEX(Parametros!$C$13:$C$16,MATCH($F1589,Parametros!$A$13:$A$16,0))</f>
        <v>46251</v>
      </c>
      <c r="X1589" s="31" t="s">
        <v>68</v>
      </c>
      <c r="Y1589" s="53" t="n">
        <f aca="false">IF(COUNTIF($A$2:$A1589,A1589)=1,1,0)</f>
        <v>0</v>
      </c>
    </row>
    <row r="1590" customFormat="false" ht="15" hidden="false" customHeight="false" outlineLevel="0" collapsed="false">
      <c r="A1590" s="31" t="s">
        <v>1100</v>
      </c>
      <c r="B1590" s="36" t="n">
        <v>46191</v>
      </c>
      <c r="C1590" s="49" t="n">
        <f aca="false">DATE(YEAR(B1590),MONTH(B1590),1)</f>
        <v>46174</v>
      </c>
      <c r="D1590" s="31" t="s">
        <v>216</v>
      </c>
      <c r="E1590" s="31" t="s">
        <v>42</v>
      </c>
      <c r="F1590" s="31" t="s">
        <v>45</v>
      </c>
      <c r="G1590" s="31" t="s">
        <v>61</v>
      </c>
      <c r="H1590" s="31" t="s">
        <v>183</v>
      </c>
      <c r="I1590" s="32" t="str">
        <f aca="false">INDEX(Productos!$B$2:$B$13,MATCH($H1590,Productos!$A$2:$A$13,0))</f>
        <v>Tornillo estructural M16x90 clase 10.9</v>
      </c>
      <c r="J1590" s="32" t="str">
        <f aca="false">INDEX(Productos!$C$2:$C$13,MATCH($H1590,Productos!$A$2:$A$13,0))</f>
        <v>Especial</v>
      </c>
      <c r="K1590" s="31" t="s">
        <v>246</v>
      </c>
      <c r="L1590" s="46" t="n">
        <v>140</v>
      </c>
      <c r="M1590" s="50" t="n">
        <f aca="false">INDEX(Productos!$F$2:$F$13,MATCH($H1590,Productos!$A$2:$A$13,0))</f>
        <v>112</v>
      </c>
      <c r="N1590" s="51" t="n">
        <v>0.123</v>
      </c>
      <c r="O1590" s="52" t="n">
        <f aca="false">M1590*(1-N1590)</f>
        <v>98.224</v>
      </c>
      <c r="P1590" s="21" t="n">
        <f aca="false">L1590*O1590</f>
        <v>13751.36</v>
      </c>
      <c r="Q1590" s="50" t="n">
        <f aca="false">INDEX(Productos!$E$2:$E$13,MATCH($H1590,Productos!$A$2:$A$13,0))*INDEX(Parametros!$B$26:$B$43,MATCH($C1590,Parametros!$A$26:$A$43,0))</f>
        <v>60.48</v>
      </c>
      <c r="R1590" s="21" t="n">
        <f aca="false">L1590*Q1590</f>
        <v>8467.2</v>
      </c>
      <c r="S1590" s="18" t="n">
        <f aca="false">L1590*INDEX(Parametros!$B$20:$B$22,MATCH($E1590,Parametros!$A$20:$A$22,0))</f>
        <v>336</v>
      </c>
      <c r="T1590" s="18" t="n">
        <f aca="false">P1590*INDEX(Parametros!$B$13:$B$16,MATCH($F1590,Parametros!$A$13:$A$16,0))</f>
        <v>412.5408</v>
      </c>
      <c r="U1590" s="21" t="n">
        <f aca="false">P1590-R1590-S1590-T1590</f>
        <v>4535.6192</v>
      </c>
      <c r="V1590" s="19" t="n">
        <f aca="false">IFERROR(U1590/P1590,0)</f>
        <v>0.329830591301515</v>
      </c>
      <c r="W1590" s="48" t="n">
        <f aca="false">B1590+INDEX(Parametros!$C$13:$C$16,MATCH($F1590,Parametros!$A$13:$A$16,0))</f>
        <v>46251</v>
      </c>
      <c r="X1590" s="31" t="s">
        <v>68</v>
      </c>
      <c r="Y1590" s="53" t="n">
        <f aca="false">IF(COUNTIF($A$2:$A1590,A1590)=1,1,0)</f>
        <v>0</v>
      </c>
    </row>
    <row r="1591" customFormat="false" ht="15" hidden="false" customHeight="false" outlineLevel="0" collapsed="false">
      <c r="A1591" s="31" t="s">
        <v>1101</v>
      </c>
      <c r="B1591" s="36" t="n">
        <v>46195</v>
      </c>
      <c r="C1591" s="49" t="n">
        <f aca="false">DATE(YEAR(B1591),MONTH(B1591),1)</f>
        <v>46174</v>
      </c>
      <c r="D1591" s="31" t="s">
        <v>197</v>
      </c>
      <c r="E1591" s="31" t="s">
        <v>41</v>
      </c>
      <c r="F1591" s="31" t="s">
        <v>46</v>
      </c>
      <c r="G1591" s="31" t="s">
        <v>58</v>
      </c>
      <c r="H1591" s="31" t="s">
        <v>169</v>
      </c>
      <c r="I1591" s="32" t="str">
        <f aca="false">INDEX(Productos!$B$2:$B$13,MATCH($H1591,Productos!$A$2:$A$13,0))</f>
        <v>Tornillo DIN 912 M10x60 Allen inox A2</v>
      </c>
      <c r="J1591" s="32" t="str">
        <f aca="false">INDEX(Productos!$C$2:$C$13,MATCH($H1591,Productos!$A$2:$A$13,0))</f>
        <v>Inoxidable</v>
      </c>
      <c r="K1591" s="31" t="s">
        <v>246</v>
      </c>
      <c r="L1591" s="46" t="n">
        <v>88</v>
      </c>
      <c r="M1591" s="50" t="n">
        <f aca="false">INDEX(Productos!$F$2:$F$13,MATCH($H1591,Productos!$A$2:$A$13,0))</f>
        <v>79</v>
      </c>
      <c r="N1591" s="51" t="n">
        <v>0.125</v>
      </c>
      <c r="O1591" s="52" t="n">
        <f aca="false">M1591*(1-N1591)</f>
        <v>69.125</v>
      </c>
      <c r="P1591" s="21" t="n">
        <f aca="false">L1591*O1591</f>
        <v>6083</v>
      </c>
      <c r="Q1591" s="50" t="n">
        <f aca="false">INDEX(Productos!$E$2:$E$13,MATCH($H1591,Productos!$A$2:$A$13,0))*INDEX(Parametros!$B$26:$B$43,MATCH($C1591,Parametros!$A$26:$A$43,0))</f>
        <v>42.336</v>
      </c>
      <c r="R1591" s="21" t="n">
        <f aca="false">L1591*Q1591</f>
        <v>3725.568</v>
      </c>
      <c r="S1591" s="18" t="n">
        <f aca="false">L1591*INDEX(Parametros!$B$20:$B$22,MATCH($E1591,Parametros!$A$20:$A$22,0))</f>
        <v>74.8</v>
      </c>
      <c r="T1591" s="18" t="n">
        <f aca="false">P1591*INDEX(Parametros!$B$13:$B$16,MATCH($F1591,Parametros!$A$13:$A$16,0))</f>
        <v>243.32</v>
      </c>
      <c r="U1591" s="21" t="n">
        <f aca="false">P1591-R1591-S1591-T1591</f>
        <v>2039.312</v>
      </c>
      <c r="V1591" s="19" t="n">
        <f aca="false">IFERROR(U1591/P1591,0)</f>
        <v>0.33524773960217</v>
      </c>
      <c r="W1591" s="48" t="n">
        <f aca="false">B1591+INDEX(Parametros!$C$13:$C$16,MATCH($F1591,Parametros!$A$13:$A$16,0))</f>
        <v>46270</v>
      </c>
      <c r="X1591" s="31" t="s">
        <v>68</v>
      </c>
      <c r="Y1591" s="53" t="n">
        <f aca="false">IF(COUNTIF($A$2:$A1591,A1591)=1,1,0)</f>
        <v>1</v>
      </c>
    </row>
    <row r="1592" customFormat="false" ht="15" hidden="false" customHeight="false" outlineLevel="0" collapsed="false">
      <c r="A1592" s="31" t="s">
        <v>1101</v>
      </c>
      <c r="B1592" s="36" t="n">
        <v>46195</v>
      </c>
      <c r="C1592" s="49" t="n">
        <f aca="false">DATE(YEAR(B1592),MONTH(B1592),1)</f>
        <v>46174</v>
      </c>
      <c r="D1592" s="31" t="s">
        <v>197</v>
      </c>
      <c r="E1592" s="31" t="s">
        <v>41</v>
      </c>
      <c r="F1592" s="31" t="s">
        <v>46</v>
      </c>
      <c r="G1592" s="31" t="s">
        <v>58</v>
      </c>
      <c r="H1592" s="31" t="s">
        <v>179</v>
      </c>
      <c r="I1592" s="32" t="str">
        <f aca="false">INDEX(Productos!$B$2:$B$13,MATCH($H1592,Productos!$A$2:$A$13,0))</f>
        <v>Autotaladrante DIN 7504 4,8x38 zincado</v>
      </c>
      <c r="J1592" s="32" t="str">
        <f aca="false">INDEX(Productos!$C$2:$C$13,MATCH($H1592,Productos!$A$2:$A$13,0))</f>
        <v>Autotaladrante</v>
      </c>
      <c r="K1592" s="31" t="s">
        <v>246</v>
      </c>
      <c r="L1592" s="46" t="n">
        <v>22</v>
      </c>
      <c r="M1592" s="50" t="n">
        <f aca="false">INDEX(Productos!$F$2:$F$13,MATCH($H1592,Productos!$A$2:$A$13,0))</f>
        <v>29.5</v>
      </c>
      <c r="N1592" s="51" t="n">
        <v>0.099</v>
      </c>
      <c r="O1592" s="52" t="n">
        <f aca="false">M1592*(1-N1592)</f>
        <v>26.5795</v>
      </c>
      <c r="P1592" s="21" t="n">
        <f aca="false">L1592*O1592</f>
        <v>584.749</v>
      </c>
      <c r="Q1592" s="50" t="n">
        <f aca="false">INDEX(Productos!$E$2:$E$13,MATCH($H1592,Productos!$A$2:$A$13,0))*INDEX(Parametros!$B$26:$B$43,MATCH($C1592,Parametros!$A$26:$A$43,0))</f>
        <v>15.3216</v>
      </c>
      <c r="R1592" s="21" t="n">
        <f aca="false">L1592*Q1592</f>
        <v>337.0752</v>
      </c>
      <c r="S1592" s="18" t="n">
        <f aca="false">L1592*INDEX(Parametros!$B$20:$B$22,MATCH($E1592,Parametros!$A$20:$A$22,0))</f>
        <v>18.7</v>
      </c>
      <c r="T1592" s="18" t="n">
        <f aca="false">P1592*INDEX(Parametros!$B$13:$B$16,MATCH($F1592,Parametros!$A$13:$A$16,0))</f>
        <v>23.38996</v>
      </c>
      <c r="U1592" s="21" t="n">
        <f aca="false">P1592-R1592-S1592-T1592</f>
        <v>205.58384</v>
      </c>
      <c r="V1592" s="19" t="n">
        <f aca="false">IFERROR(U1592/P1592,0)</f>
        <v>0.351576214751971</v>
      </c>
      <c r="W1592" s="48" t="n">
        <f aca="false">B1592+INDEX(Parametros!$C$13:$C$16,MATCH($F1592,Parametros!$A$13:$A$16,0))</f>
        <v>46270</v>
      </c>
      <c r="X1592" s="31" t="s">
        <v>68</v>
      </c>
      <c r="Y1592" s="53" t="n">
        <f aca="false">IF(COUNTIF($A$2:$A1592,A1592)=1,1,0)</f>
        <v>0</v>
      </c>
    </row>
    <row r="1593" customFormat="false" ht="15" hidden="false" customHeight="false" outlineLevel="0" collapsed="false">
      <c r="A1593" s="31" t="s">
        <v>1101</v>
      </c>
      <c r="B1593" s="36" t="n">
        <v>46195</v>
      </c>
      <c r="C1593" s="49" t="n">
        <f aca="false">DATE(YEAR(B1593),MONTH(B1593),1)</f>
        <v>46174</v>
      </c>
      <c r="D1593" s="31" t="s">
        <v>197</v>
      </c>
      <c r="E1593" s="31" t="s">
        <v>41</v>
      </c>
      <c r="F1593" s="31" t="s">
        <v>46</v>
      </c>
      <c r="G1593" s="31" t="s">
        <v>58</v>
      </c>
      <c r="H1593" s="31" t="s">
        <v>163</v>
      </c>
      <c r="I1593" s="32" t="str">
        <f aca="false">INDEX(Productos!$B$2:$B$13,MATCH($H1593,Productos!$A$2:$A$13,0))</f>
        <v>Tornillo DIN 933 M6x30 rosca completa zincado</v>
      </c>
      <c r="J1593" s="32" t="str">
        <f aca="false">INDEX(Productos!$C$2:$C$13,MATCH($H1593,Productos!$A$2:$A$13,0))</f>
        <v>Métrica</v>
      </c>
      <c r="K1593" s="31" t="s">
        <v>246</v>
      </c>
      <c r="L1593" s="46" t="n">
        <v>117</v>
      </c>
      <c r="M1593" s="50" t="n">
        <f aca="false">INDEX(Productos!$F$2:$F$13,MATCH($H1593,Productos!$A$2:$A$13,0))</f>
        <v>32</v>
      </c>
      <c r="N1593" s="51" t="n">
        <v>0.104</v>
      </c>
      <c r="O1593" s="52" t="n">
        <f aca="false">M1593*(1-N1593)</f>
        <v>28.672</v>
      </c>
      <c r="P1593" s="21" t="n">
        <f aca="false">L1593*O1593</f>
        <v>3354.624</v>
      </c>
      <c r="Q1593" s="50" t="n">
        <f aca="false">INDEX(Productos!$E$2:$E$13,MATCH($H1593,Productos!$A$2:$A$13,0))*INDEX(Parametros!$B$26:$B$43,MATCH($C1593,Parametros!$A$26:$A$43,0))</f>
        <v>16.7328</v>
      </c>
      <c r="R1593" s="21" t="n">
        <f aca="false">L1593*Q1593</f>
        <v>1957.7376</v>
      </c>
      <c r="S1593" s="18" t="n">
        <f aca="false">L1593*INDEX(Parametros!$B$20:$B$22,MATCH($E1593,Parametros!$A$20:$A$22,0))</f>
        <v>99.45</v>
      </c>
      <c r="T1593" s="18" t="n">
        <f aca="false">P1593*INDEX(Parametros!$B$13:$B$16,MATCH($F1593,Parametros!$A$13:$A$16,0))</f>
        <v>134.18496</v>
      </c>
      <c r="U1593" s="21" t="n">
        <f aca="false">P1593-R1593-S1593-T1593</f>
        <v>1163.25144</v>
      </c>
      <c r="V1593" s="19" t="n">
        <f aca="false">IFERROR(U1593/P1593,0)</f>
        <v>0.346760602678571</v>
      </c>
      <c r="W1593" s="48" t="n">
        <f aca="false">B1593+INDEX(Parametros!$C$13:$C$16,MATCH($F1593,Parametros!$A$13:$A$16,0))</f>
        <v>46270</v>
      </c>
      <c r="X1593" s="31" t="s">
        <v>68</v>
      </c>
      <c r="Y1593" s="53" t="n">
        <f aca="false">IF(COUNTIF($A$2:$A1593,A1593)=1,1,0)</f>
        <v>0</v>
      </c>
    </row>
    <row r="1594" customFormat="false" ht="15" hidden="false" customHeight="false" outlineLevel="0" collapsed="false">
      <c r="A1594" s="31" t="s">
        <v>1101</v>
      </c>
      <c r="B1594" s="36" t="n">
        <v>46195</v>
      </c>
      <c r="C1594" s="49" t="n">
        <f aca="false">DATE(YEAR(B1594),MONTH(B1594),1)</f>
        <v>46174</v>
      </c>
      <c r="D1594" s="31" t="s">
        <v>197</v>
      </c>
      <c r="E1594" s="31" t="s">
        <v>41</v>
      </c>
      <c r="F1594" s="31" t="s">
        <v>46</v>
      </c>
      <c r="G1594" s="31" t="s">
        <v>58</v>
      </c>
      <c r="H1594" s="31" t="s">
        <v>181</v>
      </c>
      <c r="I1594" s="32" t="str">
        <f aca="false">INDEX(Productos!$B$2:$B$13,MATCH($H1594,Productos!$A$2:$A$13,0))</f>
        <v>Autotaladrante 5,5x55 punta broca</v>
      </c>
      <c r="J1594" s="32" t="str">
        <f aca="false">INDEX(Productos!$C$2:$C$13,MATCH($H1594,Productos!$A$2:$A$13,0))</f>
        <v>Autotaladrante</v>
      </c>
      <c r="K1594" s="31" t="s">
        <v>246</v>
      </c>
      <c r="L1594" s="46" t="n">
        <v>27</v>
      </c>
      <c r="M1594" s="50" t="n">
        <f aca="false">INDEX(Productos!$F$2:$F$13,MATCH($H1594,Productos!$A$2:$A$13,0))</f>
        <v>39</v>
      </c>
      <c r="N1594" s="51" t="n">
        <v>0.122</v>
      </c>
      <c r="O1594" s="52" t="n">
        <f aca="false">M1594*(1-N1594)</f>
        <v>34.242</v>
      </c>
      <c r="P1594" s="21" t="n">
        <f aca="false">L1594*O1594</f>
        <v>924.534</v>
      </c>
      <c r="Q1594" s="50" t="n">
        <f aca="false">INDEX(Productos!$E$2:$E$13,MATCH($H1594,Productos!$A$2:$A$13,0))*INDEX(Parametros!$B$26:$B$43,MATCH($C1594,Parametros!$A$26:$A$43,0))</f>
        <v>20.4624</v>
      </c>
      <c r="R1594" s="21" t="n">
        <f aca="false">L1594*Q1594</f>
        <v>552.4848</v>
      </c>
      <c r="S1594" s="18" t="n">
        <f aca="false">L1594*INDEX(Parametros!$B$20:$B$22,MATCH($E1594,Parametros!$A$20:$A$22,0))</f>
        <v>22.95</v>
      </c>
      <c r="T1594" s="18" t="n">
        <f aca="false">P1594*INDEX(Parametros!$B$13:$B$16,MATCH($F1594,Parametros!$A$13:$A$16,0))</f>
        <v>36.98136</v>
      </c>
      <c r="U1594" s="21" t="n">
        <f aca="false">P1594-R1594-S1594-T1594</f>
        <v>312.11784</v>
      </c>
      <c r="V1594" s="19" t="n">
        <f aca="false">IFERROR(U1594/P1594,0)</f>
        <v>0.337594766660826</v>
      </c>
      <c r="W1594" s="48" t="n">
        <f aca="false">B1594+INDEX(Parametros!$C$13:$C$16,MATCH($F1594,Parametros!$A$13:$A$16,0))</f>
        <v>46270</v>
      </c>
      <c r="X1594" s="31" t="s">
        <v>68</v>
      </c>
      <c r="Y1594" s="53" t="n">
        <f aca="false">IF(COUNTIF($A$2:$A1594,A1594)=1,1,0)</f>
        <v>0</v>
      </c>
    </row>
    <row r="1595" customFormat="false" ht="15" hidden="false" customHeight="false" outlineLevel="0" collapsed="false">
      <c r="A1595" s="31" t="s">
        <v>1102</v>
      </c>
      <c r="B1595" s="36" t="n">
        <v>46195</v>
      </c>
      <c r="C1595" s="49" t="n">
        <f aca="false">DATE(YEAR(B1595),MONTH(B1595),1)</f>
        <v>46174</v>
      </c>
      <c r="D1595" s="31" t="s">
        <v>193</v>
      </c>
      <c r="E1595" s="31" t="s">
        <v>41</v>
      </c>
      <c r="F1595" s="31" t="s">
        <v>45</v>
      </c>
      <c r="G1595" s="31" t="s">
        <v>62</v>
      </c>
      <c r="H1595" s="31" t="s">
        <v>165</v>
      </c>
      <c r="I1595" s="32" t="str">
        <f aca="false">INDEX(Productos!$B$2:$B$13,MATCH($H1595,Productos!$A$2:$A$13,0))</f>
        <v>Tornillo DIN 933 M8x40 rosca completa zincado</v>
      </c>
      <c r="J1595" s="32" t="str">
        <f aca="false">INDEX(Productos!$C$2:$C$13,MATCH($H1595,Productos!$A$2:$A$13,0))</f>
        <v>Métrica</v>
      </c>
      <c r="K1595" s="31" t="s">
        <v>246</v>
      </c>
      <c r="L1595" s="46" t="n">
        <v>143</v>
      </c>
      <c r="M1595" s="50" t="n">
        <f aca="false">INDEX(Productos!$F$2:$F$13,MATCH($H1595,Productos!$A$2:$A$13,0))</f>
        <v>37.5</v>
      </c>
      <c r="N1595" s="51" t="n">
        <v>0.15</v>
      </c>
      <c r="O1595" s="52" t="n">
        <f aca="false">M1595*(1-N1595)</f>
        <v>31.875</v>
      </c>
      <c r="P1595" s="21" t="n">
        <f aca="false">L1595*O1595</f>
        <v>4558.125</v>
      </c>
      <c r="Q1595" s="50" t="n">
        <f aca="false">INDEX(Productos!$E$2:$E$13,MATCH($H1595,Productos!$A$2:$A$13,0))*INDEX(Parametros!$B$26:$B$43,MATCH($C1595,Parametros!$A$26:$A$43,0))</f>
        <v>19.5552</v>
      </c>
      <c r="R1595" s="21" t="n">
        <f aca="false">L1595*Q1595</f>
        <v>2796.3936</v>
      </c>
      <c r="S1595" s="18" t="n">
        <f aca="false">L1595*INDEX(Parametros!$B$20:$B$22,MATCH($E1595,Parametros!$A$20:$A$22,0))</f>
        <v>121.55</v>
      </c>
      <c r="T1595" s="18" t="n">
        <f aca="false">P1595*INDEX(Parametros!$B$13:$B$16,MATCH($F1595,Parametros!$A$13:$A$16,0))</f>
        <v>136.74375</v>
      </c>
      <c r="U1595" s="21" t="n">
        <f aca="false">P1595-R1595-S1595-T1595</f>
        <v>1503.43765</v>
      </c>
      <c r="V1595" s="19" t="n">
        <f aca="false">IFERROR(U1595/P1595,0)</f>
        <v>0.329836862745098</v>
      </c>
      <c r="W1595" s="48" t="n">
        <f aca="false">B1595+INDEX(Parametros!$C$13:$C$16,MATCH($F1595,Parametros!$A$13:$A$16,0))</f>
        <v>46255</v>
      </c>
      <c r="X1595" s="31" t="s">
        <v>68</v>
      </c>
      <c r="Y1595" s="53" t="n">
        <f aca="false">IF(COUNTIF($A$2:$A1595,A1595)=1,1,0)</f>
        <v>1</v>
      </c>
    </row>
    <row r="1596" customFormat="false" ht="15" hidden="false" customHeight="false" outlineLevel="0" collapsed="false">
      <c r="A1596" s="31" t="s">
        <v>1103</v>
      </c>
      <c r="B1596" s="36" t="n">
        <v>46195</v>
      </c>
      <c r="C1596" s="49" t="n">
        <f aca="false">DATE(YEAR(B1596),MONTH(B1596),1)</f>
        <v>46174</v>
      </c>
      <c r="D1596" s="31" t="s">
        <v>228</v>
      </c>
      <c r="E1596" s="31" t="s">
        <v>43</v>
      </c>
      <c r="F1596" s="31" t="s">
        <v>47</v>
      </c>
      <c r="G1596" s="31" t="s">
        <v>59</v>
      </c>
      <c r="H1596" s="31" t="s">
        <v>179</v>
      </c>
      <c r="I1596" s="32" t="str">
        <f aca="false">INDEX(Productos!$B$2:$B$13,MATCH($H1596,Productos!$A$2:$A$13,0))</f>
        <v>Autotaladrante DIN 7504 4,8x38 zincado</v>
      </c>
      <c r="J1596" s="32" t="str">
        <f aca="false">INDEX(Productos!$C$2:$C$13,MATCH($H1596,Productos!$A$2:$A$13,0))</f>
        <v>Autotaladrante</v>
      </c>
      <c r="K1596" s="31" t="s">
        <v>246</v>
      </c>
      <c r="L1596" s="46" t="n">
        <v>15</v>
      </c>
      <c r="M1596" s="50" t="n">
        <f aca="false">INDEX(Productos!$F$2:$F$13,MATCH($H1596,Productos!$A$2:$A$13,0))</f>
        <v>29.5</v>
      </c>
      <c r="N1596" s="51" t="n">
        <v>0.055</v>
      </c>
      <c r="O1596" s="52" t="n">
        <f aca="false">M1596*(1-N1596)</f>
        <v>27.8775</v>
      </c>
      <c r="P1596" s="21" t="n">
        <f aca="false">L1596*O1596</f>
        <v>418.1625</v>
      </c>
      <c r="Q1596" s="50" t="n">
        <f aca="false">INDEX(Productos!$E$2:$E$13,MATCH($H1596,Productos!$A$2:$A$13,0))*INDEX(Parametros!$B$26:$B$43,MATCH($C1596,Parametros!$A$26:$A$43,0))</f>
        <v>15.3216</v>
      </c>
      <c r="R1596" s="21" t="n">
        <f aca="false">L1596*Q1596</f>
        <v>229.824</v>
      </c>
      <c r="S1596" s="18" t="n">
        <f aca="false">L1596*INDEX(Parametros!$B$20:$B$22,MATCH($E1596,Parametros!$A$20:$A$22,0))</f>
        <v>28.5</v>
      </c>
      <c r="T1596" s="18" t="n">
        <f aca="false">P1596*INDEX(Parametros!$B$13:$B$16,MATCH($F1596,Parametros!$A$13:$A$16,0))</f>
        <v>14.6356875</v>
      </c>
      <c r="U1596" s="21" t="n">
        <f aca="false">P1596-R1596-S1596-T1596</f>
        <v>145.2028125</v>
      </c>
      <c r="V1596" s="19" t="n">
        <f aca="false">IFERROR(U1596/P1596,0)</f>
        <v>0.347240157833378</v>
      </c>
      <c r="W1596" s="48" t="n">
        <f aca="false">B1596+INDEX(Parametros!$C$13:$C$16,MATCH($F1596,Parametros!$A$13:$A$16,0))</f>
        <v>46240</v>
      </c>
      <c r="X1596" s="31" t="s">
        <v>68</v>
      </c>
      <c r="Y1596" s="53" t="n">
        <f aca="false">IF(COUNTIF($A$2:$A1596,A1596)=1,1,0)</f>
        <v>1</v>
      </c>
    </row>
    <row r="1597" customFormat="false" ht="15" hidden="false" customHeight="false" outlineLevel="0" collapsed="false">
      <c r="A1597" s="31" t="s">
        <v>1103</v>
      </c>
      <c r="B1597" s="36" t="n">
        <v>46195</v>
      </c>
      <c r="C1597" s="49" t="n">
        <f aca="false">DATE(YEAR(B1597),MONTH(B1597),1)</f>
        <v>46174</v>
      </c>
      <c r="D1597" s="31" t="s">
        <v>228</v>
      </c>
      <c r="E1597" s="31" t="s">
        <v>43</v>
      </c>
      <c r="F1597" s="31" t="s">
        <v>47</v>
      </c>
      <c r="G1597" s="31" t="s">
        <v>59</v>
      </c>
      <c r="H1597" s="31" t="s">
        <v>177</v>
      </c>
      <c r="I1597" s="32" t="str">
        <f aca="false">INDEX(Productos!$B$2:$B$13,MATCH($H1597,Productos!$A$2:$A$13,0))</f>
        <v>Tirafondo madera 6x100 cabeza plana Torx</v>
      </c>
      <c r="J1597" s="32" t="str">
        <f aca="false">INDEX(Productos!$C$2:$C$13,MATCH($H1597,Productos!$A$2:$A$13,0))</f>
        <v>Madera</v>
      </c>
      <c r="K1597" s="31" t="s">
        <v>246</v>
      </c>
      <c r="L1597" s="46" t="n">
        <v>17</v>
      </c>
      <c r="M1597" s="50" t="n">
        <f aca="false">INDEX(Productos!$F$2:$F$13,MATCH($H1597,Productos!$A$2:$A$13,0))</f>
        <v>34</v>
      </c>
      <c r="N1597" s="51" t="n">
        <v>0.072</v>
      </c>
      <c r="O1597" s="52" t="n">
        <f aca="false">M1597*(1-N1597)</f>
        <v>31.552</v>
      </c>
      <c r="P1597" s="21" t="n">
        <f aca="false">L1597*O1597</f>
        <v>536.384</v>
      </c>
      <c r="Q1597" s="50" t="n">
        <f aca="false">INDEX(Productos!$E$2:$E$13,MATCH($H1597,Productos!$A$2:$A$13,0))*INDEX(Parametros!$B$26:$B$43,MATCH($C1597,Parametros!$A$26:$A$43,0))</f>
        <v>17.9424</v>
      </c>
      <c r="R1597" s="21" t="n">
        <f aca="false">L1597*Q1597</f>
        <v>305.0208</v>
      </c>
      <c r="S1597" s="18" t="n">
        <f aca="false">L1597*INDEX(Parametros!$B$20:$B$22,MATCH($E1597,Parametros!$A$20:$A$22,0))</f>
        <v>32.3</v>
      </c>
      <c r="T1597" s="18" t="n">
        <f aca="false">P1597*INDEX(Parametros!$B$13:$B$16,MATCH($F1597,Parametros!$A$13:$A$16,0))</f>
        <v>18.77344</v>
      </c>
      <c r="U1597" s="21" t="n">
        <f aca="false">P1597-R1597-S1597-T1597</f>
        <v>180.28976</v>
      </c>
      <c r="V1597" s="19" t="n">
        <f aca="false">IFERROR(U1597/P1597,0)</f>
        <v>0.336120689655172</v>
      </c>
      <c r="W1597" s="48" t="n">
        <f aca="false">B1597+INDEX(Parametros!$C$13:$C$16,MATCH($F1597,Parametros!$A$13:$A$16,0))</f>
        <v>46240</v>
      </c>
      <c r="X1597" s="31" t="s">
        <v>68</v>
      </c>
      <c r="Y1597" s="53" t="n">
        <f aca="false">IF(COUNTIF($A$2:$A1597,A1597)=1,1,0)</f>
        <v>0</v>
      </c>
    </row>
    <row r="1598" customFormat="false" ht="15" hidden="false" customHeight="false" outlineLevel="0" collapsed="false">
      <c r="A1598" s="31" t="s">
        <v>1104</v>
      </c>
      <c r="B1598" s="36" t="n">
        <v>46195</v>
      </c>
      <c r="C1598" s="49" t="n">
        <f aca="false">DATE(YEAR(B1598),MONTH(B1598),1)</f>
        <v>46174</v>
      </c>
      <c r="D1598" s="31" t="s">
        <v>198</v>
      </c>
      <c r="E1598" s="31" t="s">
        <v>41</v>
      </c>
      <c r="F1598" s="31" t="s">
        <v>46</v>
      </c>
      <c r="G1598" s="31" t="s">
        <v>58</v>
      </c>
      <c r="H1598" s="31" t="s">
        <v>173</v>
      </c>
      <c r="I1598" s="32" t="str">
        <f aca="false">INDEX(Productos!$B$2:$B$13,MATCH($H1598,Productos!$A$2:$A$13,0))</f>
        <v>Tornillo DIN 933 M12x70 clase 8.8</v>
      </c>
      <c r="J1598" s="32" t="str">
        <f aca="false">INDEX(Productos!$C$2:$C$13,MATCH($H1598,Productos!$A$2:$A$13,0))</f>
        <v>Métrica</v>
      </c>
      <c r="K1598" s="31" t="s">
        <v>246</v>
      </c>
      <c r="L1598" s="46" t="n">
        <v>109</v>
      </c>
      <c r="M1598" s="50" t="n">
        <f aca="false">INDEX(Productos!$F$2:$F$13,MATCH($H1598,Productos!$A$2:$A$13,0))</f>
        <v>64</v>
      </c>
      <c r="N1598" s="51" t="n">
        <v>0.162</v>
      </c>
      <c r="O1598" s="52" t="n">
        <f aca="false">M1598*(1-N1598)</f>
        <v>53.632</v>
      </c>
      <c r="P1598" s="21" t="n">
        <f aca="false">L1598*O1598</f>
        <v>5845.888</v>
      </c>
      <c r="Q1598" s="50" t="n">
        <f aca="false">INDEX(Productos!$E$2:$E$13,MATCH($H1598,Productos!$A$2:$A$13,0))*INDEX(Parametros!$B$26:$B$43,MATCH($C1598,Parametros!$A$26:$A$43,0))</f>
        <v>33.768</v>
      </c>
      <c r="R1598" s="21" t="n">
        <f aca="false">L1598*Q1598</f>
        <v>3680.712</v>
      </c>
      <c r="S1598" s="18" t="n">
        <f aca="false">L1598*INDEX(Parametros!$B$20:$B$22,MATCH($E1598,Parametros!$A$20:$A$22,0))</f>
        <v>92.65</v>
      </c>
      <c r="T1598" s="18" t="n">
        <f aca="false">P1598*INDEX(Parametros!$B$13:$B$16,MATCH($F1598,Parametros!$A$13:$A$16,0))</f>
        <v>233.83552</v>
      </c>
      <c r="U1598" s="21" t="n">
        <f aca="false">P1598-R1598-S1598-T1598</f>
        <v>1838.69048</v>
      </c>
      <c r="V1598" s="19" t="n">
        <f aca="false">IFERROR(U1598/P1598,0)</f>
        <v>0.31452714797136</v>
      </c>
      <c r="W1598" s="48" t="n">
        <f aca="false">B1598+INDEX(Parametros!$C$13:$C$16,MATCH($F1598,Parametros!$A$13:$A$16,0))</f>
        <v>46270</v>
      </c>
      <c r="X1598" s="31" t="s">
        <v>68</v>
      </c>
      <c r="Y1598" s="53" t="n">
        <f aca="false">IF(COUNTIF($A$2:$A1598,A1598)=1,1,0)</f>
        <v>1</v>
      </c>
    </row>
    <row r="1599" customFormat="false" ht="15" hidden="false" customHeight="false" outlineLevel="0" collapsed="false">
      <c r="A1599" s="31" t="s">
        <v>1105</v>
      </c>
      <c r="B1599" s="36" t="n">
        <v>46195</v>
      </c>
      <c r="C1599" s="49" t="n">
        <f aca="false">DATE(YEAR(B1599),MONTH(B1599),1)</f>
        <v>46174</v>
      </c>
      <c r="D1599" s="31" t="s">
        <v>211</v>
      </c>
      <c r="E1599" s="31" t="s">
        <v>41</v>
      </c>
      <c r="F1599" s="31" t="s">
        <v>48</v>
      </c>
      <c r="G1599" s="31" t="s">
        <v>60</v>
      </c>
      <c r="H1599" s="31" t="s">
        <v>163</v>
      </c>
      <c r="I1599" s="32" t="str">
        <f aca="false">INDEX(Productos!$B$2:$B$13,MATCH($H1599,Productos!$A$2:$A$13,0))</f>
        <v>Tornillo DIN 933 M6x30 rosca completa zincado</v>
      </c>
      <c r="J1599" s="32" t="str">
        <f aca="false">INDEX(Productos!$C$2:$C$13,MATCH($H1599,Productos!$A$2:$A$13,0))</f>
        <v>Métrica</v>
      </c>
      <c r="K1599" s="31" t="s">
        <v>246</v>
      </c>
      <c r="L1599" s="46" t="n">
        <v>24</v>
      </c>
      <c r="M1599" s="50" t="n">
        <f aca="false">INDEX(Productos!$F$2:$F$13,MATCH($H1599,Productos!$A$2:$A$13,0))</f>
        <v>32</v>
      </c>
      <c r="N1599" s="51" t="n">
        <v>0.02</v>
      </c>
      <c r="O1599" s="52" t="n">
        <f aca="false">M1599*(1-N1599)</f>
        <v>31.36</v>
      </c>
      <c r="P1599" s="21" t="n">
        <f aca="false">L1599*O1599</f>
        <v>752.64</v>
      </c>
      <c r="Q1599" s="50" t="n">
        <f aca="false">INDEX(Productos!$E$2:$E$13,MATCH($H1599,Productos!$A$2:$A$13,0))*INDEX(Parametros!$B$26:$B$43,MATCH($C1599,Parametros!$A$26:$A$43,0))</f>
        <v>16.7328</v>
      </c>
      <c r="R1599" s="21" t="n">
        <f aca="false">L1599*Q1599</f>
        <v>401.5872</v>
      </c>
      <c r="S1599" s="18" t="n">
        <f aca="false">L1599*INDEX(Parametros!$B$20:$B$22,MATCH($E1599,Parametros!$A$20:$A$22,0))</f>
        <v>20.4</v>
      </c>
      <c r="T1599" s="18" t="n">
        <f aca="false">P1599*INDEX(Parametros!$B$13:$B$16,MATCH($F1599,Parametros!$A$13:$A$16,0))</f>
        <v>7.5264</v>
      </c>
      <c r="U1599" s="21" t="n">
        <f aca="false">P1599-R1599-S1599-T1599</f>
        <v>323.1264</v>
      </c>
      <c r="V1599" s="19" t="n">
        <f aca="false">IFERROR(U1599/P1599,0)</f>
        <v>0.429323979591837</v>
      </c>
      <c r="W1599" s="48" t="n">
        <f aca="false">B1599+INDEX(Parametros!$C$13:$C$16,MATCH($F1599,Parametros!$A$13:$A$16,0))</f>
        <v>46195</v>
      </c>
      <c r="X1599" s="31" t="s">
        <v>67</v>
      </c>
      <c r="Y1599" s="53" t="n">
        <f aca="false">IF(COUNTIF($A$2:$A1599,A1599)=1,1,0)</f>
        <v>1</v>
      </c>
    </row>
    <row r="1600" customFormat="false" ht="15" hidden="false" customHeight="false" outlineLevel="0" collapsed="false">
      <c r="A1600" s="31" t="s">
        <v>1105</v>
      </c>
      <c r="B1600" s="36" t="n">
        <v>46195</v>
      </c>
      <c r="C1600" s="49" t="n">
        <f aca="false">DATE(YEAR(B1600),MONTH(B1600),1)</f>
        <v>46174</v>
      </c>
      <c r="D1600" s="31" t="s">
        <v>211</v>
      </c>
      <c r="E1600" s="31" t="s">
        <v>41</v>
      </c>
      <c r="F1600" s="31" t="s">
        <v>48</v>
      </c>
      <c r="G1600" s="31" t="s">
        <v>60</v>
      </c>
      <c r="H1600" s="31" t="s">
        <v>179</v>
      </c>
      <c r="I1600" s="32" t="str">
        <f aca="false">INDEX(Productos!$B$2:$B$13,MATCH($H1600,Productos!$A$2:$A$13,0))</f>
        <v>Autotaladrante DIN 7504 4,8x38 zincado</v>
      </c>
      <c r="J1600" s="32" t="str">
        <f aca="false">INDEX(Productos!$C$2:$C$13,MATCH($H1600,Productos!$A$2:$A$13,0))</f>
        <v>Autotaladrante</v>
      </c>
      <c r="K1600" s="31" t="s">
        <v>246</v>
      </c>
      <c r="L1600" s="46" t="n">
        <v>32</v>
      </c>
      <c r="M1600" s="50" t="n">
        <f aca="false">INDEX(Productos!$F$2:$F$13,MATCH($H1600,Productos!$A$2:$A$13,0))</f>
        <v>29.5</v>
      </c>
      <c r="N1600" s="51" t="n">
        <v>0.034</v>
      </c>
      <c r="O1600" s="52" t="n">
        <f aca="false">M1600*(1-N1600)</f>
        <v>28.497</v>
      </c>
      <c r="P1600" s="21" t="n">
        <f aca="false">L1600*O1600</f>
        <v>911.904</v>
      </c>
      <c r="Q1600" s="50" t="n">
        <f aca="false">INDEX(Productos!$E$2:$E$13,MATCH($H1600,Productos!$A$2:$A$13,0))*INDEX(Parametros!$B$26:$B$43,MATCH($C1600,Parametros!$A$26:$A$43,0))</f>
        <v>15.3216</v>
      </c>
      <c r="R1600" s="21" t="n">
        <f aca="false">L1600*Q1600</f>
        <v>490.2912</v>
      </c>
      <c r="S1600" s="18" t="n">
        <f aca="false">L1600*INDEX(Parametros!$B$20:$B$22,MATCH($E1600,Parametros!$A$20:$A$22,0))</f>
        <v>27.2</v>
      </c>
      <c r="T1600" s="18" t="n">
        <f aca="false">P1600*INDEX(Parametros!$B$13:$B$16,MATCH($F1600,Parametros!$A$13:$A$16,0))</f>
        <v>9.11904</v>
      </c>
      <c r="U1600" s="21" t="n">
        <f aca="false">P1600-R1600-S1600-T1600</f>
        <v>385.29376</v>
      </c>
      <c r="V1600" s="19" t="n">
        <f aca="false">IFERROR(U1600/P1600,0)</f>
        <v>0.422515703407376</v>
      </c>
      <c r="W1600" s="48" t="n">
        <f aca="false">B1600+INDEX(Parametros!$C$13:$C$16,MATCH($F1600,Parametros!$A$13:$A$16,0))</f>
        <v>46195</v>
      </c>
      <c r="X1600" s="31" t="s">
        <v>69</v>
      </c>
      <c r="Y1600" s="53" t="n">
        <f aca="false">IF(COUNTIF($A$2:$A1600,A1600)=1,1,0)</f>
        <v>0</v>
      </c>
    </row>
    <row r="1601" customFormat="false" ht="15" hidden="false" customHeight="false" outlineLevel="0" collapsed="false">
      <c r="A1601" s="31" t="s">
        <v>1106</v>
      </c>
      <c r="B1601" s="36" t="n">
        <v>46196</v>
      </c>
      <c r="C1601" s="49" t="n">
        <f aca="false">DATE(YEAR(B1601),MONTH(B1601),1)</f>
        <v>46174</v>
      </c>
      <c r="D1601" s="31" t="s">
        <v>208</v>
      </c>
      <c r="E1601" s="31" t="s">
        <v>41</v>
      </c>
      <c r="F1601" s="31" t="s">
        <v>46</v>
      </c>
      <c r="G1601" s="31" t="s">
        <v>58</v>
      </c>
      <c r="H1601" s="31" t="s">
        <v>167</v>
      </c>
      <c r="I1601" s="32" t="str">
        <f aca="false">INDEX(Productos!$B$2:$B$13,MATCH($H1601,Productos!$A$2:$A$13,0))</f>
        <v>Tornillo DIN 912 M6x25 Allen zincado</v>
      </c>
      <c r="J1601" s="32" t="str">
        <f aca="false">INDEX(Productos!$C$2:$C$13,MATCH($H1601,Productos!$A$2:$A$13,0))</f>
        <v>Métrica</v>
      </c>
      <c r="K1601" s="31" t="s">
        <v>246</v>
      </c>
      <c r="L1601" s="46" t="n">
        <v>44</v>
      </c>
      <c r="M1601" s="50" t="n">
        <f aca="false">INDEX(Productos!$F$2:$F$13,MATCH($H1601,Productos!$A$2:$A$13,0))</f>
        <v>42</v>
      </c>
      <c r="N1601" s="51" t="n">
        <v>0.122</v>
      </c>
      <c r="O1601" s="52" t="n">
        <f aca="false">M1601*(1-N1601)</f>
        <v>36.876</v>
      </c>
      <c r="P1601" s="21" t="n">
        <f aca="false">L1601*O1601</f>
        <v>1622.544</v>
      </c>
      <c r="Q1601" s="50" t="n">
        <f aca="false">INDEX(Productos!$E$2:$E$13,MATCH($H1601,Productos!$A$2:$A$13,0))*INDEX(Parametros!$B$26:$B$43,MATCH($C1601,Parametros!$A$26:$A$43,0))</f>
        <v>21.9744</v>
      </c>
      <c r="R1601" s="21" t="n">
        <f aca="false">L1601*Q1601</f>
        <v>966.8736</v>
      </c>
      <c r="S1601" s="18" t="n">
        <f aca="false">L1601*INDEX(Parametros!$B$20:$B$22,MATCH($E1601,Parametros!$A$20:$A$22,0))</f>
        <v>37.4</v>
      </c>
      <c r="T1601" s="18" t="n">
        <f aca="false">P1601*INDEX(Parametros!$B$13:$B$16,MATCH($F1601,Parametros!$A$13:$A$16,0))</f>
        <v>64.90176</v>
      </c>
      <c r="U1601" s="21" t="n">
        <f aca="false">P1601-R1601-S1601-T1601</f>
        <v>553.36864</v>
      </c>
      <c r="V1601" s="19" t="n">
        <f aca="false">IFERROR(U1601/P1601,0)</f>
        <v>0.341050005423582</v>
      </c>
      <c r="W1601" s="48" t="n">
        <f aca="false">B1601+INDEX(Parametros!$C$13:$C$16,MATCH($F1601,Parametros!$A$13:$A$16,0))</f>
        <v>46271</v>
      </c>
      <c r="X1601" s="31" t="s">
        <v>68</v>
      </c>
      <c r="Y1601" s="53" t="n">
        <f aca="false">IF(COUNTIF($A$2:$A1601,A1601)=1,1,0)</f>
        <v>1</v>
      </c>
    </row>
    <row r="1602" customFormat="false" ht="15" hidden="false" customHeight="false" outlineLevel="0" collapsed="false">
      <c r="A1602" s="31" t="s">
        <v>1106</v>
      </c>
      <c r="B1602" s="36" t="n">
        <v>46196</v>
      </c>
      <c r="C1602" s="49" t="n">
        <f aca="false">DATE(YEAR(B1602),MONTH(B1602),1)</f>
        <v>46174</v>
      </c>
      <c r="D1602" s="31" t="s">
        <v>208</v>
      </c>
      <c r="E1602" s="31" t="s">
        <v>41</v>
      </c>
      <c r="F1602" s="31" t="s">
        <v>46</v>
      </c>
      <c r="G1602" s="31" t="s">
        <v>58</v>
      </c>
      <c r="H1602" s="31" t="s">
        <v>169</v>
      </c>
      <c r="I1602" s="32" t="str">
        <f aca="false">INDEX(Productos!$B$2:$B$13,MATCH($H1602,Productos!$A$2:$A$13,0))</f>
        <v>Tornillo DIN 912 M10x60 Allen inox A2</v>
      </c>
      <c r="J1602" s="32" t="str">
        <f aca="false">INDEX(Productos!$C$2:$C$13,MATCH($H1602,Productos!$A$2:$A$13,0))</f>
        <v>Inoxidable</v>
      </c>
      <c r="K1602" s="31" t="s">
        <v>246</v>
      </c>
      <c r="L1602" s="46" t="n">
        <v>167</v>
      </c>
      <c r="M1602" s="50" t="n">
        <f aca="false">INDEX(Productos!$F$2:$F$13,MATCH($H1602,Productos!$A$2:$A$13,0))</f>
        <v>79</v>
      </c>
      <c r="N1602" s="51" t="n">
        <v>0.102</v>
      </c>
      <c r="O1602" s="52" t="n">
        <f aca="false">M1602*(1-N1602)</f>
        <v>70.942</v>
      </c>
      <c r="P1602" s="21" t="n">
        <f aca="false">L1602*O1602</f>
        <v>11847.314</v>
      </c>
      <c r="Q1602" s="50" t="n">
        <f aca="false">INDEX(Productos!$E$2:$E$13,MATCH($H1602,Productos!$A$2:$A$13,0))*INDEX(Parametros!$B$26:$B$43,MATCH($C1602,Parametros!$A$26:$A$43,0))</f>
        <v>42.336</v>
      </c>
      <c r="R1602" s="21" t="n">
        <f aca="false">L1602*Q1602</f>
        <v>7070.112</v>
      </c>
      <c r="S1602" s="18" t="n">
        <f aca="false">L1602*INDEX(Parametros!$B$20:$B$22,MATCH($E1602,Parametros!$A$20:$A$22,0))</f>
        <v>141.95</v>
      </c>
      <c r="T1602" s="18" t="n">
        <f aca="false">P1602*INDEX(Parametros!$B$13:$B$16,MATCH($F1602,Parametros!$A$13:$A$16,0))</f>
        <v>473.89256</v>
      </c>
      <c r="U1602" s="21" t="n">
        <f aca="false">P1602-R1602-S1602-T1602</f>
        <v>4161.35944</v>
      </c>
      <c r="V1602" s="19" t="n">
        <f aca="false">IFERROR(U1602/P1602,0)</f>
        <v>0.351249189478729</v>
      </c>
      <c r="W1602" s="48" t="n">
        <f aca="false">B1602+INDEX(Parametros!$C$13:$C$16,MATCH($F1602,Parametros!$A$13:$A$16,0))</f>
        <v>46271</v>
      </c>
      <c r="X1602" s="31" t="s">
        <v>68</v>
      </c>
      <c r="Y1602" s="53" t="n">
        <f aca="false">IF(COUNTIF($A$2:$A1602,A1602)=1,1,0)</f>
        <v>0</v>
      </c>
    </row>
    <row r="1603" customFormat="false" ht="15" hidden="false" customHeight="false" outlineLevel="0" collapsed="false">
      <c r="A1603" s="31" t="s">
        <v>1107</v>
      </c>
      <c r="B1603" s="36" t="n">
        <v>46196</v>
      </c>
      <c r="C1603" s="49" t="n">
        <f aca="false">DATE(YEAR(B1603),MONTH(B1603),1)</f>
        <v>46174</v>
      </c>
      <c r="D1603" s="31" t="s">
        <v>213</v>
      </c>
      <c r="E1603" s="31" t="s">
        <v>42</v>
      </c>
      <c r="F1603" s="31" t="s">
        <v>46</v>
      </c>
      <c r="G1603" s="31" t="s">
        <v>61</v>
      </c>
      <c r="H1603" s="31" t="s">
        <v>173</v>
      </c>
      <c r="I1603" s="32" t="str">
        <f aca="false">INDEX(Productos!$B$2:$B$13,MATCH($H1603,Productos!$A$2:$A$13,0))</f>
        <v>Tornillo DIN 933 M12x70 clase 8.8</v>
      </c>
      <c r="J1603" s="32" t="str">
        <f aca="false">INDEX(Productos!$C$2:$C$13,MATCH($H1603,Productos!$A$2:$A$13,0))</f>
        <v>Métrica</v>
      </c>
      <c r="K1603" s="31" t="s">
        <v>246</v>
      </c>
      <c r="L1603" s="46" t="n">
        <v>99</v>
      </c>
      <c r="M1603" s="50" t="n">
        <f aca="false">INDEX(Productos!$F$2:$F$13,MATCH($H1603,Productos!$A$2:$A$13,0))</f>
        <v>64</v>
      </c>
      <c r="N1603" s="51" t="n">
        <v>0.099</v>
      </c>
      <c r="O1603" s="52" t="n">
        <f aca="false">M1603*(1-N1603)</f>
        <v>57.664</v>
      </c>
      <c r="P1603" s="21" t="n">
        <f aca="false">L1603*O1603</f>
        <v>5708.736</v>
      </c>
      <c r="Q1603" s="50" t="n">
        <f aca="false">INDEX(Productos!$E$2:$E$13,MATCH($H1603,Productos!$A$2:$A$13,0))*INDEX(Parametros!$B$26:$B$43,MATCH($C1603,Parametros!$A$26:$A$43,0))</f>
        <v>33.768</v>
      </c>
      <c r="R1603" s="21" t="n">
        <f aca="false">L1603*Q1603</f>
        <v>3343.032</v>
      </c>
      <c r="S1603" s="18" t="n">
        <f aca="false">L1603*INDEX(Parametros!$B$20:$B$22,MATCH($E1603,Parametros!$A$20:$A$22,0))</f>
        <v>237.6</v>
      </c>
      <c r="T1603" s="18" t="n">
        <f aca="false">P1603*INDEX(Parametros!$B$13:$B$16,MATCH($F1603,Parametros!$A$13:$A$16,0))</f>
        <v>228.34944</v>
      </c>
      <c r="U1603" s="21" t="n">
        <f aca="false">P1603-R1603-S1603-T1603</f>
        <v>1899.75456</v>
      </c>
      <c r="V1603" s="19" t="n">
        <f aca="false">IFERROR(U1603/P1603,0)</f>
        <v>0.332780244173141</v>
      </c>
      <c r="W1603" s="48" t="n">
        <f aca="false">B1603+INDEX(Parametros!$C$13:$C$16,MATCH($F1603,Parametros!$A$13:$A$16,0))</f>
        <v>46271</v>
      </c>
      <c r="X1603" s="31" t="s">
        <v>68</v>
      </c>
      <c r="Y1603" s="53" t="n">
        <f aca="false">IF(COUNTIF($A$2:$A1603,A1603)=1,1,0)</f>
        <v>1</v>
      </c>
    </row>
    <row r="1604" customFormat="false" ht="15" hidden="false" customHeight="false" outlineLevel="0" collapsed="false">
      <c r="A1604" s="31" t="s">
        <v>1107</v>
      </c>
      <c r="B1604" s="36" t="n">
        <v>46196</v>
      </c>
      <c r="C1604" s="49" t="n">
        <f aca="false">DATE(YEAR(B1604),MONTH(B1604),1)</f>
        <v>46174</v>
      </c>
      <c r="D1604" s="31" t="s">
        <v>213</v>
      </c>
      <c r="E1604" s="31" t="s">
        <v>42</v>
      </c>
      <c r="F1604" s="31" t="s">
        <v>46</v>
      </c>
      <c r="G1604" s="31" t="s">
        <v>61</v>
      </c>
      <c r="H1604" s="31" t="s">
        <v>167</v>
      </c>
      <c r="I1604" s="32" t="str">
        <f aca="false">INDEX(Productos!$B$2:$B$13,MATCH($H1604,Productos!$A$2:$A$13,0))</f>
        <v>Tornillo DIN 912 M6x25 Allen zincado</v>
      </c>
      <c r="J1604" s="32" t="str">
        <f aca="false">INDEX(Productos!$C$2:$C$13,MATCH($H1604,Productos!$A$2:$A$13,0))</f>
        <v>Métrica</v>
      </c>
      <c r="K1604" s="31" t="s">
        <v>246</v>
      </c>
      <c r="L1604" s="46" t="n">
        <v>191</v>
      </c>
      <c r="M1604" s="50" t="n">
        <f aca="false">INDEX(Productos!$F$2:$F$13,MATCH($H1604,Productos!$A$2:$A$13,0))</f>
        <v>42</v>
      </c>
      <c r="N1604" s="51" t="n">
        <v>0.134</v>
      </c>
      <c r="O1604" s="52" t="n">
        <f aca="false">M1604*(1-N1604)</f>
        <v>36.372</v>
      </c>
      <c r="P1604" s="21" t="n">
        <f aca="false">L1604*O1604</f>
        <v>6947.052</v>
      </c>
      <c r="Q1604" s="50" t="n">
        <f aca="false">INDEX(Productos!$E$2:$E$13,MATCH($H1604,Productos!$A$2:$A$13,0))*INDEX(Parametros!$B$26:$B$43,MATCH($C1604,Parametros!$A$26:$A$43,0))</f>
        <v>21.9744</v>
      </c>
      <c r="R1604" s="21" t="n">
        <f aca="false">L1604*Q1604</f>
        <v>4197.1104</v>
      </c>
      <c r="S1604" s="18" t="n">
        <f aca="false">L1604*INDEX(Parametros!$B$20:$B$22,MATCH($E1604,Parametros!$A$20:$A$22,0))</f>
        <v>458.4</v>
      </c>
      <c r="T1604" s="18" t="n">
        <f aca="false">P1604*INDEX(Parametros!$B$13:$B$16,MATCH($F1604,Parametros!$A$13:$A$16,0))</f>
        <v>277.88208</v>
      </c>
      <c r="U1604" s="21" t="n">
        <f aca="false">P1604-R1604-S1604-T1604</f>
        <v>2013.65952</v>
      </c>
      <c r="V1604" s="19" t="n">
        <f aca="false">IFERROR(U1604/P1604,0)</f>
        <v>0.289858132629495</v>
      </c>
      <c r="W1604" s="48" t="n">
        <f aca="false">B1604+INDEX(Parametros!$C$13:$C$16,MATCH($F1604,Parametros!$A$13:$A$16,0))</f>
        <v>46271</v>
      </c>
      <c r="X1604" s="31" t="s">
        <v>68</v>
      </c>
      <c r="Y1604" s="53" t="n">
        <f aca="false">IF(COUNTIF($A$2:$A1604,A1604)=1,1,0)</f>
        <v>0</v>
      </c>
    </row>
    <row r="1605" customFormat="false" ht="15" hidden="false" customHeight="false" outlineLevel="0" collapsed="false">
      <c r="A1605" s="31" t="s">
        <v>1107</v>
      </c>
      <c r="B1605" s="36" t="n">
        <v>46196</v>
      </c>
      <c r="C1605" s="49" t="n">
        <f aca="false">DATE(YEAR(B1605),MONTH(B1605),1)</f>
        <v>46174</v>
      </c>
      <c r="D1605" s="31" t="s">
        <v>213</v>
      </c>
      <c r="E1605" s="31" t="s">
        <v>42</v>
      </c>
      <c r="F1605" s="31" t="s">
        <v>46</v>
      </c>
      <c r="G1605" s="31" t="s">
        <v>61</v>
      </c>
      <c r="H1605" s="31" t="s">
        <v>179</v>
      </c>
      <c r="I1605" s="32" t="str">
        <f aca="false">INDEX(Productos!$B$2:$B$13,MATCH($H1605,Productos!$A$2:$A$13,0))</f>
        <v>Autotaladrante DIN 7504 4,8x38 zincado</v>
      </c>
      <c r="J1605" s="32" t="str">
        <f aca="false">INDEX(Productos!$C$2:$C$13,MATCH($H1605,Productos!$A$2:$A$13,0))</f>
        <v>Autotaladrante</v>
      </c>
      <c r="K1605" s="31" t="s">
        <v>246</v>
      </c>
      <c r="L1605" s="46" t="n">
        <v>59</v>
      </c>
      <c r="M1605" s="50" t="n">
        <f aca="false">INDEX(Productos!$F$2:$F$13,MATCH($H1605,Productos!$A$2:$A$13,0))</f>
        <v>29.5</v>
      </c>
      <c r="N1605" s="51" t="n">
        <v>0.165</v>
      </c>
      <c r="O1605" s="52" t="n">
        <f aca="false">M1605*(1-N1605)</f>
        <v>24.6325</v>
      </c>
      <c r="P1605" s="21" t="n">
        <f aca="false">L1605*O1605</f>
        <v>1453.3175</v>
      </c>
      <c r="Q1605" s="50" t="n">
        <f aca="false">INDEX(Productos!$E$2:$E$13,MATCH($H1605,Productos!$A$2:$A$13,0))*INDEX(Parametros!$B$26:$B$43,MATCH($C1605,Parametros!$A$26:$A$43,0))</f>
        <v>15.3216</v>
      </c>
      <c r="R1605" s="21" t="n">
        <f aca="false">L1605*Q1605</f>
        <v>903.9744</v>
      </c>
      <c r="S1605" s="18" t="n">
        <f aca="false">L1605*INDEX(Parametros!$B$20:$B$22,MATCH($E1605,Parametros!$A$20:$A$22,0))</f>
        <v>141.6</v>
      </c>
      <c r="T1605" s="18" t="n">
        <f aca="false">P1605*INDEX(Parametros!$B$13:$B$16,MATCH($F1605,Parametros!$A$13:$A$16,0))</f>
        <v>58.1327</v>
      </c>
      <c r="U1605" s="21" t="n">
        <f aca="false">P1605-R1605-S1605-T1605</f>
        <v>349.6104</v>
      </c>
      <c r="V1605" s="19" t="n">
        <f aca="false">IFERROR(U1605/P1605,0)</f>
        <v>0.240560235461281</v>
      </c>
      <c r="W1605" s="48" t="n">
        <f aca="false">B1605+INDEX(Parametros!$C$13:$C$16,MATCH($F1605,Parametros!$A$13:$A$16,0))</f>
        <v>46271</v>
      </c>
      <c r="X1605" s="31" t="s">
        <v>68</v>
      </c>
      <c r="Y1605" s="53" t="n">
        <f aca="false">IF(COUNTIF($A$2:$A1605,A1605)=1,1,0)</f>
        <v>0</v>
      </c>
    </row>
    <row r="1606" customFormat="false" ht="15" hidden="false" customHeight="false" outlineLevel="0" collapsed="false">
      <c r="A1606" s="31" t="s">
        <v>1107</v>
      </c>
      <c r="B1606" s="36" t="n">
        <v>46196</v>
      </c>
      <c r="C1606" s="49" t="n">
        <f aca="false">DATE(YEAR(B1606),MONTH(B1606),1)</f>
        <v>46174</v>
      </c>
      <c r="D1606" s="31" t="s">
        <v>213</v>
      </c>
      <c r="E1606" s="31" t="s">
        <v>42</v>
      </c>
      <c r="F1606" s="31" t="s">
        <v>46</v>
      </c>
      <c r="G1606" s="31" t="s">
        <v>61</v>
      </c>
      <c r="H1606" s="31" t="s">
        <v>181</v>
      </c>
      <c r="I1606" s="32" t="str">
        <f aca="false">INDEX(Productos!$B$2:$B$13,MATCH($H1606,Productos!$A$2:$A$13,0))</f>
        <v>Autotaladrante 5,5x55 punta broca</v>
      </c>
      <c r="J1606" s="32" t="str">
        <f aca="false">INDEX(Productos!$C$2:$C$13,MATCH($H1606,Productos!$A$2:$A$13,0))</f>
        <v>Autotaladrante</v>
      </c>
      <c r="K1606" s="31" t="s">
        <v>246</v>
      </c>
      <c r="L1606" s="46" t="n">
        <v>133</v>
      </c>
      <c r="M1606" s="50" t="n">
        <f aca="false">INDEX(Productos!$F$2:$F$13,MATCH($H1606,Productos!$A$2:$A$13,0))</f>
        <v>39</v>
      </c>
      <c r="N1606" s="51" t="n">
        <v>0.174</v>
      </c>
      <c r="O1606" s="52" t="n">
        <f aca="false">M1606*(1-N1606)</f>
        <v>32.214</v>
      </c>
      <c r="P1606" s="21" t="n">
        <f aca="false">L1606*O1606</f>
        <v>4284.462</v>
      </c>
      <c r="Q1606" s="50" t="n">
        <f aca="false">INDEX(Productos!$E$2:$E$13,MATCH($H1606,Productos!$A$2:$A$13,0))*INDEX(Parametros!$B$26:$B$43,MATCH($C1606,Parametros!$A$26:$A$43,0))</f>
        <v>20.4624</v>
      </c>
      <c r="R1606" s="21" t="n">
        <f aca="false">L1606*Q1606</f>
        <v>2721.4992</v>
      </c>
      <c r="S1606" s="18" t="n">
        <f aca="false">L1606*INDEX(Parametros!$B$20:$B$22,MATCH($E1606,Parametros!$A$20:$A$22,0))</f>
        <v>319.2</v>
      </c>
      <c r="T1606" s="18" t="n">
        <f aca="false">P1606*INDEX(Parametros!$B$13:$B$16,MATCH($F1606,Parametros!$A$13:$A$16,0))</f>
        <v>171.37848</v>
      </c>
      <c r="U1606" s="21" t="n">
        <f aca="false">P1606-R1606-S1606-T1606</f>
        <v>1072.38432</v>
      </c>
      <c r="V1606" s="19" t="n">
        <f aca="false">IFERROR(U1606/P1606,0)</f>
        <v>0.250296144533433</v>
      </c>
      <c r="W1606" s="48" t="n">
        <f aca="false">B1606+INDEX(Parametros!$C$13:$C$16,MATCH($F1606,Parametros!$A$13:$A$16,0))</f>
        <v>46271</v>
      </c>
      <c r="X1606" s="31" t="s">
        <v>68</v>
      </c>
      <c r="Y1606" s="53" t="n">
        <f aca="false">IF(COUNTIF($A$2:$A1606,A1606)=1,1,0)</f>
        <v>0</v>
      </c>
    </row>
    <row r="1607" customFormat="false" ht="15" hidden="false" customHeight="false" outlineLevel="0" collapsed="false">
      <c r="A1607" s="31" t="s">
        <v>1108</v>
      </c>
      <c r="B1607" s="36" t="n">
        <v>46197</v>
      </c>
      <c r="C1607" s="49" t="n">
        <f aca="false">DATE(YEAR(B1607),MONTH(B1607),1)</f>
        <v>46174</v>
      </c>
      <c r="D1607" s="31" t="s">
        <v>210</v>
      </c>
      <c r="E1607" s="31" t="s">
        <v>41</v>
      </c>
      <c r="F1607" s="31" t="s">
        <v>48</v>
      </c>
      <c r="G1607" s="31" t="s">
        <v>60</v>
      </c>
      <c r="H1607" s="31" t="s">
        <v>163</v>
      </c>
      <c r="I1607" s="32" t="str">
        <f aca="false">INDEX(Productos!$B$2:$B$13,MATCH($H1607,Productos!$A$2:$A$13,0))</f>
        <v>Tornillo DIN 933 M6x30 rosca completa zincado</v>
      </c>
      <c r="J1607" s="32" t="str">
        <f aca="false">INDEX(Productos!$C$2:$C$13,MATCH($H1607,Productos!$A$2:$A$13,0))</f>
        <v>Métrica</v>
      </c>
      <c r="K1607" s="31" t="s">
        <v>275</v>
      </c>
      <c r="L1607" s="46" t="n">
        <v>-5</v>
      </c>
      <c r="M1607" s="50" t="n">
        <f aca="false">INDEX(Productos!$F$2:$F$13,MATCH($H1607,Productos!$A$2:$A$13,0))</f>
        <v>32</v>
      </c>
      <c r="N1607" s="51" t="n">
        <v>0.046</v>
      </c>
      <c r="O1607" s="52" t="n">
        <f aca="false">M1607*(1-N1607)</f>
        <v>30.528</v>
      </c>
      <c r="P1607" s="21" t="n">
        <f aca="false">L1607*O1607</f>
        <v>-152.64</v>
      </c>
      <c r="Q1607" s="50" t="n">
        <f aca="false">INDEX(Productos!$E$2:$E$13,MATCH($H1607,Productos!$A$2:$A$13,0))*INDEX(Parametros!$B$26:$B$43,MATCH($C1607,Parametros!$A$26:$A$43,0))</f>
        <v>16.7328</v>
      </c>
      <c r="R1607" s="21" t="n">
        <f aca="false">L1607*Q1607</f>
        <v>-83.664</v>
      </c>
      <c r="S1607" s="18" t="n">
        <f aca="false">L1607*INDEX(Parametros!$B$20:$B$22,MATCH($E1607,Parametros!$A$20:$A$22,0))</f>
        <v>-4.25</v>
      </c>
      <c r="T1607" s="18" t="n">
        <f aca="false">P1607*INDEX(Parametros!$B$13:$B$16,MATCH($F1607,Parametros!$A$13:$A$16,0))</f>
        <v>-1.5264</v>
      </c>
      <c r="U1607" s="21" t="n">
        <f aca="false">P1607-R1607-S1607-T1607</f>
        <v>-63.1996</v>
      </c>
      <c r="V1607" s="19" t="n">
        <f aca="false">IFERROR(U1607/P1607,0)</f>
        <v>0.414043501048218</v>
      </c>
      <c r="W1607" s="48" t="n">
        <f aca="false">B1607+INDEX(Parametros!$C$13:$C$16,MATCH($F1607,Parametros!$A$13:$A$16,0))</f>
        <v>46197</v>
      </c>
      <c r="X1607" s="31" t="s">
        <v>67</v>
      </c>
      <c r="Y1607" s="53" t="n">
        <f aca="false">IF(COUNTIF($A$2:$A1607,A1607)=1,1,0)</f>
        <v>1</v>
      </c>
    </row>
    <row r="1608" customFormat="false" ht="15" hidden="false" customHeight="false" outlineLevel="0" collapsed="false">
      <c r="A1608" s="31" t="s">
        <v>1108</v>
      </c>
      <c r="B1608" s="36" t="n">
        <v>46197</v>
      </c>
      <c r="C1608" s="49" t="n">
        <f aca="false">DATE(YEAR(B1608),MONTH(B1608),1)</f>
        <v>46174</v>
      </c>
      <c r="D1608" s="31" t="s">
        <v>210</v>
      </c>
      <c r="E1608" s="31" t="s">
        <v>41</v>
      </c>
      <c r="F1608" s="31" t="s">
        <v>48</v>
      </c>
      <c r="G1608" s="31" t="s">
        <v>60</v>
      </c>
      <c r="H1608" s="31" t="s">
        <v>181</v>
      </c>
      <c r="I1608" s="32" t="str">
        <f aca="false">INDEX(Productos!$B$2:$B$13,MATCH($H1608,Productos!$A$2:$A$13,0))</f>
        <v>Autotaladrante 5,5x55 punta broca</v>
      </c>
      <c r="J1608" s="32" t="str">
        <f aca="false">INDEX(Productos!$C$2:$C$13,MATCH($H1608,Productos!$A$2:$A$13,0))</f>
        <v>Autotaladrante</v>
      </c>
      <c r="K1608" s="31" t="s">
        <v>275</v>
      </c>
      <c r="L1608" s="46" t="n">
        <v>-2</v>
      </c>
      <c r="M1608" s="50" t="n">
        <f aca="false">INDEX(Productos!$F$2:$F$13,MATCH($H1608,Productos!$A$2:$A$13,0))</f>
        <v>39</v>
      </c>
      <c r="N1608" s="51" t="n">
        <v>0.024</v>
      </c>
      <c r="O1608" s="52" t="n">
        <f aca="false">M1608*(1-N1608)</f>
        <v>38.064</v>
      </c>
      <c r="P1608" s="21" t="n">
        <f aca="false">L1608*O1608</f>
        <v>-76.128</v>
      </c>
      <c r="Q1608" s="50" t="n">
        <f aca="false">INDEX(Productos!$E$2:$E$13,MATCH($H1608,Productos!$A$2:$A$13,0))*INDEX(Parametros!$B$26:$B$43,MATCH($C1608,Parametros!$A$26:$A$43,0))</f>
        <v>20.4624</v>
      </c>
      <c r="R1608" s="21" t="n">
        <f aca="false">L1608*Q1608</f>
        <v>-40.9248</v>
      </c>
      <c r="S1608" s="18" t="n">
        <f aca="false">L1608*INDEX(Parametros!$B$20:$B$22,MATCH($E1608,Parametros!$A$20:$A$22,0))</f>
        <v>-1.7</v>
      </c>
      <c r="T1608" s="18" t="n">
        <f aca="false">P1608*INDEX(Parametros!$B$13:$B$16,MATCH($F1608,Parametros!$A$13:$A$16,0))</f>
        <v>-0.76128</v>
      </c>
      <c r="U1608" s="21" t="n">
        <f aca="false">P1608-R1608-S1608-T1608</f>
        <v>-32.74192</v>
      </c>
      <c r="V1608" s="19" t="n">
        <f aca="false">IFERROR(U1608/P1608,0)</f>
        <v>0.430090374106768</v>
      </c>
      <c r="W1608" s="48" t="n">
        <f aca="false">B1608+INDEX(Parametros!$C$13:$C$16,MATCH($F1608,Parametros!$A$13:$A$16,0))</f>
        <v>46197</v>
      </c>
      <c r="X1608" s="31" t="s">
        <v>67</v>
      </c>
      <c r="Y1608" s="53" t="n">
        <f aca="false">IF(COUNTIF($A$2:$A1608,A1608)=1,1,0)</f>
        <v>0</v>
      </c>
    </row>
    <row r="1609" customFormat="false" ht="15" hidden="false" customHeight="false" outlineLevel="0" collapsed="false">
      <c r="A1609" s="31" t="s">
        <v>1109</v>
      </c>
      <c r="B1609" s="36" t="n">
        <v>46199</v>
      </c>
      <c r="C1609" s="49" t="n">
        <f aca="false">DATE(YEAR(B1609),MONTH(B1609),1)</f>
        <v>46174</v>
      </c>
      <c r="D1609" s="31" t="s">
        <v>226</v>
      </c>
      <c r="E1609" s="31" t="s">
        <v>43</v>
      </c>
      <c r="F1609" s="31" t="s">
        <v>46</v>
      </c>
      <c r="G1609" s="31" t="s">
        <v>59</v>
      </c>
      <c r="H1609" s="31" t="s">
        <v>179</v>
      </c>
      <c r="I1609" s="32" t="str">
        <f aca="false">INDEX(Productos!$B$2:$B$13,MATCH($H1609,Productos!$A$2:$A$13,0))</f>
        <v>Autotaladrante DIN 7504 4,8x38 zincado</v>
      </c>
      <c r="J1609" s="32" t="str">
        <f aca="false">INDEX(Productos!$C$2:$C$13,MATCH($H1609,Productos!$A$2:$A$13,0))</f>
        <v>Autotaladrante</v>
      </c>
      <c r="K1609" s="31" t="s">
        <v>246</v>
      </c>
      <c r="L1609" s="46" t="n">
        <v>34</v>
      </c>
      <c r="M1609" s="50" t="n">
        <f aca="false">INDEX(Productos!$F$2:$F$13,MATCH($H1609,Productos!$A$2:$A$13,0))</f>
        <v>29.5</v>
      </c>
      <c r="N1609" s="51" t="n">
        <v>0.123</v>
      </c>
      <c r="O1609" s="52" t="n">
        <f aca="false">M1609*(1-N1609)</f>
        <v>25.8715</v>
      </c>
      <c r="P1609" s="21" t="n">
        <f aca="false">L1609*O1609</f>
        <v>879.631</v>
      </c>
      <c r="Q1609" s="50" t="n">
        <f aca="false">INDEX(Productos!$E$2:$E$13,MATCH($H1609,Productos!$A$2:$A$13,0))*INDEX(Parametros!$B$26:$B$43,MATCH($C1609,Parametros!$A$26:$A$43,0))</f>
        <v>15.3216</v>
      </c>
      <c r="R1609" s="21" t="n">
        <f aca="false">L1609*Q1609</f>
        <v>520.9344</v>
      </c>
      <c r="S1609" s="18" t="n">
        <f aca="false">L1609*INDEX(Parametros!$B$20:$B$22,MATCH($E1609,Parametros!$A$20:$A$22,0))</f>
        <v>64.6</v>
      </c>
      <c r="T1609" s="18" t="n">
        <f aca="false">P1609*INDEX(Parametros!$B$13:$B$16,MATCH($F1609,Parametros!$A$13:$A$16,0))</f>
        <v>35.18524</v>
      </c>
      <c r="U1609" s="21" t="n">
        <f aca="false">P1609-R1609-S1609-T1609</f>
        <v>258.91136</v>
      </c>
      <c r="V1609" s="19" t="n">
        <f aca="false">IFERROR(U1609/P1609,0)</f>
        <v>0.294340877026844</v>
      </c>
      <c r="W1609" s="48" t="n">
        <f aca="false">B1609+INDEX(Parametros!$C$13:$C$16,MATCH($F1609,Parametros!$A$13:$A$16,0))</f>
        <v>46274</v>
      </c>
      <c r="X1609" s="31" t="s">
        <v>68</v>
      </c>
      <c r="Y1609" s="53" t="n">
        <f aca="false">IF(COUNTIF($A$2:$A1609,A1609)=1,1,0)</f>
        <v>1</v>
      </c>
    </row>
    <row r="1610" customFormat="false" ht="15" hidden="false" customHeight="false" outlineLevel="0" collapsed="false">
      <c r="A1610" s="31" t="s">
        <v>1110</v>
      </c>
      <c r="B1610" s="36" t="n">
        <v>46202</v>
      </c>
      <c r="C1610" s="49" t="n">
        <f aca="false">DATE(YEAR(B1610),MONTH(B1610),1)</f>
        <v>46174</v>
      </c>
      <c r="D1610" s="31" t="s">
        <v>194</v>
      </c>
      <c r="E1610" s="31" t="s">
        <v>41</v>
      </c>
      <c r="F1610" s="31" t="s">
        <v>46</v>
      </c>
      <c r="G1610" s="31" t="s">
        <v>58</v>
      </c>
      <c r="H1610" s="31" t="s">
        <v>175</v>
      </c>
      <c r="I1610" s="32" t="str">
        <f aca="false">INDEX(Productos!$B$2:$B$13,MATCH($H1610,Productos!$A$2:$A$13,0))</f>
        <v>Tirafondo madera 5x60 cabeza plana Torx</v>
      </c>
      <c r="J1610" s="32" t="str">
        <f aca="false">INDEX(Productos!$C$2:$C$13,MATCH($H1610,Productos!$A$2:$A$13,0))</f>
        <v>Madera</v>
      </c>
      <c r="K1610" s="31" t="s">
        <v>246</v>
      </c>
      <c r="L1610" s="46" t="n">
        <v>129</v>
      </c>
      <c r="M1610" s="50" t="n">
        <f aca="false">INDEX(Productos!$F$2:$F$13,MATCH($H1610,Productos!$A$2:$A$13,0))</f>
        <v>26</v>
      </c>
      <c r="N1610" s="51" t="n">
        <v>0.139</v>
      </c>
      <c r="O1610" s="52" t="n">
        <f aca="false">M1610*(1-N1610)</f>
        <v>22.386</v>
      </c>
      <c r="P1610" s="21" t="n">
        <f aca="false">L1610*O1610</f>
        <v>2887.794</v>
      </c>
      <c r="Q1610" s="50" t="n">
        <f aca="false">INDEX(Productos!$E$2:$E$13,MATCH($H1610,Productos!$A$2:$A$13,0))*INDEX(Parametros!$B$26:$B$43,MATCH($C1610,Parametros!$A$26:$A$43,0))</f>
        <v>13.5072</v>
      </c>
      <c r="R1610" s="21" t="n">
        <f aca="false">L1610*Q1610</f>
        <v>1742.4288</v>
      </c>
      <c r="S1610" s="18" t="n">
        <f aca="false">L1610*INDEX(Parametros!$B$20:$B$22,MATCH($E1610,Parametros!$A$20:$A$22,0))</f>
        <v>109.65</v>
      </c>
      <c r="T1610" s="18" t="n">
        <f aca="false">P1610*INDEX(Parametros!$B$13:$B$16,MATCH($F1610,Parametros!$A$13:$A$16,0))</f>
        <v>115.51176</v>
      </c>
      <c r="U1610" s="21" t="n">
        <f aca="false">P1610-R1610-S1610-T1610</f>
        <v>920.20344</v>
      </c>
      <c r="V1610" s="19" t="n">
        <f aca="false">IFERROR(U1610/P1610,0)</f>
        <v>0.318652729384437</v>
      </c>
      <c r="W1610" s="48" t="n">
        <f aca="false">B1610+INDEX(Parametros!$C$13:$C$16,MATCH($F1610,Parametros!$A$13:$A$16,0))</f>
        <v>46277</v>
      </c>
      <c r="X1610" s="31" t="s">
        <v>68</v>
      </c>
      <c r="Y1610" s="53" t="n">
        <f aca="false">IF(COUNTIF($A$2:$A1610,A1610)=1,1,0)</f>
        <v>1</v>
      </c>
    </row>
    <row r="1611" customFormat="false" ht="15" hidden="false" customHeight="false" outlineLevel="0" collapsed="false">
      <c r="A1611" s="31" t="s">
        <v>1110</v>
      </c>
      <c r="B1611" s="36" t="n">
        <v>46202</v>
      </c>
      <c r="C1611" s="49" t="n">
        <f aca="false">DATE(YEAR(B1611),MONTH(B1611),1)</f>
        <v>46174</v>
      </c>
      <c r="D1611" s="31" t="s">
        <v>194</v>
      </c>
      <c r="E1611" s="31" t="s">
        <v>41</v>
      </c>
      <c r="F1611" s="31" t="s">
        <v>46</v>
      </c>
      <c r="G1611" s="31" t="s">
        <v>58</v>
      </c>
      <c r="H1611" s="31" t="s">
        <v>171</v>
      </c>
      <c r="I1611" s="32" t="str">
        <f aca="false">INDEX(Productos!$B$2:$B$13,MATCH($H1611,Productos!$A$2:$A$13,0))</f>
        <v>Tornillo DIN 7991 M8x30 avellanado inox A2</v>
      </c>
      <c r="J1611" s="32" t="str">
        <f aca="false">INDEX(Productos!$C$2:$C$13,MATCH($H1611,Productos!$A$2:$A$13,0))</f>
        <v>Inoxidable</v>
      </c>
      <c r="K1611" s="31" t="s">
        <v>246</v>
      </c>
      <c r="L1611" s="46" t="n">
        <v>54</v>
      </c>
      <c r="M1611" s="50" t="n">
        <f aca="false">INDEX(Productos!$F$2:$F$13,MATCH($H1611,Productos!$A$2:$A$13,0))</f>
        <v>88</v>
      </c>
      <c r="N1611" s="51" t="n">
        <v>0.087</v>
      </c>
      <c r="O1611" s="52" t="n">
        <f aca="false">M1611*(1-N1611)</f>
        <v>80.344</v>
      </c>
      <c r="P1611" s="21" t="n">
        <f aca="false">L1611*O1611</f>
        <v>4338.576</v>
      </c>
      <c r="Q1611" s="50" t="n">
        <f aca="false">INDEX(Productos!$E$2:$E$13,MATCH($H1611,Productos!$A$2:$A$13,0))*INDEX(Parametros!$B$26:$B$43,MATCH($C1611,Parametros!$A$26:$A$43,0))</f>
        <v>46.872</v>
      </c>
      <c r="R1611" s="21" t="n">
        <f aca="false">L1611*Q1611</f>
        <v>2531.088</v>
      </c>
      <c r="S1611" s="18" t="n">
        <f aca="false">L1611*INDEX(Parametros!$B$20:$B$22,MATCH($E1611,Parametros!$A$20:$A$22,0))</f>
        <v>45.9</v>
      </c>
      <c r="T1611" s="18" t="n">
        <f aca="false">P1611*INDEX(Parametros!$B$13:$B$16,MATCH($F1611,Parametros!$A$13:$A$16,0))</f>
        <v>173.54304</v>
      </c>
      <c r="U1611" s="21" t="n">
        <f aca="false">P1611-R1611-S1611-T1611</f>
        <v>1588.04496</v>
      </c>
      <c r="V1611" s="19" t="n">
        <f aca="false">IFERROR(U1611/P1611,0)</f>
        <v>0.366029074977596</v>
      </c>
      <c r="W1611" s="48" t="n">
        <f aca="false">B1611+INDEX(Parametros!$C$13:$C$16,MATCH($F1611,Parametros!$A$13:$A$16,0))</f>
        <v>46277</v>
      </c>
      <c r="X1611" s="31" t="s">
        <v>68</v>
      </c>
      <c r="Y1611" s="53" t="n">
        <f aca="false">IF(COUNTIF($A$2:$A1611,A1611)=1,1,0)</f>
        <v>0</v>
      </c>
    </row>
    <row r="1612" customFormat="false" ht="15" hidden="false" customHeight="false" outlineLevel="0" collapsed="false">
      <c r="A1612" s="31" t="s">
        <v>1111</v>
      </c>
      <c r="B1612" s="36" t="n">
        <v>46202</v>
      </c>
      <c r="C1612" s="49" t="n">
        <f aca="false">DATE(YEAR(B1612),MONTH(B1612),1)</f>
        <v>46174</v>
      </c>
      <c r="D1612" s="31" t="s">
        <v>204</v>
      </c>
      <c r="E1612" s="31" t="s">
        <v>41</v>
      </c>
      <c r="F1612" s="31" t="s">
        <v>47</v>
      </c>
      <c r="G1612" s="31" t="s">
        <v>62</v>
      </c>
      <c r="H1612" s="31" t="s">
        <v>179</v>
      </c>
      <c r="I1612" s="32" t="str">
        <f aca="false">INDEX(Productos!$B$2:$B$13,MATCH($H1612,Productos!$A$2:$A$13,0))</f>
        <v>Autotaladrante DIN 7504 4,8x38 zincado</v>
      </c>
      <c r="J1612" s="32" t="str">
        <f aca="false">INDEX(Productos!$C$2:$C$13,MATCH($H1612,Productos!$A$2:$A$13,0))</f>
        <v>Autotaladrante</v>
      </c>
      <c r="K1612" s="31" t="s">
        <v>246</v>
      </c>
      <c r="L1612" s="46" t="n">
        <v>17</v>
      </c>
      <c r="M1612" s="50" t="n">
        <f aca="false">INDEX(Productos!$F$2:$F$13,MATCH($H1612,Productos!$A$2:$A$13,0))</f>
        <v>29.5</v>
      </c>
      <c r="N1612" s="51" t="n">
        <v>0.086</v>
      </c>
      <c r="O1612" s="52" t="n">
        <f aca="false">M1612*(1-N1612)</f>
        <v>26.963</v>
      </c>
      <c r="P1612" s="21" t="n">
        <f aca="false">L1612*O1612</f>
        <v>458.371</v>
      </c>
      <c r="Q1612" s="50" t="n">
        <f aca="false">INDEX(Productos!$E$2:$E$13,MATCH($H1612,Productos!$A$2:$A$13,0))*INDEX(Parametros!$B$26:$B$43,MATCH($C1612,Parametros!$A$26:$A$43,0))</f>
        <v>15.3216</v>
      </c>
      <c r="R1612" s="21" t="n">
        <f aca="false">L1612*Q1612</f>
        <v>260.4672</v>
      </c>
      <c r="S1612" s="18" t="n">
        <f aca="false">L1612*INDEX(Parametros!$B$20:$B$22,MATCH($E1612,Parametros!$A$20:$A$22,0))</f>
        <v>14.45</v>
      </c>
      <c r="T1612" s="18" t="n">
        <f aca="false">P1612*INDEX(Parametros!$B$13:$B$16,MATCH($F1612,Parametros!$A$13:$A$16,0))</f>
        <v>16.042985</v>
      </c>
      <c r="U1612" s="21" t="n">
        <f aca="false">P1612-R1612-S1612-T1612</f>
        <v>167.410815</v>
      </c>
      <c r="V1612" s="19" t="n">
        <f aca="false">IFERROR(U1612/P1612,0)</f>
        <v>0.365229944739087</v>
      </c>
      <c r="W1612" s="48" t="n">
        <f aca="false">B1612+INDEX(Parametros!$C$13:$C$16,MATCH($F1612,Parametros!$A$13:$A$16,0))</f>
        <v>46247</v>
      </c>
      <c r="X1612" s="31" t="s">
        <v>68</v>
      </c>
      <c r="Y1612" s="53" t="n">
        <f aca="false">IF(COUNTIF($A$2:$A1612,A1612)=1,1,0)</f>
        <v>1</v>
      </c>
    </row>
    <row r="1613" customFormat="false" ht="15" hidden="false" customHeight="false" outlineLevel="0" collapsed="false">
      <c r="A1613" s="31" t="s">
        <v>1111</v>
      </c>
      <c r="B1613" s="36" t="n">
        <v>46202</v>
      </c>
      <c r="C1613" s="49" t="n">
        <f aca="false">DATE(YEAR(B1613),MONTH(B1613),1)</f>
        <v>46174</v>
      </c>
      <c r="D1613" s="31" t="s">
        <v>204</v>
      </c>
      <c r="E1613" s="31" t="s">
        <v>41</v>
      </c>
      <c r="F1613" s="31" t="s">
        <v>47</v>
      </c>
      <c r="G1613" s="31" t="s">
        <v>62</v>
      </c>
      <c r="H1613" s="31" t="s">
        <v>183</v>
      </c>
      <c r="I1613" s="32" t="str">
        <f aca="false">INDEX(Productos!$B$2:$B$13,MATCH($H1613,Productos!$A$2:$A$13,0))</f>
        <v>Tornillo estructural M16x90 clase 10.9</v>
      </c>
      <c r="J1613" s="32" t="str">
        <f aca="false">INDEX(Productos!$C$2:$C$13,MATCH($H1613,Productos!$A$2:$A$13,0))</f>
        <v>Especial</v>
      </c>
      <c r="K1613" s="31" t="s">
        <v>246</v>
      </c>
      <c r="L1613" s="46" t="n">
        <v>28</v>
      </c>
      <c r="M1613" s="50" t="n">
        <f aca="false">INDEX(Productos!$F$2:$F$13,MATCH($H1613,Productos!$A$2:$A$13,0))</f>
        <v>112</v>
      </c>
      <c r="N1613" s="51" t="n">
        <v>0.066</v>
      </c>
      <c r="O1613" s="52" t="n">
        <f aca="false">M1613*(1-N1613)</f>
        <v>104.608</v>
      </c>
      <c r="P1613" s="21" t="n">
        <f aca="false">L1613*O1613</f>
        <v>2929.024</v>
      </c>
      <c r="Q1613" s="50" t="n">
        <f aca="false">INDEX(Productos!$E$2:$E$13,MATCH($H1613,Productos!$A$2:$A$13,0))*INDEX(Parametros!$B$26:$B$43,MATCH($C1613,Parametros!$A$26:$A$43,0))</f>
        <v>60.48</v>
      </c>
      <c r="R1613" s="21" t="n">
        <f aca="false">L1613*Q1613</f>
        <v>1693.44</v>
      </c>
      <c r="S1613" s="18" t="n">
        <f aca="false">L1613*INDEX(Parametros!$B$20:$B$22,MATCH($E1613,Parametros!$A$20:$A$22,0))</f>
        <v>23.8</v>
      </c>
      <c r="T1613" s="18" t="n">
        <f aca="false">P1613*INDEX(Parametros!$B$13:$B$16,MATCH($F1613,Parametros!$A$13:$A$16,0))</f>
        <v>102.51584</v>
      </c>
      <c r="U1613" s="21" t="n">
        <f aca="false">P1613-R1613-S1613-T1613</f>
        <v>1109.26816</v>
      </c>
      <c r="V1613" s="19" t="n">
        <f aca="false">IFERROR(U1613/P1613,0)</f>
        <v>0.37871596818599</v>
      </c>
      <c r="W1613" s="48" t="n">
        <f aca="false">B1613+INDEX(Parametros!$C$13:$C$16,MATCH($F1613,Parametros!$A$13:$A$16,0))</f>
        <v>46247</v>
      </c>
      <c r="X1613" s="31" t="s">
        <v>68</v>
      </c>
      <c r="Y1613" s="53" t="n">
        <f aca="false">IF(COUNTIF($A$2:$A1613,A1613)=1,1,0)</f>
        <v>0</v>
      </c>
    </row>
    <row r="1614" customFormat="false" ht="15" hidden="false" customHeight="false" outlineLevel="0" collapsed="false">
      <c r="A1614" s="31" t="s">
        <v>1112</v>
      </c>
      <c r="B1614" s="36" t="n">
        <v>46202</v>
      </c>
      <c r="C1614" s="49" t="n">
        <f aca="false">DATE(YEAR(B1614),MONTH(B1614),1)</f>
        <v>46174</v>
      </c>
      <c r="D1614" s="31" t="s">
        <v>227</v>
      </c>
      <c r="E1614" s="31" t="s">
        <v>43</v>
      </c>
      <c r="F1614" s="31" t="s">
        <v>46</v>
      </c>
      <c r="G1614" s="31" t="s">
        <v>59</v>
      </c>
      <c r="H1614" s="31" t="s">
        <v>171</v>
      </c>
      <c r="I1614" s="32" t="str">
        <f aca="false">INDEX(Productos!$B$2:$B$13,MATCH($H1614,Productos!$A$2:$A$13,0))</f>
        <v>Tornillo DIN 7991 M8x30 avellanado inox A2</v>
      </c>
      <c r="J1614" s="32" t="str">
        <f aca="false">INDEX(Productos!$C$2:$C$13,MATCH($H1614,Productos!$A$2:$A$13,0))</f>
        <v>Inoxidable</v>
      </c>
      <c r="K1614" s="31" t="s">
        <v>246</v>
      </c>
      <c r="L1614" s="46" t="n">
        <v>30</v>
      </c>
      <c r="M1614" s="50" t="n">
        <f aca="false">INDEX(Productos!$F$2:$F$13,MATCH($H1614,Productos!$A$2:$A$13,0))</f>
        <v>88</v>
      </c>
      <c r="N1614" s="51" t="n">
        <v>0.124</v>
      </c>
      <c r="O1614" s="52" t="n">
        <f aca="false">M1614*(1-N1614)</f>
        <v>77.088</v>
      </c>
      <c r="P1614" s="21" t="n">
        <f aca="false">L1614*O1614</f>
        <v>2312.64</v>
      </c>
      <c r="Q1614" s="50" t="n">
        <f aca="false">INDEX(Productos!$E$2:$E$13,MATCH($H1614,Productos!$A$2:$A$13,0))*INDEX(Parametros!$B$26:$B$43,MATCH($C1614,Parametros!$A$26:$A$43,0))</f>
        <v>46.872</v>
      </c>
      <c r="R1614" s="21" t="n">
        <f aca="false">L1614*Q1614</f>
        <v>1406.16</v>
      </c>
      <c r="S1614" s="18" t="n">
        <f aca="false">L1614*INDEX(Parametros!$B$20:$B$22,MATCH($E1614,Parametros!$A$20:$A$22,0))</f>
        <v>57</v>
      </c>
      <c r="T1614" s="18" t="n">
        <f aca="false">P1614*INDEX(Parametros!$B$13:$B$16,MATCH($F1614,Parametros!$A$13:$A$16,0))</f>
        <v>92.5056</v>
      </c>
      <c r="U1614" s="21" t="n">
        <f aca="false">P1614-R1614-S1614-T1614</f>
        <v>756.9744</v>
      </c>
      <c r="V1614" s="19" t="n">
        <f aca="false">IFERROR(U1614/P1614,0)</f>
        <v>0.327320464923205</v>
      </c>
      <c r="W1614" s="48" t="n">
        <f aca="false">B1614+INDEX(Parametros!$C$13:$C$16,MATCH($F1614,Parametros!$A$13:$A$16,0))</f>
        <v>46277</v>
      </c>
      <c r="X1614" s="31" t="s">
        <v>68</v>
      </c>
      <c r="Y1614" s="53" t="n">
        <f aca="false">IF(COUNTIF($A$2:$A1614,A1614)=1,1,0)</f>
        <v>1</v>
      </c>
    </row>
    <row r="1615" customFormat="false" ht="15" hidden="false" customHeight="false" outlineLevel="0" collapsed="false">
      <c r="A1615" s="31" t="s">
        <v>1112</v>
      </c>
      <c r="B1615" s="36" t="n">
        <v>46202</v>
      </c>
      <c r="C1615" s="49" t="n">
        <f aca="false">DATE(YEAR(B1615),MONTH(B1615),1)</f>
        <v>46174</v>
      </c>
      <c r="D1615" s="31" t="s">
        <v>227</v>
      </c>
      <c r="E1615" s="31" t="s">
        <v>43</v>
      </c>
      <c r="F1615" s="31" t="s">
        <v>46</v>
      </c>
      <c r="G1615" s="31" t="s">
        <v>59</v>
      </c>
      <c r="H1615" s="31" t="s">
        <v>167</v>
      </c>
      <c r="I1615" s="32" t="str">
        <f aca="false">INDEX(Productos!$B$2:$B$13,MATCH($H1615,Productos!$A$2:$A$13,0))</f>
        <v>Tornillo DIN 912 M6x25 Allen zincado</v>
      </c>
      <c r="J1615" s="32" t="str">
        <f aca="false">INDEX(Productos!$C$2:$C$13,MATCH($H1615,Productos!$A$2:$A$13,0))</f>
        <v>Métrica</v>
      </c>
      <c r="K1615" s="31" t="s">
        <v>246</v>
      </c>
      <c r="L1615" s="46" t="n">
        <v>50</v>
      </c>
      <c r="M1615" s="50" t="n">
        <f aca="false">INDEX(Productos!$F$2:$F$13,MATCH($H1615,Productos!$A$2:$A$13,0))</f>
        <v>42</v>
      </c>
      <c r="N1615" s="51" t="n">
        <v>0.135</v>
      </c>
      <c r="O1615" s="52" t="n">
        <f aca="false">M1615*(1-N1615)</f>
        <v>36.33</v>
      </c>
      <c r="P1615" s="21" t="n">
        <f aca="false">L1615*O1615</f>
        <v>1816.5</v>
      </c>
      <c r="Q1615" s="50" t="n">
        <f aca="false">INDEX(Productos!$E$2:$E$13,MATCH($H1615,Productos!$A$2:$A$13,0))*INDEX(Parametros!$B$26:$B$43,MATCH($C1615,Parametros!$A$26:$A$43,0))</f>
        <v>21.9744</v>
      </c>
      <c r="R1615" s="21" t="n">
        <f aca="false">L1615*Q1615</f>
        <v>1098.72</v>
      </c>
      <c r="S1615" s="18" t="n">
        <f aca="false">L1615*INDEX(Parametros!$B$20:$B$22,MATCH($E1615,Parametros!$A$20:$A$22,0))</f>
        <v>95</v>
      </c>
      <c r="T1615" s="18" t="n">
        <f aca="false">P1615*INDEX(Parametros!$B$13:$B$16,MATCH($F1615,Parametros!$A$13:$A$16,0))</f>
        <v>72.66</v>
      </c>
      <c r="U1615" s="21" t="n">
        <f aca="false">P1615-R1615-S1615-T1615</f>
        <v>550.12</v>
      </c>
      <c r="V1615" s="19" t="n">
        <f aca="false">IFERROR(U1615/P1615,0)</f>
        <v>0.302846132672722</v>
      </c>
      <c r="W1615" s="48" t="n">
        <f aca="false">B1615+INDEX(Parametros!$C$13:$C$16,MATCH($F1615,Parametros!$A$13:$A$16,0))</f>
        <v>46277</v>
      </c>
      <c r="X1615" s="31" t="s">
        <v>68</v>
      </c>
      <c r="Y1615" s="53" t="n">
        <f aca="false">IF(COUNTIF($A$2:$A1615,A1615)=1,1,0)</f>
        <v>0</v>
      </c>
    </row>
    <row r="1616" customFormat="false" ht="15" hidden="false" customHeight="false" outlineLevel="0" collapsed="false">
      <c r="A1616" s="31" t="s">
        <v>1113</v>
      </c>
      <c r="B1616" s="36" t="n">
        <v>46202</v>
      </c>
      <c r="C1616" s="49" t="n">
        <f aca="false">DATE(YEAR(B1616),MONTH(B1616),1)</f>
        <v>46174</v>
      </c>
      <c r="D1616" s="31" t="s">
        <v>224</v>
      </c>
      <c r="E1616" s="31" t="s">
        <v>43</v>
      </c>
      <c r="F1616" s="31" t="s">
        <v>45</v>
      </c>
      <c r="G1616" s="31" t="s">
        <v>59</v>
      </c>
      <c r="H1616" s="31" t="s">
        <v>163</v>
      </c>
      <c r="I1616" s="32" t="str">
        <f aca="false">INDEX(Productos!$B$2:$B$13,MATCH($H1616,Productos!$A$2:$A$13,0))</f>
        <v>Tornillo DIN 933 M6x30 rosca completa zincado</v>
      </c>
      <c r="J1616" s="32" t="str">
        <f aca="false">INDEX(Productos!$C$2:$C$13,MATCH($H1616,Productos!$A$2:$A$13,0))</f>
        <v>Métrica</v>
      </c>
      <c r="K1616" s="31" t="s">
        <v>246</v>
      </c>
      <c r="L1616" s="46" t="n">
        <v>261</v>
      </c>
      <c r="M1616" s="50" t="n">
        <f aca="false">INDEX(Productos!$F$2:$F$13,MATCH($H1616,Productos!$A$2:$A$13,0))</f>
        <v>32</v>
      </c>
      <c r="N1616" s="51" t="n">
        <v>0.201</v>
      </c>
      <c r="O1616" s="52" t="n">
        <f aca="false">M1616*(1-N1616)</f>
        <v>25.568</v>
      </c>
      <c r="P1616" s="21" t="n">
        <f aca="false">L1616*O1616</f>
        <v>6673.248</v>
      </c>
      <c r="Q1616" s="50" t="n">
        <f aca="false">INDEX(Productos!$E$2:$E$13,MATCH($H1616,Productos!$A$2:$A$13,0))*INDEX(Parametros!$B$26:$B$43,MATCH($C1616,Parametros!$A$26:$A$43,0))</f>
        <v>16.7328</v>
      </c>
      <c r="R1616" s="21" t="n">
        <f aca="false">L1616*Q1616</f>
        <v>4367.2608</v>
      </c>
      <c r="S1616" s="18" t="n">
        <f aca="false">L1616*INDEX(Parametros!$B$20:$B$22,MATCH($E1616,Parametros!$A$20:$A$22,0))</f>
        <v>495.9</v>
      </c>
      <c r="T1616" s="18" t="n">
        <f aca="false">P1616*INDEX(Parametros!$B$13:$B$16,MATCH($F1616,Parametros!$A$13:$A$16,0))</f>
        <v>200.19744</v>
      </c>
      <c r="U1616" s="21" t="n">
        <f aca="false">P1616-R1616-S1616-T1616</f>
        <v>1609.88976</v>
      </c>
      <c r="V1616" s="19" t="n">
        <f aca="false">IFERROR(U1616/P1616,0)</f>
        <v>0.241245306633292</v>
      </c>
      <c r="W1616" s="48" t="n">
        <f aca="false">B1616+INDEX(Parametros!$C$13:$C$16,MATCH($F1616,Parametros!$A$13:$A$16,0))</f>
        <v>46262</v>
      </c>
      <c r="X1616" s="31" t="s">
        <v>68</v>
      </c>
      <c r="Y1616" s="53" t="n">
        <f aca="false">IF(COUNTIF($A$2:$A1616,A1616)=1,1,0)</f>
        <v>1</v>
      </c>
    </row>
    <row r="1617" customFormat="false" ht="15" hidden="false" customHeight="false" outlineLevel="0" collapsed="false">
      <c r="A1617" s="31" t="s">
        <v>1113</v>
      </c>
      <c r="B1617" s="36" t="n">
        <v>46202</v>
      </c>
      <c r="C1617" s="49" t="n">
        <f aca="false">DATE(YEAR(B1617),MONTH(B1617),1)</f>
        <v>46174</v>
      </c>
      <c r="D1617" s="31" t="s">
        <v>224</v>
      </c>
      <c r="E1617" s="31" t="s">
        <v>43</v>
      </c>
      <c r="F1617" s="31" t="s">
        <v>45</v>
      </c>
      <c r="G1617" s="31" t="s">
        <v>59</v>
      </c>
      <c r="H1617" s="31" t="s">
        <v>179</v>
      </c>
      <c r="I1617" s="32" t="str">
        <f aca="false">INDEX(Productos!$B$2:$B$13,MATCH($H1617,Productos!$A$2:$A$13,0))</f>
        <v>Autotaladrante DIN 7504 4,8x38 zincado</v>
      </c>
      <c r="J1617" s="32" t="str">
        <f aca="false">INDEX(Productos!$C$2:$C$13,MATCH($H1617,Productos!$A$2:$A$13,0))</f>
        <v>Autotaladrante</v>
      </c>
      <c r="K1617" s="31" t="s">
        <v>246</v>
      </c>
      <c r="L1617" s="46" t="n">
        <v>149</v>
      </c>
      <c r="M1617" s="50" t="n">
        <f aca="false">INDEX(Productos!$F$2:$F$13,MATCH($H1617,Productos!$A$2:$A$13,0))</f>
        <v>29.5</v>
      </c>
      <c r="N1617" s="51" t="n">
        <v>0.152</v>
      </c>
      <c r="O1617" s="52" t="n">
        <f aca="false">M1617*(1-N1617)</f>
        <v>25.016</v>
      </c>
      <c r="P1617" s="21" t="n">
        <f aca="false">L1617*O1617</f>
        <v>3727.384</v>
      </c>
      <c r="Q1617" s="50" t="n">
        <f aca="false">INDEX(Productos!$E$2:$E$13,MATCH($H1617,Productos!$A$2:$A$13,0))*INDEX(Parametros!$B$26:$B$43,MATCH($C1617,Parametros!$A$26:$A$43,0))</f>
        <v>15.3216</v>
      </c>
      <c r="R1617" s="21" t="n">
        <f aca="false">L1617*Q1617</f>
        <v>2282.9184</v>
      </c>
      <c r="S1617" s="18" t="n">
        <f aca="false">L1617*INDEX(Parametros!$B$20:$B$22,MATCH($E1617,Parametros!$A$20:$A$22,0))</f>
        <v>283.1</v>
      </c>
      <c r="T1617" s="18" t="n">
        <f aca="false">P1617*INDEX(Parametros!$B$13:$B$16,MATCH($F1617,Parametros!$A$13:$A$16,0))</f>
        <v>111.82152</v>
      </c>
      <c r="U1617" s="21" t="n">
        <f aca="false">P1617-R1617-S1617-T1617</f>
        <v>1049.54408</v>
      </c>
      <c r="V1617" s="19" t="n">
        <f aca="false">IFERROR(U1617/P1617,0)</f>
        <v>0.281576590981772</v>
      </c>
      <c r="W1617" s="48" t="n">
        <f aca="false">B1617+INDEX(Parametros!$C$13:$C$16,MATCH($F1617,Parametros!$A$13:$A$16,0))</f>
        <v>46262</v>
      </c>
      <c r="X1617" s="31" t="s">
        <v>68</v>
      </c>
      <c r="Y1617" s="53" t="n">
        <f aca="false">IF(COUNTIF($A$2:$A1617,A1617)=1,1,0)</f>
        <v>0</v>
      </c>
    </row>
    <row r="1618" customFormat="false" ht="15" hidden="false" customHeight="false" outlineLevel="0" collapsed="false">
      <c r="A1618" s="31" t="s">
        <v>1114</v>
      </c>
      <c r="B1618" s="36" t="n">
        <v>46202</v>
      </c>
      <c r="C1618" s="49" t="n">
        <f aca="false">DATE(YEAR(B1618),MONTH(B1618),1)</f>
        <v>46174</v>
      </c>
      <c r="D1618" s="31" t="s">
        <v>200</v>
      </c>
      <c r="E1618" s="31" t="s">
        <v>41</v>
      </c>
      <c r="F1618" s="31" t="s">
        <v>45</v>
      </c>
      <c r="G1618" s="31" t="s">
        <v>62</v>
      </c>
      <c r="H1618" s="31" t="s">
        <v>173</v>
      </c>
      <c r="I1618" s="32" t="str">
        <f aca="false">INDEX(Productos!$B$2:$B$13,MATCH($H1618,Productos!$A$2:$A$13,0))</f>
        <v>Tornillo DIN 933 M12x70 clase 8.8</v>
      </c>
      <c r="J1618" s="32" t="str">
        <f aca="false">INDEX(Productos!$C$2:$C$13,MATCH($H1618,Productos!$A$2:$A$13,0))</f>
        <v>Métrica</v>
      </c>
      <c r="K1618" s="31" t="s">
        <v>246</v>
      </c>
      <c r="L1618" s="46" t="n">
        <v>74</v>
      </c>
      <c r="M1618" s="50" t="n">
        <f aca="false">INDEX(Productos!$F$2:$F$13,MATCH($H1618,Productos!$A$2:$A$13,0))</f>
        <v>64</v>
      </c>
      <c r="N1618" s="51" t="n">
        <v>0.121</v>
      </c>
      <c r="O1618" s="52" t="n">
        <f aca="false">M1618*(1-N1618)</f>
        <v>56.256</v>
      </c>
      <c r="P1618" s="21" t="n">
        <f aca="false">L1618*O1618</f>
        <v>4162.944</v>
      </c>
      <c r="Q1618" s="50" t="n">
        <f aca="false">INDEX(Productos!$E$2:$E$13,MATCH($H1618,Productos!$A$2:$A$13,0))*INDEX(Parametros!$B$26:$B$43,MATCH($C1618,Parametros!$A$26:$A$43,0))</f>
        <v>33.768</v>
      </c>
      <c r="R1618" s="21" t="n">
        <f aca="false">L1618*Q1618</f>
        <v>2498.832</v>
      </c>
      <c r="S1618" s="18" t="n">
        <f aca="false">L1618*INDEX(Parametros!$B$20:$B$22,MATCH($E1618,Parametros!$A$20:$A$22,0))</f>
        <v>62.9</v>
      </c>
      <c r="T1618" s="18" t="n">
        <f aca="false">P1618*INDEX(Parametros!$B$13:$B$16,MATCH($F1618,Parametros!$A$13:$A$16,0))</f>
        <v>124.88832</v>
      </c>
      <c r="U1618" s="21" t="n">
        <f aca="false">P1618-R1618-S1618-T1618</f>
        <v>1476.32368</v>
      </c>
      <c r="V1618" s="19" t="n">
        <f aca="false">IFERROR(U1618/P1618,0)</f>
        <v>0.354634527872583</v>
      </c>
      <c r="W1618" s="48" t="n">
        <f aca="false">B1618+INDEX(Parametros!$C$13:$C$16,MATCH($F1618,Parametros!$A$13:$A$16,0))</f>
        <v>46262</v>
      </c>
      <c r="X1618" s="31" t="s">
        <v>68</v>
      </c>
      <c r="Y1618" s="53" t="n">
        <f aca="false">IF(COUNTIF($A$2:$A1618,A1618)=1,1,0)</f>
        <v>1</v>
      </c>
    </row>
    <row r="1619" customFormat="false" ht="15" hidden="false" customHeight="false" outlineLevel="0" collapsed="false">
      <c r="A1619" s="31" t="s">
        <v>1114</v>
      </c>
      <c r="B1619" s="36" t="n">
        <v>46202</v>
      </c>
      <c r="C1619" s="49" t="n">
        <f aca="false">DATE(YEAR(B1619),MONTH(B1619),1)</f>
        <v>46174</v>
      </c>
      <c r="D1619" s="31" t="s">
        <v>200</v>
      </c>
      <c r="E1619" s="31" t="s">
        <v>41</v>
      </c>
      <c r="F1619" s="31" t="s">
        <v>45</v>
      </c>
      <c r="G1619" s="31" t="s">
        <v>62</v>
      </c>
      <c r="H1619" s="31" t="s">
        <v>185</v>
      </c>
      <c r="I1619" s="32" t="str">
        <f aca="false">INDEX(Productos!$B$2:$B$13,MATCH($H1619,Productos!$A$2:$A$13,0))</f>
        <v>Varilla roscada M10 x 1 m zincada</v>
      </c>
      <c r="J1619" s="32" t="str">
        <f aca="false">INDEX(Productos!$C$2:$C$13,MATCH($H1619,Productos!$A$2:$A$13,0))</f>
        <v>Especial</v>
      </c>
      <c r="K1619" s="31" t="s">
        <v>246</v>
      </c>
      <c r="L1619" s="46" t="n">
        <v>215</v>
      </c>
      <c r="M1619" s="50" t="n">
        <f aca="false">INDEX(Productos!$F$2:$F$13,MATCH($H1619,Productos!$A$2:$A$13,0))</f>
        <v>54</v>
      </c>
      <c r="N1619" s="51" t="n">
        <v>0.144</v>
      </c>
      <c r="O1619" s="52" t="n">
        <f aca="false">M1619*(1-N1619)</f>
        <v>46.224</v>
      </c>
      <c r="P1619" s="21" t="n">
        <f aca="false">L1619*O1619</f>
        <v>9938.16</v>
      </c>
      <c r="Q1619" s="50" t="n">
        <f aca="false">INDEX(Productos!$E$2:$E$13,MATCH($H1619,Productos!$A$2:$A$13,0))*INDEX(Parametros!$B$26:$B$43,MATCH($C1619,Parametros!$A$26:$A$43,0))</f>
        <v>28.728</v>
      </c>
      <c r="R1619" s="21" t="n">
        <f aca="false">L1619*Q1619</f>
        <v>6176.52</v>
      </c>
      <c r="S1619" s="18" t="n">
        <f aca="false">L1619*INDEX(Parametros!$B$20:$B$22,MATCH($E1619,Parametros!$A$20:$A$22,0))</f>
        <v>182.75</v>
      </c>
      <c r="T1619" s="18" t="n">
        <f aca="false">P1619*INDEX(Parametros!$B$13:$B$16,MATCH($F1619,Parametros!$A$13:$A$16,0))</f>
        <v>298.1448</v>
      </c>
      <c r="U1619" s="21" t="n">
        <f aca="false">P1619-R1619-S1619-T1619</f>
        <v>3280.7452</v>
      </c>
      <c r="V1619" s="19" t="n">
        <f aca="false">IFERROR(U1619/P1619,0)</f>
        <v>0.330115957078574</v>
      </c>
      <c r="W1619" s="48" t="n">
        <f aca="false">B1619+INDEX(Parametros!$C$13:$C$16,MATCH($F1619,Parametros!$A$13:$A$16,0))</f>
        <v>46262</v>
      </c>
      <c r="X1619" s="31" t="s">
        <v>68</v>
      </c>
      <c r="Y1619" s="53" t="n">
        <f aca="false">IF(COUNTIF($A$2:$A1619,A1619)=1,1,0)</f>
        <v>0</v>
      </c>
    </row>
    <row r="1620" customFormat="false" ht="15" hidden="false" customHeight="false" outlineLevel="0" collapsed="false">
      <c r="A1620" s="31" t="s">
        <v>1114</v>
      </c>
      <c r="B1620" s="36" t="n">
        <v>46202</v>
      </c>
      <c r="C1620" s="49" t="n">
        <f aca="false">DATE(YEAR(B1620),MONTH(B1620),1)</f>
        <v>46174</v>
      </c>
      <c r="D1620" s="31" t="s">
        <v>200</v>
      </c>
      <c r="E1620" s="31" t="s">
        <v>41</v>
      </c>
      <c r="F1620" s="31" t="s">
        <v>45</v>
      </c>
      <c r="G1620" s="31" t="s">
        <v>62</v>
      </c>
      <c r="H1620" s="31" t="s">
        <v>167</v>
      </c>
      <c r="I1620" s="32" t="str">
        <f aca="false">INDEX(Productos!$B$2:$B$13,MATCH($H1620,Productos!$A$2:$A$13,0))</f>
        <v>Tornillo DIN 912 M6x25 Allen zincado</v>
      </c>
      <c r="J1620" s="32" t="str">
        <f aca="false">INDEX(Productos!$C$2:$C$13,MATCH($H1620,Productos!$A$2:$A$13,0))</f>
        <v>Métrica</v>
      </c>
      <c r="K1620" s="31" t="s">
        <v>246</v>
      </c>
      <c r="L1620" s="46" t="n">
        <v>41</v>
      </c>
      <c r="M1620" s="50" t="n">
        <f aca="false">INDEX(Productos!$F$2:$F$13,MATCH($H1620,Productos!$A$2:$A$13,0))</f>
        <v>42</v>
      </c>
      <c r="N1620" s="51" t="n">
        <v>0.196</v>
      </c>
      <c r="O1620" s="52" t="n">
        <f aca="false">M1620*(1-N1620)</f>
        <v>33.768</v>
      </c>
      <c r="P1620" s="21" t="n">
        <f aca="false">L1620*O1620</f>
        <v>1384.488</v>
      </c>
      <c r="Q1620" s="50" t="n">
        <f aca="false">INDEX(Productos!$E$2:$E$13,MATCH($H1620,Productos!$A$2:$A$13,0))*INDEX(Parametros!$B$26:$B$43,MATCH($C1620,Parametros!$A$26:$A$43,0))</f>
        <v>21.9744</v>
      </c>
      <c r="R1620" s="21" t="n">
        <f aca="false">L1620*Q1620</f>
        <v>900.9504</v>
      </c>
      <c r="S1620" s="18" t="n">
        <f aca="false">L1620*INDEX(Parametros!$B$20:$B$22,MATCH($E1620,Parametros!$A$20:$A$22,0))</f>
        <v>34.85</v>
      </c>
      <c r="T1620" s="18" t="n">
        <f aca="false">P1620*INDEX(Parametros!$B$13:$B$16,MATCH($F1620,Parametros!$A$13:$A$16,0))</f>
        <v>41.53464</v>
      </c>
      <c r="U1620" s="21" t="n">
        <f aca="false">P1620-R1620-S1620-T1620</f>
        <v>407.15296</v>
      </c>
      <c r="V1620" s="19" t="n">
        <f aca="false">IFERROR(U1620/P1620,0)</f>
        <v>0.294081971096897</v>
      </c>
      <c r="W1620" s="48" t="n">
        <f aca="false">B1620+INDEX(Parametros!$C$13:$C$16,MATCH($F1620,Parametros!$A$13:$A$16,0))</f>
        <v>46262</v>
      </c>
      <c r="X1620" s="31" t="s">
        <v>68</v>
      </c>
      <c r="Y1620" s="53" t="n">
        <f aca="false">IF(COUNTIF($A$2:$A1620,A1620)=1,1,0)</f>
        <v>0</v>
      </c>
    </row>
  </sheetData>
  <autoFilter ref="A1:Y1620"/>
  <conditionalFormatting sqref="X2:X1620">
    <cfRule type="cellIs" priority="2" operator="equal" aboveAverage="0" equalAverage="0" bottom="0" percent="0" rank="0" text="" dxfId="270">
      <formula>"Vencido"</formula>
    </cfRule>
    <cfRule type="cellIs" priority="3" operator="equal" aboveAverage="0" equalAverage="0" bottom="0" percent="0" rank="0" text="" dxfId="271">
      <formula>"Pendiente"</formula>
    </cfRule>
  </conditionalFormatting>
  <conditionalFormatting sqref="V2:V1620">
    <cfRule type="colorScale" priority="4">
      <colorScale>
        <cfvo type="num" val="0.15"/>
        <cfvo type="num" val="0.3"/>
        <cfvo type="num" val="0.42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5"/>
  </cols>
  <sheetData>
    <row r="1" customFormat="false" ht="30" hidden="false" customHeight="true" outlineLevel="0" collapsed="false">
      <c r="A1" s="45" t="s">
        <v>31</v>
      </c>
      <c r="B1" s="45" t="s">
        <v>1115</v>
      </c>
      <c r="C1" s="45" t="s">
        <v>232</v>
      </c>
      <c r="D1" s="45" t="s">
        <v>65</v>
      </c>
    </row>
    <row r="2" customFormat="false" ht="15" hidden="false" customHeight="false" outlineLevel="0" collapsed="false">
      <c r="A2" s="41" t="n">
        <v>45658</v>
      </c>
      <c r="B2" s="31" t="s">
        <v>1116</v>
      </c>
      <c r="C2" s="31" t="s">
        <v>1117</v>
      </c>
      <c r="D2" s="54" t="n">
        <v>39801.04</v>
      </c>
    </row>
    <row r="3" customFormat="false" ht="15" hidden="false" customHeight="false" outlineLevel="0" collapsed="false">
      <c r="A3" s="41" t="n">
        <v>45658</v>
      </c>
      <c r="B3" s="31" t="s">
        <v>1118</v>
      </c>
      <c r="C3" s="31" t="s">
        <v>1117</v>
      </c>
      <c r="D3" s="54" t="n">
        <v>18930.11</v>
      </c>
    </row>
    <row r="4" customFormat="false" ht="15" hidden="false" customHeight="false" outlineLevel="0" collapsed="false">
      <c r="A4" s="41" t="n">
        <v>45658</v>
      </c>
      <c r="B4" s="31" t="s">
        <v>1119</v>
      </c>
      <c r="C4" s="31" t="s">
        <v>1117</v>
      </c>
      <c r="D4" s="54" t="n">
        <v>6500</v>
      </c>
    </row>
    <row r="5" customFormat="false" ht="15" hidden="false" customHeight="false" outlineLevel="0" collapsed="false">
      <c r="A5" s="41" t="n">
        <v>45658</v>
      </c>
      <c r="B5" s="31" t="s">
        <v>1120</v>
      </c>
      <c r="C5" s="31" t="s">
        <v>1121</v>
      </c>
      <c r="D5" s="54" t="n">
        <v>11668.43</v>
      </c>
    </row>
    <row r="6" customFormat="false" ht="15" hidden="false" customHeight="false" outlineLevel="0" collapsed="false">
      <c r="A6" s="41" t="n">
        <v>45658</v>
      </c>
      <c r="B6" s="31" t="s">
        <v>1122</v>
      </c>
      <c r="C6" s="31" t="s">
        <v>1121</v>
      </c>
      <c r="D6" s="54" t="n">
        <v>2312.82</v>
      </c>
    </row>
    <row r="7" customFormat="false" ht="15" hidden="false" customHeight="false" outlineLevel="0" collapsed="false">
      <c r="A7" s="41" t="n">
        <v>45658</v>
      </c>
      <c r="B7" s="31" t="s">
        <v>1123</v>
      </c>
      <c r="C7" s="31" t="s">
        <v>1121</v>
      </c>
      <c r="D7" s="54" t="n">
        <v>3053.19</v>
      </c>
    </row>
    <row r="8" customFormat="false" ht="15" hidden="false" customHeight="false" outlineLevel="0" collapsed="false">
      <c r="A8" s="41" t="n">
        <v>45658</v>
      </c>
      <c r="B8" s="31" t="s">
        <v>1124</v>
      </c>
      <c r="C8" s="31" t="s">
        <v>1117</v>
      </c>
      <c r="D8" s="54" t="n">
        <v>1197.55</v>
      </c>
    </row>
    <row r="9" customFormat="false" ht="15" hidden="false" customHeight="false" outlineLevel="0" collapsed="false">
      <c r="A9" s="41" t="n">
        <v>45658</v>
      </c>
      <c r="B9" s="31" t="s">
        <v>1125</v>
      </c>
      <c r="C9" s="31" t="s">
        <v>1117</v>
      </c>
      <c r="D9" s="54" t="n">
        <v>1266.56</v>
      </c>
    </row>
    <row r="10" customFormat="false" ht="15" hidden="false" customHeight="false" outlineLevel="0" collapsed="false">
      <c r="A10" s="41" t="n">
        <v>45658</v>
      </c>
      <c r="B10" s="31" t="s">
        <v>1126</v>
      </c>
      <c r="C10" s="31" t="s">
        <v>1117</v>
      </c>
      <c r="D10" s="54" t="n">
        <v>1525.5</v>
      </c>
    </row>
    <row r="11" customFormat="false" ht="15" hidden="false" customHeight="false" outlineLevel="0" collapsed="false">
      <c r="A11" s="41" t="n">
        <v>45658</v>
      </c>
      <c r="B11" s="31" t="s">
        <v>1127</v>
      </c>
      <c r="C11" s="31" t="s">
        <v>1121</v>
      </c>
      <c r="D11" s="54" t="n">
        <v>2269.47</v>
      </c>
    </row>
    <row r="12" customFormat="false" ht="15" hidden="false" customHeight="false" outlineLevel="0" collapsed="false">
      <c r="A12" s="41" t="n">
        <v>45658</v>
      </c>
      <c r="B12" s="31" t="s">
        <v>1128</v>
      </c>
      <c r="C12" s="31" t="s">
        <v>1121</v>
      </c>
      <c r="D12" s="54" t="n">
        <v>2351.38</v>
      </c>
    </row>
    <row r="13" customFormat="false" ht="15" hidden="false" customHeight="false" outlineLevel="0" collapsed="false">
      <c r="A13" s="41" t="n">
        <v>45658</v>
      </c>
      <c r="B13" s="31" t="s">
        <v>1129</v>
      </c>
      <c r="C13" s="31" t="s">
        <v>1121</v>
      </c>
      <c r="D13" s="54" t="n">
        <v>1070.41</v>
      </c>
    </row>
    <row r="14" customFormat="false" ht="15" hidden="false" customHeight="false" outlineLevel="0" collapsed="false">
      <c r="A14" s="41" t="n">
        <v>45689</v>
      </c>
      <c r="B14" s="31" t="s">
        <v>1116</v>
      </c>
      <c r="C14" s="31" t="s">
        <v>1117</v>
      </c>
      <c r="D14" s="54" t="n">
        <v>37838.73</v>
      </c>
    </row>
    <row r="15" customFormat="false" ht="15" hidden="false" customHeight="false" outlineLevel="0" collapsed="false">
      <c r="A15" s="41" t="n">
        <v>45689</v>
      </c>
      <c r="B15" s="31" t="s">
        <v>1118</v>
      </c>
      <c r="C15" s="31" t="s">
        <v>1117</v>
      </c>
      <c r="D15" s="54" t="n">
        <v>20017.71</v>
      </c>
    </row>
    <row r="16" customFormat="false" ht="15" hidden="false" customHeight="false" outlineLevel="0" collapsed="false">
      <c r="A16" s="41" t="n">
        <v>45689</v>
      </c>
      <c r="B16" s="31" t="s">
        <v>1119</v>
      </c>
      <c r="C16" s="31" t="s">
        <v>1117</v>
      </c>
      <c r="D16" s="54" t="n">
        <v>6514.98</v>
      </c>
    </row>
    <row r="17" customFormat="false" ht="15" hidden="false" customHeight="false" outlineLevel="0" collapsed="false">
      <c r="A17" s="41" t="n">
        <v>45689</v>
      </c>
      <c r="B17" s="31" t="s">
        <v>1120</v>
      </c>
      <c r="C17" s="31" t="s">
        <v>1121</v>
      </c>
      <c r="D17" s="54" t="n">
        <v>12143.83</v>
      </c>
    </row>
    <row r="18" customFormat="false" ht="15" hidden="false" customHeight="false" outlineLevel="0" collapsed="false">
      <c r="A18" s="41" t="n">
        <v>45689</v>
      </c>
      <c r="B18" s="31" t="s">
        <v>1122</v>
      </c>
      <c r="C18" s="31" t="s">
        <v>1121</v>
      </c>
      <c r="D18" s="54" t="n">
        <v>4765.58</v>
      </c>
    </row>
    <row r="19" customFormat="false" ht="15" hidden="false" customHeight="false" outlineLevel="0" collapsed="false">
      <c r="A19" s="41" t="n">
        <v>45689</v>
      </c>
      <c r="B19" s="31" t="s">
        <v>1123</v>
      </c>
      <c r="C19" s="31" t="s">
        <v>1121</v>
      </c>
      <c r="D19" s="54" t="n">
        <v>5135.74</v>
      </c>
    </row>
    <row r="20" customFormat="false" ht="15" hidden="false" customHeight="false" outlineLevel="0" collapsed="false">
      <c r="A20" s="41" t="n">
        <v>45689</v>
      </c>
      <c r="B20" s="31" t="s">
        <v>1124</v>
      </c>
      <c r="C20" s="31" t="s">
        <v>1117</v>
      </c>
      <c r="D20" s="54" t="n">
        <v>1223.26</v>
      </c>
    </row>
    <row r="21" customFormat="false" ht="15" hidden="false" customHeight="false" outlineLevel="0" collapsed="false">
      <c r="A21" s="41" t="n">
        <v>45689</v>
      </c>
      <c r="B21" s="31" t="s">
        <v>1125</v>
      </c>
      <c r="C21" s="31" t="s">
        <v>1117</v>
      </c>
      <c r="D21" s="54" t="n">
        <v>1318.21</v>
      </c>
    </row>
    <row r="22" customFormat="false" ht="15" hidden="false" customHeight="false" outlineLevel="0" collapsed="false">
      <c r="A22" s="41" t="n">
        <v>45689</v>
      </c>
      <c r="B22" s="31" t="s">
        <v>1126</v>
      </c>
      <c r="C22" s="31" t="s">
        <v>1117</v>
      </c>
      <c r="D22" s="54" t="n">
        <v>1532.65</v>
      </c>
    </row>
    <row r="23" customFormat="false" ht="15" hidden="false" customHeight="false" outlineLevel="0" collapsed="false">
      <c r="A23" s="41" t="n">
        <v>45689</v>
      </c>
      <c r="B23" s="31" t="s">
        <v>1127</v>
      </c>
      <c r="C23" s="31" t="s">
        <v>1121</v>
      </c>
      <c r="D23" s="54" t="n">
        <v>2767.69</v>
      </c>
    </row>
    <row r="24" customFormat="false" ht="15" hidden="false" customHeight="false" outlineLevel="0" collapsed="false">
      <c r="A24" s="41" t="n">
        <v>45689</v>
      </c>
      <c r="B24" s="31" t="s">
        <v>1128</v>
      </c>
      <c r="C24" s="31" t="s">
        <v>1121</v>
      </c>
      <c r="D24" s="54" t="n">
        <v>2013.66</v>
      </c>
    </row>
    <row r="25" customFormat="false" ht="15" hidden="false" customHeight="false" outlineLevel="0" collapsed="false">
      <c r="A25" s="41" t="n">
        <v>45689</v>
      </c>
      <c r="B25" s="31" t="s">
        <v>1129</v>
      </c>
      <c r="C25" s="31" t="s">
        <v>1121</v>
      </c>
      <c r="D25" s="54" t="n">
        <v>927.45</v>
      </c>
    </row>
    <row r="26" customFormat="false" ht="15" hidden="false" customHeight="false" outlineLevel="0" collapsed="false">
      <c r="A26" s="41" t="n">
        <v>45717</v>
      </c>
      <c r="B26" s="31" t="s">
        <v>1116</v>
      </c>
      <c r="C26" s="31" t="s">
        <v>1117</v>
      </c>
      <c r="D26" s="54" t="n">
        <v>37508.58</v>
      </c>
    </row>
    <row r="27" customFormat="false" ht="15" hidden="false" customHeight="false" outlineLevel="0" collapsed="false">
      <c r="A27" s="41" t="n">
        <v>45717</v>
      </c>
      <c r="B27" s="31" t="s">
        <v>1118</v>
      </c>
      <c r="C27" s="31" t="s">
        <v>1117</v>
      </c>
      <c r="D27" s="54" t="n">
        <v>20618.32</v>
      </c>
    </row>
    <row r="28" customFormat="false" ht="15" hidden="false" customHeight="false" outlineLevel="0" collapsed="false">
      <c r="A28" s="41" t="n">
        <v>45717</v>
      </c>
      <c r="B28" s="31" t="s">
        <v>1119</v>
      </c>
      <c r="C28" s="31" t="s">
        <v>1117</v>
      </c>
      <c r="D28" s="54" t="n">
        <v>6529.99</v>
      </c>
    </row>
    <row r="29" customFormat="false" ht="15" hidden="false" customHeight="false" outlineLevel="0" collapsed="false">
      <c r="A29" s="41" t="n">
        <v>45717</v>
      </c>
      <c r="B29" s="31" t="s">
        <v>1120</v>
      </c>
      <c r="C29" s="31" t="s">
        <v>1121</v>
      </c>
      <c r="D29" s="54" t="n">
        <v>7516.38</v>
      </c>
    </row>
    <row r="30" customFormat="false" ht="15" hidden="false" customHeight="false" outlineLevel="0" collapsed="false">
      <c r="A30" s="41" t="n">
        <v>45717</v>
      </c>
      <c r="B30" s="31" t="s">
        <v>1122</v>
      </c>
      <c r="C30" s="31" t="s">
        <v>1121</v>
      </c>
      <c r="D30" s="54" t="n">
        <v>4780.41</v>
      </c>
    </row>
    <row r="31" customFormat="false" ht="15" hidden="false" customHeight="false" outlineLevel="0" collapsed="false">
      <c r="A31" s="41" t="n">
        <v>45717</v>
      </c>
      <c r="B31" s="31" t="s">
        <v>1123</v>
      </c>
      <c r="C31" s="31" t="s">
        <v>1121</v>
      </c>
      <c r="D31" s="54" t="n">
        <v>2747.78</v>
      </c>
    </row>
    <row r="32" customFormat="false" ht="15" hidden="false" customHeight="false" outlineLevel="0" collapsed="false">
      <c r="A32" s="41" t="n">
        <v>45717</v>
      </c>
      <c r="B32" s="31" t="s">
        <v>1124</v>
      </c>
      <c r="C32" s="31" t="s">
        <v>1117</v>
      </c>
      <c r="D32" s="54" t="n">
        <v>1304.46</v>
      </c>
    </row>
    <row r="33" customFormat="false" ht="15" hidden="false" customHeight="false" outlineLevel="0" collapsed="false">
      <c r="A33" s="41" t="n">
        <v>45717</v>
      </c>
      <c r="B33" s="31" t="s">
        <v>1125</v>
      </c>
      <c r="C33" s="31" t="s">
        <v>1117</v>
      </c>
      <c r="D33" s="54" t="n">
        <v>1274.02</v>
      </c>
    </row>
    <row r="34" customFormat="false" ht="15" hidden="false" customHeight="false" outlineLevel="0" collapsed="false">
      <c r="A34" s="41" t="n">
        <v>45717</v>
      </c>
      <c r="B34" s="31" t="s">
        <v>1126</v>
      </c>
      <c r="C34" s="31" t="s">
        <v>1117</v>
      </c>
      <c r="D34" s="54" t="n">
        <v>1528.13</v>
      </c>
    </row>
    <row r="35" customFormat="false" ht="15" hidden="false" customHeight="false" outlineLevel="0" collapsed="false">
      <c r="A35" s="41" t="n">
        <v>45717</v>
      </c>
      <c r="B35" s="31" t="s">
        <v>1127</v>
      </c>
      <c r="C35" s="31" t="s">
        <v>1121</v>
      </c>
      <c r="D35" s="54" t="n">
        <v>2352.27</v>
      </c>
    </row>
    <row r="36" customFormat="false" ht="15" hidden="false" customHeight="false" outlineLevel="0" collapsed="false">
      <c r="A36" s="41" t="n">
        <v>45717</v>
      </c>
      <c r="B36" s="31" t="s">
        <v>1128</v>
      </c>
      <c r="C36" s="31" t="s">
        <v>1121</v>
      </c>
      <c r="D36" s="54" t="n">
        <v>2284.93</v>
      </c>
    </row>
    <row r="37" customFormat="false" ht="15" hidden="false" customHeight="false" outlineLevel="0" collapsed="false">
      <c r="A37" s="41" t="n">
        <v>45717</v>
      </c>
      <c r="B37" s="31" t="s">
        <v>1129</v>
      </c>
      <c r="C37" s="31" t="s">
        <v>1121</v>
      </c>
      <c r="D37" s="54" t="n">
        <v>1558.2</v>
      </c>
    </row>
    <row r="38" customFormat="false" ht="15" hidden="false" customHeight="false" outlineLevel="0" collapsed="false">
      <c r="A38" s="41" t="n">
        <v>45748</v>
      </c>
      <c r="B38" s="31" t="s">
        <v>1116</v>
      </c>
      <c r="C38" s="31" t="s">
        <v>1117</v>
      </c>
      <c r="D38" s="54" t="n">
        <v>37186.36</v>
      </c>
    </row>
    <row r="39" customFormat="false" ht="15" hidden="false" customHeight="false" outlineLevel="0" collapsed="false">
      <c r="A39" s="41" t="n">
        <v>45748</v>
      </c>
      <c r="B39" s="31" t="s">
        <v>1118</v>
      </c>
      <c r="C39" s="31" t="s">
        <v>1117</v>
      </c>
      <c r="D39" s="54" t="n">
        <v>20172.79</v>
      </c>
    </row>
    <row r="40" customFormat="false" ht="15" hidden="false" customHeight="false" outlineLevel="0" collapsed="false">
      <c r="A40" s="41" t="n">
        <v>45748</v>
      </c>
      <c r="B40" s="31" t="s">
        <v>1119</v>
      </c>
      <c r="C40" s="31" t="s">
        <v>1117</v>
      </c>
      <c r="D40" s="54" t="n">
        <v>6545.03</v>
      </c>
    </row>
    <row r="41" customFormat="false" ht="15" hidden="false" customHeight="false" outlineLevel="0" collapsed="false">
      <c r="A41" s="41" t="n">
        <v>45748</v>
      </c>
      <c r="B41" s="31" t="s">
        <v>1120</v>
      </c>
      <c r="C41" s="31" t="s">
        <v>1121</v>
      </c>
      <c r="D41" s="54" t="n">
        <v>10520.99</v>
      </c>
    </row>
    <row r="42" customFormat="false" ht="15" hidden="false" customHeight="false" outlineLevel="0" collapsed="false">
      <c r="A42" s="41" t="n">
        <v>45748</v>
      </c>
      <c r="B42" s="31" t="s">
        <v>1122</v>
      </c>
      <c r="C42" s="31" t="s">
        <v>1121</v>
      </c>
      <c r="D42" s="54" t="n">
        <v>4538</v>
      </c>
    </row>
    <row r="43" customFormat="false" ht="15" hidden="false" customHeight="false" outlineLevel="0" collapsed="false">
      <c r="A43" s="41" t="n">
        <v>45748</v>
      </c>
      <c r="B43" s="31" t="s">
        <v>1123</v>
      </c>
      <c r="C43" s="31" t="s">
        <v>1121</v>
      </c>
      <c r="D43" s="54" t="n">
        <v>2287.55</v>
      </c>
    </row>
    <row r="44" customFormat="false" ht="15" hidden="false" customHeight="false" outlineLevel="0" collapsed="false">
      <c r="A44" s="41" t="n">
        <v>45748</v>
      </c>
      <c r="B44" s="31" t="s">
        <v>1124</v>
      </c>
      <c r="C44" s="31" t="s">
        <v>1117</v>
      </c>
      <c r="D44" s="54" t="n">
        <v>987.98</v>
      </c>
    </row>
    <row r="45" customFormat="false" ht="15" hidden="false" customHeight="false" outlineLevel="0" collapsed="false">
      <c r="A45" s="41" t="n">
        <v>45748</v>
      </c>
      <c r="B45" s="31" t="s">
        <v>1125</v>
      </c>
      <c r="C45" s="31" t="s">
        <v>1117</v>
      </c>
      <c r="D45" s="54" t="n">
        <v>1122.54</v>
      </c>
    </row>
    <row r="46" customFormat="false" ht="15" hidden="false" customHeight="false" outlineLevel="0" collapsed="false">
      <c r="A46" s="41" t="n">
        <v>45748</v>
      </c>
      <c r="B46" s="31" t="s">
        <v>1126</v>
      </c>
      <c r="C46" s="31" t="s">
        <v>1117</v>
      </c>
      <c r="D46" s="54" t="n">
        <v>1532.13</v>
      </c>
    </row>
    <row r="47" customFormat="false" ht="15" hidden="false" customHeight="false" outlineLevel="0" collapsed="false">
      <c r="A47" s="41" t="n">
        <v>45748</v>
      </c>
      <c r="B47" s="31" t="s">
        <v>1127</v>
      </c>
      <c r="C47" s="31" t="s">
        <v>1121</v>
      </c>
      <c r="D47" s="54" t="n">
        <v>2892.4</v>
      </c>
    </row>
    <row r="48" customFormat="false" ht="15" hidden="false" customHeight="false" outlineLevel="0" collapsed="false">
      <c r="A48" s="41" t="n">
        <v>45748</v>
      </c>
      <c r="B48" s="31" t="s">
        <v>1128</v>
      </c>
      <c r="C48" s="31" t="s">
        <v>1121</v>
      </c>
      <c r="D48" s="54" t="n">
        <v>1766.28</v>
      </c>
    </row>
    <row r="49" customFormat="false" ht="15" hidden="false" customHeight="false" outlineLevel="0" collapsed="false">
      <c r="A49" s="41" t="n">
        <v>45748</v>
      </c>
      <c r="B49" s="31" t="s">
        <v>1129</v>
      </c>
      <c r="C49" s="31" t="s">
        <v>1121</v>
      </c>
      <c r="D49" s="54" t="n">
        <v>1418.61</v>
      </c>
    </row>
    <row r="50" customFormat="false" ht="15" hidden="false" customHeight="false" outlineLevel="0" collapsed="false">
      <c r="A50" s="41" t="n">
        <v>45778</v>
      </c>
      <c r="B50" s="31" t="s">
        <v>1116</v>
      </c>
      <c r="C50" s="31" t="s">
        <v>1117</v>
      </c>
      <c r="D50" s="54" t="n">
        <v>38333.96</v>
      </c>
    </row>
    <row r="51" customFormat="false" ht="15" hidden="false" customHeight="false" outlineLevel="0" collapsed="false">
      <c r="A51" s="41" t="n">
        <v>45778</v>
      </c>
      <c r="B51" s="31" t="s">
        <v>1118</v>
      </c>
      <c r="C51" s="31" t="s">
        <v>1117</v>
      </c>
      <c r="D51" s="54" t="n">
        <v>20259.87</v>
      </c>
    </row>
    <row r="52" customFormat="false" ht="15" hidden="false" customHeight="false" outlineLevel="0" collapsed="false">
      <c r="A52" s="41" t="n">
        <v>45778</v>
      </c>
      <c r="B52" s="31" t="s">
        <v>1119</v>
      </c>
      <c r="C52" s="31" t="s">
        <v>1117</v>
      </c>
      <c r="D52" s="54" t="n">
        <v>6560.11</v>
      </c>
    </row>
    <row r="53" customFormat="false" ht="15" hidden="false" customHeight="false" outlineLevel="0" collapsed="false">
      <c r="A53" s="41" t="n">
        <v>45778</v>
      </c>
      <c r="B53" s="31" t="s">
        <v>1120</v>
      </c>
      <c r="C53" s="31" t="s">
        <v>1121</v>
      </c>
      <c r="D53" s="54" t="n">
        <v>7506.11</v>
      </c>
    </row>
    <row r="54" customFormat="false" ht="15" hidden="false" customHeight="false" outlineLevel="0" collapsed="false">
      <c r="A54" s="41" t="n">
        <v>45778</v>
      </c>
      <c r="B54" s="31" t="s">
        <v>1122</v>
      </c>
      <c r="C54" s="31" t="s">
        <v>1121</v>
      </c>
      <c r="D54" s="54" t="n">
        <v>3314.77</v>
      </c>
    </row>
    <row r="55" customFormat="false" ht="15" hidden="false" customHeight="false" outlineLevel="0" collapsed="false">
      <c r="A55" s="41" t="n">
        <v>45778</v>
      </c>
      <c r="B55" s="31" t="s">
        <v>1123</v>
      </c>
      <c r="C55" s="31" t="s">
        <v>1121</v>
      </c>
      <c r="D55" s="54" t="n">
        <v>3290.38</v>
      </c>
    </row>
    <row r="56" customFormat="false" ht="15" hidden="false" customHeight="false" outlineLevel="0" collapsed="false">
      <c r="A56" s="41" t="n">
        <v>45778</v>
      </c>
      <c r="B56" s="31" t="s">
        <v>1124</v>
      </c>
      <c r="C56" s="31" t="s">
        <v>1117</v>
      </c>
      <c r="D56" s="54" t="n">
        <v>1143.06</v>
      </c>
    </row>
    <row r="57" customFormat="false" ht="15" hidden="false" customHeight="false" outlineLevel="0" collapsed="false">
      <c r="A57" s="41" t="n">
        <v>45778</v>
      </c>
      <c r="B57" s="31" t="s">
        <v>1125</v>
      </c>
      <c r="C57" s="31" t="s">
        <v>1117</v>
      </c>
      <c r="D57" s="54" t="n">
        <v>1135.07</v>
      </c>
    </row>
    <row r="58" customFormat="false" ht="15" hidden="false" customHeight="false" outlineLevel="0" collapsed="false">
      <c r="A58" s="41" t="n">
        <v>45778</v>
      </c>
      <c r="B58" s="31" t="s">
        <v>1126</v>
      </c>
      <c r="C58" s="31" t="s">
        <v>1117</v>
      </c>
      <c r="D58" s="54" t="n">
        <v>1412.03</v>
      </c>
    </row>
    <row r="59" customFormat="false" ht="15" hidden="false" customHeight="false" outlineLevel="0" collapsed="false">
      <c r="A59" s="41" t="n">
        <v>45778</v>
      </c>
      <c r="B59" s="31" t="s">
        <v>1127</v>
      </c>
      <c r="C59" s="31" t="s">
        <v>1121</v>
      </c>
      <c r="D59" s="54" t="n">
        <v>1883.82</v>
      </c>
    </row>
    <row r="60" customFormat="false" ht="15" hidden="false" customHeight="false" outlineLevel="0" collapsed="false">
      <c r="A60" s="41" t="n">
        <v>45778</v>
      </c>
      <c r="B60" s="31" t="s">
        <v>1128</v>
      </c>
      <c r="C60" s="31" t="s">
        <v>1121</v>
      </c>
      <c r="D60" s="54" t="n">
        <v>2222.06</v>
      </c>
    </row>
    <row r="61" customFormat="false" ht="15" hidden="false" customHeight="false" outlineLevel="0" collapsed="false">
      <c r="A61" s="41" t="n">
        <v>45778</v>
      </c>
      <c r="B61" s="31" t="s">
        <v>1129</v>
      </c>
      <c r="C61" s="31" t="s">
        <v>1121</v>
      </c>
      <c r="D61" s="54" t="n">
        <v>1037.03</v>
      </c>
    </row>
    <row r="62" customFormat="false" ht="15" hidden="false" customHeight="false" outlineLevel="0" collapsed="false">
      <c r="A62" s="41" t="n">
        <v>45809</v>
      </c>
      <c r="B62" s="31" t="s">
        <v>1116</v>
      </c>
      <c r="C62" s="31" t="s">
        <v>1117</v>
      </c>
      <c r="D62" s="54" t="n">
        <v>36582.46</v>
      </c>
    </row>
    <row r="63" customFormat="false" ht="15" hidden="false" customHeight="false" outlineLevel="0" collapsed="false">
      <c r="A63" s="41" t="n">
        <v>45809</v>
      </c>
      <c r="B63" s="31" t="s">
        <v>1118</v>
      </c>
      <c r="C63" s="31" t="s">
        <v>1117</v>
      </c>
      <c r="D63" s="54" t="n">
        <v>19697.88</v>
      </c>
    </row>
    <row r="64" customFormat="false" ht="15" hidden="false" customHeight="false" outlineLevel="0" collapsed="false">
      <c r="A64" s="41" t="n">
        <v>45809</v>
      </c>
      <c r="B64" s="31" t="s">
        <v>1119</v>
      </c>
      <c r="C64" s="31" t="s">
        <v>1117</v>
      </c>
      <c r="D64" s="54" t="n">
        <v>6575.22</v>
      </c>
    </row>
    <row r="65" customFormat="false" ht="15" hidden="false" customHeight="false" outlineLevel="0" collapsed="false">
      <c r="A65" s="41" t="n">
        <v>45809</v>
      </c>
      <c r="B65" s="31" t="s">
        <v>1120</v>
      </c>
      <c r="C65" s="31" t="s">
        <v>1121</v>
      </c>
      <c r="D65" s="54" t="n">
        <v>7828.63</v>
      </c>
    </row>
    <row r="66" customFormat="false" ht="15" hidden="false" customHeight="false" outlineLevel="0" collapsed="false">
      <c r="A66" s="41" t="n">
        <v>45809</v>
      </c>
      <c r="B66" s="31" t="s">
        <v>1122</v>
      </c>
      <c r="C66" s="31" t="s">
        <v>1121</v>
      </c>
      <c r="D66" s="54" t="n">
        <v>3772.42</v>
      </c>
    </row>
    <row r="67" customFormat="false" ht="15" hidden="false" customHeight="false" outlineLevel="0" collapsed="false">
      <c r="A67" s="41" t="n">
        <v>45809</v>
      </c>
      <c r="B67" s="31" t="s">
        <v>1123</v>
      </c>
      <c r="C67" s="31" t="s">
        <v>1121</v>
      </c>
      <c r="D67" s="54" t="n">
        <v>3008.56</v>
      </c>
    </row>
    <row r="68" customFormat="false" ht="15" hidden="false" customHeight="false" outlineLevel="0" collapsed="false">
      <c r="A68" s="41" t="n">
        <v>45809</v>
      </c>
      <c r="B68" s="31" t="s">
        <v>1124</v>
      </c>
      <c r="C68" s="31" t="s">
        <v>1117</v>
      </c>
      <c r="D68" s="54" t="n">
        <v>1340.86</v>
      </c>
    </row>
    <row r="69" customFormat="false" ht="15" hidden="false" customHeight="false" outlineLevel="0" collapsed="false">
      <c r="A69" s="41" t="n">
        <v>45809</v>
      </c>
      <c r="B69" s="31" t="s">
        <v>1125</v>
      </c>
      <c r="C69" s="31" t="s">
        <v>1117</v>
      </c>
      <c r="D69" s="54" t="n">
        <v>1161.45</v>
      </c>
    </row>
    <row r="70" customFormat="false" ht="15" hidden="false" customHeight="false" outlineLevel="0" collapsed="false">
      <c r="A70" s="41" t="n">
        <v>45809</v>
      </c>
      <c r="B70" s="31" t="s">
        <v>1126</v>
      </c>
      <c r="C70" s="31" t="s">
        <v>1117</v>
      </c>
      <c r="D70" s="54" t="n">
        <v>1540.54</v>
      </c>
    </row>
    <row r="71" customFormat="false" ht="15" hidden="false" customHeight="false" outlineLevel="0" collapsed="false">
      <c r="A71" s="41" t="n">
        <v>45809</v>
      </c>
      <c r="B71" s="31" t="s">
        <v>1127</v>
      </c>
      <c r="C71" s="31" t="s">
        <v>1121</v>
      </c>
      <c r="D71" s="54" t="n">
        <v>2466.94</v>
      </c>
    </row>
    <row r="72" customFormat="false" ht="15" hidden="false" customHeight="false" outlineLevel="0" collapsed="false">
      <c r="A72" s="41" t="n">
        <v>45809</v>
      </c>
      <c r="B72" s="31" t="s">
        <v>1128</v>
      </c>
      <c r="C72" s="31" t="s">
        <v>1121</v>
      </c>
      <c r="D72" s="54" t="n">
        <v>2225.99</v>
      </c>
    </row>
    <row r="73" customFormat="false" ht="15" hidden="false" customHeight="false" outlineLevel="0" collapsed="false">
      <c r="A73" s="41" t="n">
        <v>45809</v>
      </c>
      <c r="B73" s="31" t="s">
        <v>1129</v>
      </c>
      <c r="C73" s="31" t="s">
        <v>1121</v>
      </c>
      <c r="D73" s="54" t="n">
        <v>1436.47</v>
      </c>
    </row>
    <row r="74" customFormat="false" ht="15" hidden="false" customHeight="false" outlineLevel="0" collapsed="false">
      <c r="A74" s="41" t="n">
        <v>45839</v>
      </c>
      <c r="B74" s="31" t="s">
        <v>1116</v>
      </c>
      <c r="C74" s="31" t="s">
        <v>1117</v>
      </c>
      <c r="D74" s="54" t="n">
        <v>38937.89</v>
      </c>
    </row>
    <row r="75" customFormat="false" ht="15" hidden="false" customHeight="false" outlineLevel="0" collapsed="false">
      <c r="A75" s="41" t="n">
        <v>45839</v>
      </c>
      <c r="B75" s="31" t="s">
        <v>1118</v>
      </c>
      <c r="C75" s="31" t="s">
        <v>1117</v>
      </c>
      <c r="D75" s="54" t="n">
        <v>20652.13</v>
      </c>
    </row>
    <row r="76" customFormat="false" ht="15" hidden="false" customHeight="false" outlineLevel="0" collapsed="false">
      <c r="A76" s="41" t="n">
        <v>45839</v>
      </c>
      <c r="B76" s="31" t="s">
        <v>1119</v>
      </c>
      <c r="C76" s="31" t="s">
        <v>1117</v>
      </c>
      <c r="D76" s="54" t="n">
        <v>6590.37</v>
      </c>
    </row>
    <row r="77" customFormat="false" ht="15" hidden="false" customHeight="false" outlineLevel="0" collapsed="false">
      <c r="A77" s="41" t="n">
        <v>45839</v>
      </c>
      <c r="B77" s="31" t="s">
        <v>1120</v>
      </c>
      <c r="C77" s="31" t="s">
        <v>1121</v>
      </c>
      <c r="D77" s="54" t="n">
        <v>9551.5</v>
      </c>
    </row>
    <row r="78" customFormat="false" ht="15" hidden="false" customHeight="false" outlineLevel="0" collapsed="false">
      <c r="A78" s="41" t="n">
        <v>45839</v>
      </c>
      <c r="B78" s="31" t="s">
        <v>1122</v>
      </c>
      <c r="C78" s="31" t="s">
        <v>1121</v>
      </c>
      <c r="D78" s="54" t="n">
        <v>3579.64</v>
      </c>
    </row>
    <row r="79" customFormat="false" ht="15" hidden="false" customHeight="false" outlineLevel="0" collapsed="false">
      <c r="A79" s="41" t="n">
        <v>45839</v>
      </c>
      <c r="B79" s="31" t="s">
        <v>1123</v>
      </c>
      <c r="C79" s="31" t="s">
        <v>1121</v>
      </c>
      <c r="D79" s="54" t="n">
        <v>3166.68</v>
      </c>
    </row>
    <row r="80" customFormat="false" ht="15" hidden="false" customHeight="false" outlineLevel="0" collapsed="false">
      <c r="A80" s="41" t="n">
        <v>45839</v>
      </c>
      <c r="B80" s="31" t="s">
        <v>1124</v>
      </c>
      <c r="C80" s="31" t="s">
        <v>1117</v>
      </c>
      <c r="D80" s="54" t="n">
        <v>1092.7</v>
      </c>
    </row>
    <row r="81" customFormat="false" ht="15" hidden="false" customHeight="false" outlineLevel="0" collapsed="false">
      <c r="A81" s="41" t="n">
        <v>45839</v>
      </c>
      <c r="B81" s="31" t="s">
        <v>1125</v>
      </c>
      <c r="C81" s="31" t="s">
        <v>1117</v>
      </c>
      <c r="D81" s="54" t="n">
        <v>1498.39</v>
      </c>
    </row>
    <row r="82" customFormat="false" ht="15" hidden="false" customHeight="false" outlineLevel="0" collapsed="false">
      <c r="A82" s="41" t="n">
        <v>45839</v>
      </c>
      <c r="B82" s="31" t="s">
        <v>1126</v>
      </c>
      <c r="C82" s="31" t="s">
        <v>1117</v>
      </c>
      <c r="D82" s="54" t="n">
        <v>1526.42</v>
      </c>
    </row>
    <row r="83" customFormat="false" ht="15" hidden="false" customHeight="false" outlineLevel="0" collapsed="false">
      <c r="A83" s="41" t="n">
        <v>45839</v>
      </c>
      <c r="B83" s="31" t="s">
        <v>1127</v>
      </c>
      <c r="C83" s="31" t="s">
        <v>1121</v>
      </c>
      <c r="D83" s="54" t="n">
        <v>2929.07</v>
      </c>
    </row>
    <row r="84" customFormat="false" ht="15" hidden="false" customHeight="false" outlineLevel="0" collapsed="false">
      <c r="A84" s="41" t="n">
        <v>45839</v>
      </c>
      <c r="B84" s="31" t="s">
        <v>1128</v>
      </c>
      <c r="C84" s="31" t="s">
        <v>1121</v>
      </c>
      <c r="D84" s="54" t="n">
        <v>2078.45</v>
      </c>
    </row>
    <row r="85" customFormat="false" ht="15" hidden="false" customHeight="false" outlineLevel="0" collapsed="false">
      <c r="A85" s="41" t="n">
        <v>45839</v>
      </c>
      <c r="B85" s="31" t="s">
        <v>1129</v>
      </c>
      <c r="C85" s="31" t="s">
        <v>1121</v>
      </c>
      <c r="D85" s="54" t="n">
        <v>1633.99</v>
      </c>
    </row>
    <row r="86" customFormat="false" ht="15" hidden="false" customHeight="false" outlineLevel="0" collapsed="false">
      <c r="A86" s="41" t="n">
        <v>45870</v>
      </c>
      <c r="B86" s="31" t="s">
        <v>1116</v>
      </c>
      <c r="C86" s="31" t="s">
        <v>1117</v>
      </c>
      <c r="D86" s="54" t="n">
        <v>36153.49</v>
      </c>
    </row>
    <row r="87" customFormat="false" ht="15" hidden="false" customHeight="false" outlineLevel="0" collapsed="false">
      <c r="A87" s="41" t="n">
        <v>45870</v>
      </c>
      <c r="B87" s="31" t="s">
        <v>1118</v>
      </c>
      <c r="C87" s="31" t="s">
        <v>1117</v>
      </c>
      <c r="D87" s="54" t="n">
        <v>20129.26</v>
      </c>
    </row>
    <row r="88" customFormat="false" ht="15" hidden="false" customHeight="false" outlineLevel="0" collapsed="false">
      <c r="A88" s="41" t="n">
        <v>45870</v>
      </c>
      <c r="B88" s="31" t="s">
        <v>1119</v>
      </c>
      <c r="C88" s="31" t="s">
        <v>1117</v>
      </c>
      <c r="D88" s="54" t="n">
        <v>6605.56</v>
      </c>
    </row>
    <row r="89" customFormat="false" ht="15" hidden="false" customHeight="false" outlineLevel="0" collapsed="false">
      <c r="A89" s="41" t="n">
        <v>45870</v>
      </c>
      <c r="B89" s="31" t="s">
        <v>1120</v>
      </c>
      <c r="C89" s="31" t="s">
        <v>1121</v>
      </c>
      <c r="D89" s="54" t="n">
        <v>8867.94</v>
      </c>
    </row>
    <row r="90" customFormat="false" ht="15" hidden="false" customHeight="false" outlineLevel="0" collapsed="false">
      <c r="A90" s="41" t="n">
        <v>45870</v>
      </c>
      <c r="B90" s="31" t="s">
        <v>1122</v>
      </c>
      <c r="C90" s="31" t="s">
        <v>1121</v>
      </c>
      <c r="D90" s="54" t="n">
        <v>3055.91</v>
      </c>
    </row>
    <row r="91" customFormat="false" ht="15" hidden="false" customHeight="false" outlineLevel="0" collapsed="false">
      <c r="A91" s="41" t="n">
        <v>45870</v>
      </c>
      <c r="B91" s="31" t="s">
        <v>1123</v>
      </c>
      <c r="C91" s="31" t="s">
        <v>1121</v>
      </c>
      <c r="D91" s="54" t="n">
        <v>2056.26</v>
      </c>
    </row>
    <row r="92" customFormat="false" ht="15" hidden="false" customHeight="false" outlineLevel="0" collapsed="false">
      <c r="A92" s="41" t="n">
        <v>45870</v>
      </c>
      <c r="B92" s="31" t="s">
        <v>1124</v>
      </c>
      <c r="C92" s="31" t="s">
        <v>1117</v>
      </c>
      <c r="D92" s="54" t="n">
        <v>1069.67</v>
      </c>
    </row>
    <row r="93" customFormat="false" ht="15" hidden="false" customHeight="false" outlineLevel="0" collapsed="false">
      <c r="A93" s="41" t="n">
        <v>45870</v>
      </c>
      <c r="B93" s="31" t="s">
        <v>1125</v>
      </c>
      <c r="C93" s="31" t="s">
        <v>1117</v>
      </c>
      <c r="D93" s="54" t="n">
        <v>1131.88</v>
      </c>
    </row>
    <row r="94" customFormat="false" ht="15" hidden="false" customHeight="false" outlineLevel="0" collapsed="false">
      <c r="A94" s="41" t="n">
        <v>45870</v>
      </c>
      <c r="B94" s="31" t="s">
        <v>1126</v>
      </c>
      <c r="C94" s="31" t="s">
        <v>1117</v>
      </c>
      <c r="D94" s="54" t="n">
        <v>1449.22</v>
      </c>
    </row>
    <row r="95" customFormat="false" ht="15" hidden="false" customHeight="false" outlineLevel="0" collapsed="false">
      <c r="A95" s="41" t="n">
        <v>45870</v>
      </c>
      <c r="B95" s="31" t="s">
        <v>1127</v>
      </c>
      <c r="C95" s="31" t="s">
        <v>1121</v>
      </c>
      <c r="D95" s="54" t="n">
        <v>2210.85</v>
      </c>
    </row>
    <row r="96" customFormat="false" ht="15" hidden="false" customHeight="false" outlineLevel="0" collapsed="false">
      <c r="A96" s="41" t="n">
        <v>45870</v>
      </c>
      <c r="B96" s="31" t="s">
        <v>1128</v>
      </c>
      <c r="C96" s="31" t="s">
        <v>1121</v>
      </c>
      <c r="D96" s="54" t="n">
        <v>2297.35</v>
      </c>
    </row>
    <row r="97" customFormat="false" ht="15" hidden="false" customHeight="false" outlineLevel="0" collapsed="false">
      <c r="A97" s="41" t="n">
        <v>45870</v>
      </c>
      <c r="B97" s="31" t="s">
        <v>1129</v>
      </c>
      <c r="C97" s="31" t="s">
        <v>1121</v>
      </c>
      <c r="D97" s="54" t="n">
        <v>1609.75</v>
      </c>
    </row>
    <row r="98" customFormat="false" ht="15" hidden="false" customHeight="false" outlineLevel="0" collapsed="false">
      <c r="A98" s="41" t="n">
        <v>45901</v>
      </c>
      <c r="B98" s="31" t="s">
        <v>1116</v>
      </c>
      <c r="C98" s="31" t="s">
        <v>1117</v>
      </c>
      <c r="D98" s="54" t="n">
        <v>37128.49</v>
      </c>
    </row>
    <row r="99" customFormat="false" ht="15" hidden="false" customHeight="false" outlineLevel="0" collapsed="false">
      <c r="A99" s="41" t="n">
        <v>45901</v>
      </c>
      <c r="B99" s="31" t="s">
        <v>1118</v>
      </c>
      <c r="C99" s="31" t="s">
        <v>1117</v>
      </c>
      <c r="D99" s="54" t="n">
        <v>19827.4</v>
      </c>
    </row>
    <row r="100" customFormat="false" ht="15" hidden="false" customHeight="false" outlineLevel="0" collapsed="false">
      <c r="A100" s="41" t="n">
        <v>45901</v>
      </c>
      <c r="B100" s="31" t="s">
        <v>1119</v>
      </c>
      <c r="C100" s="31" t="s">
        <v>1117</v>
      </c>
      <c r="D100" s="54" t="n">
        <v>6620.77</v>
      </c>
    </row>
    <row r="101" customFormat="false" ht="15" hidden="false" customHeight="false" outlineLevel="0" collapsed="false">
      <c r="A101" s="41" t="n">
        <v>45901</v>
      </c>
      <c r="B101" s="31" t="s">
        <v>1120</v>
      </c>
      <c r="C101" s="31" t="s">
        <v>1121</v>
      </c>
      <c r="D101" s="54" t="n">
        <v>10913.79</v>
      </c>
    </row>
    <row r="102" customFormat="false" ht="15" hidden="false" customHeight="false" outlineLevel="0" collapsed="false">
      <c r="A102" s="41" t="n">
        <v>45901</v>
      </c>
      <c r="B102" s="31" t="s">
        <v>1122</v>
      </c>
      <c r="C102" s="31" t="s">
        <v>1121</v>
      </c>
      <c r="D102" s="54" t="n">
        <v>5135.93</v>
      </c>
    </row>
    <row r="103" customFormat="false" ht="15" hidden="false" customHeight="false" outlineLevel="0" collapsed="false">
      <c r="A103" s="41" t="n">
        <v>45901</v>
      </c>
      <c r="B103" s="31" t="s">
        <v>1123</v>
      </c>
      <c r="C103" s="31" t="s">
        <v>1121</v>
      </c>
      <c r="D103" s="54" t="n">
        <v>4995.26</v>
      </c>
    </row>
    <row r="104" customFormat="false" ht="15" hidden="false" customHeight="false" outlineLevel="0" collapsed="false">
      <c r="A104" s="41" t="n">
        <v>45901</v>
      </c>
      <c r="B104" s="31" t="s">
        <v>1124</v>
      </c>
      <c r="C104" s="31" t="s">
        <v>1117</v>
      </c>
      <c r="D104" s="54" t="n">
        <v>991.5</v>
      </c>
    </row>
    <row r="105" customFormat="false" ht="15" hidden="false" customHeight="false" outlineLevel="0" collapsed="false">
      <c r="A105" s="41" t="n">
        <v>45901</v>
      </c>
      <c r="B105" s="31" t="s">
        <v>1125</v>
      </c>
      <c r="C105" s="31" t="s">
        <v>1117</v>
      </c>
      <c r="D105" s="54" t="n">
        <v>1442.23</v>
      </c>
    </row>
    <row r="106" customFormat="false" ht="15" hidden="false" customHeight="false" outlineLevel="0" collapsed="false">
      <c r="A106" s="41" t="n">
        <v>45901</v>
      </c>
      <c r="B106" s="31" t="s">
        <v>1126</v>
      </c>
      <c r="C106" s="31" t="s">
        <v>1117</v>
      </c>
      <c r="D106" s="54" t="n">
        <v>1533.13</v>
      </c>
    </row>
    <row r="107" customFormat="false" ht="15" hidden="false" customHeight="false" outlineLevel="0" collapsed="false">
      <c r="A107" s="41" t="n">
        <v>45901</v>
      </c>
      <c r="B107" s="31" t="s">
        <v>1127</v>
      </c>
      <c r="C107" s="31" t="s">
        <v>1121</v>
      </c>
      <c r="D107" s="54" t="n">
        <v>2020.42</v>
      </c>
    </row>
    <row r="108" customFormat="false" ht="15" hidden="false" customHeight="false" outlineLevel="0" collapsed="false">
      <c r="A108" s="41" t="n">
        <v>45901</v>
      </c>
      <c r="B108" s="31" t="s">
        <v>1128</v>
      </c>
      <c r="C108" s="31" t="s">
        <v>1121</v>
      </c>
      <c r="D108" s="54" t="n">
        <v>2370.27</v>
      </c>
    </row>
    <row r="109" customFormat="false" ht="15" hidden="false" customHeight="false" outlineLevel="0" collapsed="false">
      <c r="A109" s="41" t="n">
        <v>45901</v>
      </c>
      <c r="B109" s="31" t="s">
        <v>1129</v>
      </c>
      <c r="C109" s="31" t="s">
        <v>1121</v>
      </c>
      <c r="D109" s="54" t="n">
        <v>1394.57</v>
      </c>
    </row>
    <row r="110" customFormat="false" ht="15" hidden="false" customHeight="false" outlineLevel="0" collapsed="false">
      <c r="A110" s="41" t="n">
        <v>45931</v>
      </c>
      <c r="B110" s="31" t="s">
        <v>1116</v>
      </c>
      <c r="C110" s="31" t="s">
        <v>1117</v>
      </c>
      <c r="D110" s="54" t="n">
        <v>40253.38</v>
      </c>
    </row>
    <row r="111" customFormat="false" ht="15" hidden="false" customHeight="false" outlineLevel="0" collapsed="false">
      <c r="A111" s="41" t="n">
        <v>45931</v>
      </c>
      <c r="B111" s="31" t="s">
        <v>1118</v>
      </c>
      <c r="C111" s="31" t="s">
        <v>1117</v>
      </c>
      <c r="D111" s="54" t="n">
        <v>20944.87</v>
      </c>
    </row>
    <row r="112" customFormat="false" ht="15" hidden="false" customHeight="false" outlineLevel="0" collapsed="false">
      <c r="A112" s="41" t="n">
        <v>45931</v>
      </c>
      <c r="B112" s="31" t="s">
        <v>1119</v>
      </c>
      <c r="C112" s="31" t="s">
        <v>1117</v>
      </c>
      <c r="D112" s="54" t="n">
        <v>6636.03</v>
      </c>
    </row>
    <row r="113" customFormat="false" ht="15" hidden="false" customHeight="false" outlineLevel="0" collapsed="false">
      <c r="A113" s="41" t="n">
        <v>45931</v>
      </c>
      <c r="B113" s="31" t="s">
        <v>1120</v>
      </c>
      <c r="C113" s="31" t="s">
        <v>1121</v>
      </c>
      <c r="D113" s="54" t="n">
        <v>11193.07</v>
      </c>
    </row>
    <row r="114" customFormat="false" ht="15" hidden="false" customHeight="false" outlineLevel="0" collapsed="false">
      <c r="A114" s="41" t="n">
        <v>45931</v>
      </c>
      <c r="B114" s="31" t="s">
        <v>1122</v>
      </c>
      <c r="C114" s="31" t="s">
        <v>1121</v>
      </c>
      <c r="D114" s="54" t="n">
        <v>4722.02</v>
      </c>
    </row>
    <row r="115" customFormat="false" ht="15" hidden="false" customHeight="false" outlineLevel="0" collapsed="false">
      <c r="A115" s="41" t="n">
        <v>45931</v>
      </c>
      <c r="B115" s="31" t="s">
        <v>1123</v>
      </c>
      <c r="C115" s="31" t="s">
        <v>1121</v>
      </c>
      <c r="D115" s="54" t="n">
        <v>3218.53</v>
      </c>
    </row>
    <row r="116" customFormat="false" ht="15" hidden="false" customHeight="false" outlineLevel="0" collapsed="false">
      <c r="A116" s="41" t="n">
        <v>45931</v>
      </c>
      <c r="B116" s="31" t="s">
        <v>1124</v>
      </c>
      <c r="C116" s="31" t="s">
        <v>1117</v>
      </c>
      <c r="D116" s="54" t="n">
        <v>1391.7</v>
      </c>
    </row>
    <row r="117" customFormat="false" ht="15" hidden="false" customHeight="false" outlineLevel="0" collapsed="false">
      <c r="A117" s="41" t="n">
        <v>45931</v>
      </c>
      <c r="B117" s="31" t="s">
        <v>1125</v>
      </c>
      <c r="C117" s="31" t="s">
        <v>1117</v>
      </c>
      <c r="D117" s="54" t="n">
        <v>1346.59</v>
      </c>
    </row>
    <row r="118" customFormat="false" ht="15" hidden="false" customHeight="false" outlineLevel="0" collapsed="false">
      <c r="A118" s="41" t="n">
        <v>45931</v>
      </c>
      <c r="B118" s="31" t="s">
        <v>1126</v>
      </c>
      <c r="C118" s="31" t="s">
        <v>1117</v>
      </c>
      <c r="D118" s="54" t="n">
        <v>1586.22</v>
      </c>
    </row>
    <row r="119" customFormat="false" ht="15" hidden="false" customHeight="false" outlineLevel="0" collapsed="false">
      <c r="A119" s="41" t="n">
        <v>45931</v>
      </c>
      <c r="B119" s="31" t="s">
        <v>1127</v>
      </c>
      <c r="C119" s="31" t="s">
        <v>1121</v>
      </c>
      <c r="D119" s="54" t="n">
        <v>1928.54</v>
      </c>
    </row>
    <row r="120" customFormat="false" ht="15" hidden="false" customHeight="false" outlineLevel="0" collapsed="false">
      <c r="A120" s="41" t="n">
        <v>45931</v>
      </c>
      <c r="B120" s="31" t="s">
        <v>1128</v>
      </c>
      <c r="C120" s="31" t="s">
        <v>1121</v>
      </c>
      <c r="D120" s="54" t="n">
        <v>1327.88</v>
      </c>
    </row>
    <row r="121" customFormat="false" ht="15" hidden="false" customHeight="false" outlineLevel="0" collapsed="false">
      <c r="A121" s="41" t="n">
        <v>45931</v>
      </c>
      <c r="B121" s="31" t="s">
        <v>1129</v>
      </c>
      <c r="C121" s="31" t="s">
        <v>1121</v>
      </c>
      <c r="D121" s="54" t="n">
        <v>997.55</v>
      </c>
    </row>
    <row r="122" customFormat="false" ht="15" hidden="false" customHeight="false" outlineLevel="0" collapsed="false">
      <c r="A122" s="41" t="n">
        <v>45962</v>
      </c>
      <c r="B122" s="31" t="s">
        <v>1116</v>
      </c>
      <c r="C122" s="31" t="s">
        <v>1117</v>
      </c>
      <c r="D122" s="54" t="n">
        <v>41569.04</v>
      </c>
    </row>
    <row r="123" customFormat="false" ht="15" hidden="false" customHeight="false" outlineLevel="0" collapsed="false">
      <c r="A123" s="41" t="n">
        <v>45962</v>
      </c>
      <c r="B123" s="31" t="s">
        <v>1118</v>
      </c>
      <c r="C123" s="31" t="s">
        <v>1117</v>
      </c>
      <c r="D123" s="54" t="n">
        <v>19716.03</v>
      </c>
    </row>
    <row r="124" customFormat="false" ht="15" hidden="false" customHeight="false" outlineLevel="0" collapsed="false">
      <c r="A124" s="41" t="n">
        <v>45962</v>
      </c>
      <c r="B124" s="31" t="s">
        <v>1119</v>
      </c>
      <c r="C124" s="31" t="s">
        <v>1117</v>
      </c>
      <c r="D124" s="54" t="n">
        <v>6651.32</v>
      </c>
    </row>
    <row r="125" customFormat="false" ht="15" hidden="false" customHeight="false" outlineLevel="0" collapsed="false">
      <c r="A125" s="41" t="n">
        <v>45962</v>
      </c>
      <c r="B125" s="31" t="s">
        <v>1120</v>
      </c>
      <c r="C125" s="31" t="s">
        <v>1121</v>
      </c>
      <c r="D125" s="54" t="n">
        <v>10660.82</v>
      </c>
    </row>
    <row r="126" customFormat="false" ht="15" hidden="false" customHeight="false" outlineLevel="0" collapsed="false">
      <c r="A126" s="41" t="n">
        <v>45962</v>
      </c>
      <c r="B126" s="31" t="s">
        <v>1122</v>
      </c>
      <c r="C126" s="31" t="s">
        <v>1121</v>
      </c>
      <c r="D126" s="54" t="n">
        <v>2553.07</v>
      </c>
    </row>
    <row r="127" customFormat="false" ht="15" hidden="false" customHeight="false" outlineLevel="0" collapsed="false">
      <c r="A127" s="41" t="n">
        <v>45962</v>
      </c>
      <c r="B127" s="31" t="s">
        <v>1123</v>
      </c>
      <c r="C127" s="31" t="s">
        <v>1121</v>
      </c>
      <c r="D127" s="54" t="n">
        <v>2475.56</v>
      </c>
    </row>
    <row r="128" customFormat="false" ht="15" hidden="false" customHeight="false" outlineLevel="0" collapsed="false">
      <c r="A128" s="41" t="n">
        <v>45962</v>
      </c>
      <c r="B128" s="31" t="s">
        <v>1124</v>
      </c>
      <c r="C128" s="31" t="s">
        <v>1117</v>
      </c>
      <c r="D128" s="54" t="n">
        <v>1202.23</v>
      </c>
    </row>
    <row r="129" customFormat="false" ht="15" hidden="false" customHeight="false" outlineLevel="0" collapsed="false">
      <c r="A129" s="41" t="n">
        <v>45962</v>
      </c>
      <c r="B129" s="31" t="s">
        <v>1125</v>
      </c>
      <c r="C129" s="31" t="s">
        <v>1117</v>
      </c>
      <c r="D129" s="54" t="n">
        <v>1381.1</v>
      </c>
    </row>
    <row r="130" customFormat="false" ht="15" hidden="false" customHeight="false" outlineLevel="0" collapsed="false">
      <c r="A130" s="41" t="n">
        <v>45962</v>
      </c>
      <c r="B130" s="31" t="s">
        <v>1126</v>
      </c>
      <c r="C130" s="31" t="s">
        <v>1117</v>
      </c>
      <c r="D130" s="54" t="n">
        <v>1471.35</v>
      </c>
    </row>
    <row r="131" customFormat="false" ht="15" hidden="false" customHeight="false" outlineLevel="0" collapsed="false">
      <c r="A131" s="41" t="n">
        <v>45962</v>
      </c>
      <c r="B131" s="31" t="s">
        <v>1127</v>
      </c>
      <c r="C131" s="31" t="s">
        <v>1121</v>
      </c>
      <c r="D131" s="54" t="n">
        <v>2395.42</v>
      </c>
    </row>
    <row r="132" customFormat="false" ht="15" hidden="false" customHeight="false" outlineLevel="0" collapsed="false">
      <c r="A132" s="41" t="n">
        <v>45962</v>
      </c>
      <c r="B132" s="31" t="s">
        <v>1128</v>
      </c>
      <c r="C132" s="31" t="s">
        <v>1121</v>
      </c>
      <c r="D132" s="54" t="n">
        <v>2542.27</v>
      </c>
    </row>
    <row r="133" customFormat="false" ht="15" hidden="false" customHeight="false" outlineLevel="0" collapsed="false">
      <c r="A133" s="41" t="n">
        <v>45962</v>
      </c>
      <c r="B133" s="31" t="s">
        <v>1129</v>
      </c>
      <c r="C133" s="31" t="s">
        <v>1121</v>
      </c>
      <c r="D133" s="54" t="n">
        <v>1705.07</v>
      </c>
    </row>
    <row r="134" customFormat="false" ht="15" hidden="false" customHeight="false" outlineLevel="0" collapsed="false">
      <c r="A134" s="41" t="n">
        <v>45992</v>
      </c>
      <c r="B134" s="31" t="s">
        <v>1116</v>
      </c>
      <c r="C134" s="31" t="s">
        <v>1117</v>
      </c>
      <c r="D134" s="54" t="n">
        <v>41002.66</v>
      </c>
    </row>
    <row r="135" customFormat="false" ht="15" hidden="false" customHeight="false" outlineLevel="0" collapsed="false">
      <c r="A135" s="41" t="n">
        <v>45992</v>
      </c>
      <c r="B135" s="31" t="s">
        <v>1118</v>
      </c>
      <c r="C135" s="31" t="s">
        <v>1117</v>
      </c>
      <c r="D135" s="54" t="n">
        <v>20418.02</v>
      </c>
    </row>
    <row r="136" customFormat="false" ht="15" hidden="false" customHeight="false" outlineLevel="0" collapsed="false">
      <c r="A136" s="41" t="n">
        <v>45992</v>
      </c>
      <c r="B136" s="31" t="s">
        <v>1119</v>
      </c>
      <c r="C136" s="31" t="s">
        <v>1117</v>
      </c>
      <c r="D136" s="54" t="n">
        <v>6666.64</v>
      </c>
    </row>
    <row r="137" customFormat="false" ht="15" hidden="false" customHeight="false" outlineLevel="0" collapsed="false">
      <c r="A137" s="41" t="n">
        <v>45992</v>
      </c>
      <c r="B137" s="31" t="s">
        <v>1120</v>
      </c>
      <c r="C137" s="31" t="s">
        <v>1121</v>
      </c>
      <c r="D137" s="54" t="n">
        <v>12924.52</v>
      </c>
    </row>
    <row r="138" customFormat="false" ht="15" hidden="false" customHeight="false" outlineLevel="0" collapsed="false">
      <c r="A138" s="41" t="n">
        <v>45992</v>
      </c>
      <c r="B138" s="31" t="s">
        <v>1122</v>
      </c>
      <c r="C138" s="31" t="s">
        <v>1121</v>
      </c>
      <c r="D138" s="54" t="n">
        <v>4018.95</v>
      </c>
    </row>
    <row r="139" customFormat="false" ht="15" hidden="false" customHeight="false" outlineLevel="0" collapsed="false">
      <c r="A139" s="41" t="n">
        <v>45992</v>
      </c>
      <c r="B139" s="31" t="s">
        <v>1123</v>
      </c>
      <c r="C139" s="31" t="s">
        <v>1121</v>
      </c>
      <c r="D139" s="54" t="n">
        <v>2554.31</v>
      </c>
    </row>
    <row r="140" customFormat="false" ht="15" hidden="false" customHeight="false" outlineLevel="0" collapsed="false">
      <c r="A140" s="41" t="n">
        <v>45992</v>
      </c>
      <c r="B140" s="31" t="s">
        <v>1124</v>
      </c>
      <c r="C140" s="31" t="s">
        <v>1117</v>
      </c>
      <c r="D140" s="54" t="n">
        <v>1286.37</v>
      </c>
    </row>
    <row r="141" customFormat="false" ht="15" hidden="false" customHeight="false" outlineLevel="0" collapsed="false">
      <c r="A141" s="41" t="n">
        <v>45992</v>
      </c>
      <c r="B141" s="31" t="s">
        <v>1125</v>
      </c>
      <c r="C141" s="31" t="s">
        <v>1117</v>
      </c>
      <c r="D141" s="54" t="n">
        <v>1192.44</v>
      </c>
    </row>
    <row r="142" customFormat="false" ht="15" hidden="false" customHeight="false" outlineLevel="0" collapsed="false">
      <c r="A142" s="41" t="n">
        <v>45992</v>
      </c>
      <c r="B142" s="31" t="s">
        <v>1126</v>
      </c>
      <c r="C142" s="31" t="s">
        <v>1117</v>
      </c>
      <c r="D142" s="54" t="n">
        <v>1471.48</v>
      </c>
    </row>
    <row r="143" customFormat="false" ht="15" hidden="false" customHeight="false" outlineLevel="0" collapsed="false">
      <c r="A143" s="41" t="n">
        <v>45992</v>
      </c>
      <c r="B143" s="31" t="s">
        <v>1127</v>
      </c>
      <c r="C143" s="31" t="s">
        <v>1121</v>
      </c>
      <c r="D143" s="54" t="n">
        <v>2676.87</v>
      </c>
    </row>
    <row r="144" customFormat="false" ht="15" hidden="false" customHeight="false" outlineLevel="0" collapsed="false">
      <c r="A144" s="41" t="n">
        <v>45992</v>
      </c>
      <c r="B144" s="31" t="s">
        <v>1128</v>
      </c>
      <c r="C144" s="31" t="s">
        <v>1121</v>
      </c>
      <c r="D144" s="54" t="n">
        <v>2249.68</v>
      </c>
    </row>
    <row r="145" customFormat="false" ht="15" hidden="false" customHeight="false" outlineLevel="0" collapsed="false">
      <c r="A145" s="41" t="n">
        <v>45992</v>
      </c>
      <c r="B145" s="31" t="s">
        <v>1129</v>
      </c>
      <c r="C145" s="31" t="s">
        <v>1121</v>
      </c>
      <c r="D145" s="54" t="n">
        <v>971.34</v>
      </c>
    </row>
    <row r="146" customFormat="false" ht="15" hidden="false" customHeight="false" outlineLevel="0" collapsed="false">
      <c r="A146" s="41" t="n">
        <v>46023</v>
      </c>
      <c r="B146" s="31" t="s">
        <v>1116</v>
      </c>
      <c r="C146" s="31" t="s">
        <v>1117</v>
      </c>
      <c r="D146" s="54" t="n">
        <v>37098.94</v>
      </c>
    </row>
    <row r="147" customFormat="false" ht="15" hidden="false" customHeight="false" outlineLevel="0" collapsed="false">
      <c r="A147" s="41" t="n">
        <v>46023</v>
      </c>
      <c r="B147" s="31" t="s">
        <v>1118</v>
      </c>
      <c r="C147" s="31" t="s">
        <v>1117</v>
      </c>
      <c r="D147" s="54" t="n">
        <v>19852.71</v>
      </c>
    </row>
    <row r="148" customFormat="false" ht="15" hidden="false" customHeight="false" outlineLevel="0" collapsed="false">
      <c r="A148" s="41" t="n">
        <v>46023</v>
      </c>
      <c r="B148" s="31" t="s">
        <v>1119</v>
      </c>
      <c r="C148" s="31" t="s">
        <v>1117</v>
      </c>
      <c r="D148" s="54" t="n">
        <v>6682</v>
      </c>
    </row>
    <row r="149" customFormat="false" ht="15" hidden="false" customHeight="false" outlineLevel="0" collapsed="false">
      <c r="A149" s="41" t="n">
        <v>46023</v>
      </c>
      <c r="B149" s="31" t="s">
        <v>1120</v>
      </c>
      <c r="C149" s="31" t="s">
        <v>1121</v>
      </c>
      <c r="D149" s="54" t="n">
        <v>9955.82</v>
      </c>
    </row>
    <row r="150" customFormat="false" ht="15" hidden="false" customHeight="false" outlineLevel="0" collapsed="false">
      <c r="A150" s="41" t="n">
        <v>46023</v>
      </c>
      <c r="B150" s="31" t="s">
        <v>1122</v>
      </c>
      <c r="C150" s="31" t="s">
        <v>1121</v>
      </c>
      <c r="D150" s="54" t="n">
        <v>3719.23</v>
      </c>
    </row>
    <row r="151" customFormat="false" ht="15" hidden="false" customHeight="false" outlineLevel="0" collapsed="false">
      <c r="A151" s="41" t="n">
        <v>46023</v>
      </c>
      <c r="B151" s="31" t="s">
        <v>1123</v>
      </c>
      <c r="C151" s="31" t="s">
        <v>1121</v>
      </c>
      <c r="D151" s="54" t="n">
        <v>2134.44</v>
      </c>
    </row>
    <row r="152" customFormat="false" ht="15" hidden="false" customHeight="false" outlineLevel="0" collapsed="false">
      <c r="A152" s="41" t="n">
        <v>46023</v>
      </c>
      <c r="B152" s="31" t="s">
        <v>1124</v>
      </c>
      <c r="C152" s="31" t="s">
        <v>1117</v>
      </c>
      <c r="D152" s="54" t="n">
        <v>1063.56</v>
      </c>
    </row>
    <row r="153" customFormat="false" ht="15" hidden="false" customHeight="false" outlineLevel="0" collapsed="false">
      <c r="A153" s="41" t="n">
        <v>46023</v>
      </c>
      <c r="B153" s="31" t="s">
        <v>1125</v>
      </c>
      <c r="C153" s="31" t="s">
        <v>1117</v>
      </c>
      <c r="D153" s="54" t="n">
        <v>1386.91</v>
      </c>
    </row>
    <row r="154" customFormat="false" ht="15" hidden="false" customHeight="false" outlineLevel="0" collapsed="false">
      <c r="A154" s="41" t="n">
        <v>46023</v>
      </c>
      <c r="B154" s="31" t="s">
        <v>1126</v>
      </c>
      <c r="C154" s="31" t="s">
        <v>1117</v>
      </c>
      <c r="D154" s="54" t="n">
        <v>1610.15</v>
      </c>
    </row>
    <row r="155" customFormat="false" ht="15" hidden="false" customHeight="false" outlineLevel="0" collapsed="false">
      <c r="A155" s="41" t="n">
        <v>46023</v>
      </c>
      <c r="B155" s="31" t="s">
        <v>1127</v>
      </c>
      <c r="C155" s="31" t="s">
        <v>1121</v>
      </c>
      <c r="D155" s="54" t="n">
        <v>1689.72</v>
      </c>
    </row>
    <row r="156" customFormat="false" ht="15" hidden="false" customHeight="false" outlineLevel="0" collapsed="false">
      <c r="A156" s="41" t="n">
        <v>46023</v>
      </c>
      <c r="B156" s="31" t="s">
        <v>1128</v>
      </c>
      <c r="C156" s="31" t="s">
        <v>1121</v>
      </c>
      <c r="D156" s="54" t="n">
        <v>1620.12</v>
      </c>
    </row>
    <row r="157" customFormat="false" ht="15" hidden="false" customHeight="false" outlineLevel="0" collapsed="false">
      <c r="A157" s="41" t="n">
        <v>46023</v>
      </c>
      <c r="B157" s="31" t="s">
        <v>1129</v>
      </c>
      <c r="C157" s="31" t="s">
        <v>1121</v>
      </c>
      <c r="D157" s="54" t="n">
        <v>1885.66</v>
      </c>
    </row>
    <row r="158" customFormat="false" ht="15" hidden="false" customHeight="false" outlineLevel="0" collapsed="false">
      <c r="A158" s="41" t="n">
        <v>46054</v>
      </c>
      <c r="B158" s="31" t="s">
        <v>1116</v>
      </c>
      <c r="C158" s="31" t="s">
        <v>1117</v>
      </c>
      <c r="D158" s="54" t="n">
        <v>39751.78</v>
      </c>
    </row>
    <row r="159" customFormat="false" ht="15" hidden="false" customHeight="false" outlineLevel="0" collapsed="false">
      <c r="A159" s="41" t="n">
        <v>46054</v>
      </c>
      <c r="B159" s="31" t="s">
        <v>1118</v>
      </c>
      <c r="C159" s="31" t="s">
        <v>1117</v>
      </c>
      <c r="D159" s="54" t="n">
        <v>19767.4</v>
      </c>
    </row>
    <row r="160" customFormat="false" ht="15" hidden="false" customHeight="false" outlineLevel="0" collapsed="false">
      <c r="A160" s="41" t="n">
        <v>46054</v>
      </c>
      <c r="B160" s="31" t="s">
        <v>1119</v>
      </c>
      <c r="C160" s="31" t="s">
        <v>1117</v>
      </c>
      <c r="D160" s="54" t="n">
        <v>6697.39</v>
      </c>
    </row>
    <row r="161" customFormat="false" ht="15" hidden="false" customHeight="false" outlineLevel="0" collapsed="false">
      <c r="A161" s="41" t="n">
        <v>46054</v>
      </c>
      <c r="B161" s="31" t="s">
        <v>1120</v>
      </c>
      <c r="C161" s="31" t="s">
        <v>1121</v>
      </c>
      <c r="D161" s="54" t="n">
        <v>10830.18</v>
      </c>
    </row>
    <row r="162" customFormat="false" ht="15" hidden="false" customHeight="false" outlineLevel="0" collapsed="false">
      <c r="A162" s="41" t="n">
        <v>46054</v>
      </c>
      <c r="B162" s="31" t="s">
        <v>1122</v>
      </c>
      <c r="C162" s="31" t="s">
        <v>1121</v>
      </c>
      <c r="D162" s="54" t="n">
        <v>4386.99</v>
      </c>
    </row>
    <row r="163" customFormat="false" ht="15" hidden="false" customHeight="false" outlineLevel="0" collapsed="false">
      <c r="A163" s="41" t="n">
        <v>46054</v>
      </c>
      <c r="B163" s="31" t="s">
        <v>1123</v>
      </c>
      <c r="C163" s="31" t="s">
        <v>1121</v>
      </c>
      <c r="D163" s="54" t="n">
        <v>4450.92</v>
      </c>
    </row>
    <row r="164" customFormat="false" ht="15" hidden="false" customHeight="false" outlineLevel="0" collapsed="false">
      <c r="A164" s="41" t="n">
        <v>46054</v>
      </c>
      <c r="B164" s="31" t="s">
        <v>1124</v>
      </c>
      <c r="C164" s="31" t="s">
        <v>1117</v>
      </c>
      <c r="D164" s="54" t="n">
        <v>987.03</v>
      </c>
    </row>
    <row r="165" customFormat="false" ht="15" hidden="false" customHeight="false" outlineLevel="0" collapsed="false">
      <c r="A165" s="41" t="n">
        <v>46054</v>
      </c>
      <c r="B165" s="31" t="s">
        <v>1125</v>
      </c>
      <c r="C165" s="31" t="s">
        <v>1117</v>
      </c>
      <c r="D165" s="54" t="n">
        <v>1494.09</v>
      </c>
    </row>
    <row r="166" customFormat="false" ht="15" hidden="false" customHeight="false" outlineLevel="0" collapsed="false">
      <c r="A166" s="41" t="n">
        <v>46054</v>
      </c>
      <c r="B166" s="31" t="s">
        <v>1126</v>
      </c>
      <c r="C166" s="31" t="s">
        <v>1117</v>
      </c>
      <c r="D166" s="54" t="n">
        <v>1541.84</v>
      </c>
    </row>
    <row r="167" customFormat="false" ht="15" hidden="false" customHeight="false" outlineLevel="0" collapsed="false">
      <c r="A167" s="41" t="n">
        <v>46054</v>
      </c>
      <c r="B167" s="31" t="s">
        <v>1127</v>
      </c>
      <c r="C167" s="31" t="s">
        <v>1121</v>
      </c>
      <c r="D167" s="54" t="n">
        <v>2905.92</v>
      </c>
    </row>
    <row r="168" customFormat="false" ht="15" hidden="false" customHeight="false" outlineLevel="0" collapsed="false">
      <c r="A168" s="41" t="n">
        <v>46054</v>
      </c>
      <c r="B168" s="31" t="s">
        <v>1128</v>
      </c>
      <c r="C168" s="31" t="s">
        <v>1121</v>
      </c>
      <c r="D168" s="54" t="n">
        <v>1638.53</v>
      </c>
    </row>
    <row r="169" customFormat="false" ht="15" hidden="false" customHeight="false" outlineLevel="0" collapsed="false">
      <c r="A169" s="41" t="n">
        <v>46054</v>
      </c>
      <c r="B169" s="31" t="s">
        <v>1129</v>
      </c>
      <c r="C169" s="31" t="s">
        <v>1121</v>
      </c>
      <c r="D169" s="54" t="n">
        <v>1877.56</v>
      </c>
    </row>
    <row r="170" customFormat="false" ht="15" hidden="false" customHeight="false" outlineLevel="0" collapsed="false">
      <c r="A170" s="41" t="n">
        <v>46082</v>
      </c>
      <c r="B170" s="31" t="s">
        <v>1116</v>
      </c>
      <c r="C170" s="31" t="s">
        <v>1117</v>
      </c>
      <c r="D170" s="54" t="n">
        <v>40703.28</v>
      </c>
    </row>
    <row r="171" customFormat="false" ht="15" hidden="false" customHeight="false" outlineLevel="0" collapsed="false">
      <c r="A171" s="41" t="n">
        <v>46082</v>
      </c>
      <c r="B171" s="31" t="s">
        <v>1118</v>
      </c>
      <c r="C171" s="31" t="s">
        <v>1117</v>
      </c>
      <c r="D171" s="54" t="n">
        <v>19570.3</v>
      </c>
    </row>
    <row r="172" customFormat="false" ht="15" hidden="false" customHeight="false" outlineLevel="0" collapsed="false">
      <c r="A172" s="41" t="n">
        <v>46082</v>
      </c>
      <c r="B172" s="31" t="s">
        <v>1119</v>
      </c>
      <c r="C172" s="31" t="s">
        <v>1117</v>
      </c>
      <c r="D172" s="54" t="n">
        <v>6712.82</v>
      </c>
    </row>
    <row r="173" customFormat="false" ht="15" hidden="false" customHeight="false" outlineLevel="0" collapsed="false">
      <c r="A173" s="41" t="n">
        <v>46082</v>
      </c>
      <c r="B173" s="31" t="s">
        <v>1120</v>
      </c>
      <c r="C173" s="31" t="s">
        <v>1121</v>
      </c>
      <c r="D173" s="54" t="n">
        <v>9109.72</v>
      </c>
    </row>
    <row r="174" customFormat="false" ht="15" hidden="false" customHeight="false" outlineLevel="0" collapsed="false">
      <c r="A174" s="41" t="n">
        <v>46082</v>
      </c>
      <c r="B174" s="31" t="s">
        <v>1122</v>
      </c>
      <c r="C174" s="31" t="s">
        <v>1121</v>
      </c>
      <c r="D174" s="54" t="n">
        <v>2796.67</v>
      </c>
    </row>
    <row r="175" customFormat="false" ht="15" hidden="false" customHeight="false" outlineLevel="0" collapsed="false">
      <c r="A175" s="41" t="n">
        <v>46082</v>
      </c>
      <c r="B175" s="31" t="s">
        <v>1123</v>
      </c>
      <c r="C175" s="31" t="s">
        <v>1121</v>
      </c>
      <c r="D175" s="54" t="n">
        <v>2659.03</v>
      </c>
    </row>
    <row r="176" customFormat="false" ht="15" hidden="false" customHeight="false" outlineLevel="0" collapsed="false">
      <c r="A176" s="41" t="n">
        <v>46082</v>
      </c>
      <c r="B176" s="31" t="s">
        <v>1124</v>
      </c>
      <c r="C176" s="31" t="s">
        <v>1117</v>
      </c>
      <c r="D176" s="54" t="n">
        <v>981.75</v>
      </c>
    </row>
    <row r="177" customFormat="false" ht="15" hidden="false" customHeight="false" outlineLevel="0" collapsed="false">
      <c r="A177" s="41" t="n">
        <v>46082</v>
      </c>
      <c r="B177" s="31" t="s">
        <v>1125</v>
      </c>
      <c r="C177" s="31" t="s">
        <v>1117</v>
      </c>
      <c r="D177" s="54" t="n">
        <v>1264.24</v>
      </c>
    </row>
    <row r="178" customFormat="false" ht="15" hidden="false" customHeight="false" outlineLevel="0" collapsed="false">
      <c r="A178" s="41" t="n">
        <v>46082</v>
      </c>
      <c r="B178" s="31" t="s">
        <v>1126</v>
      </c>
      <c r="C178" s="31" t="s">
        <v>1117</v>
      </c>
      <c r="D178" s="54" t="n">
        <v>1532.79</v>
      </c>
    </row>
    <row r="179" customFormat="false" ht="15" hidden="false" customHeight="false" outlineLevel="0" collapsed="false">
      <c r="A179" s="41" t="n">
        <v>46082</v>
      </c>
      <c r="B179" s="31" t="s">
        <v>1127</v>
      </c>
      <c r="C179" s="31" t="s">
        <v>1121</v>
      </c>
      <c r="D179" s="54" t="n">
        <v>2537.11</v>
      </c>
    </row>
    <row r="180" customFormat="false" ht="15" hidden="false" customHeight="false" outlineLevel="0" collapsed="false">
      <c r="A180" s="41" t="n">
        <v>46082</v>
      </c>
      <c r="B180" s="31" t="s">
        <v>1128</v>
      </c>
      <c r="C180" s="31" t="s">
        <v>1121</v>
      </c>
      <c r="D180" s="54" t="n">
        <v>2144.83</v>
      </c>
    </row>
    <row r="181" customFormat="false" ht="15" hidden="false" customHeight="false" outlineLevel="0" collapsed="false">
      <c r="A181" s="41" t="n">
        <v>46082</v>
      </c>
      <c r="B181" s="31" t="s">
        <v>1129</v>
      </c>
      <c r="C181" s="31" t="s">
        <v>1121</v>
      </c>
      <c r="D181" s="54" t="n">
        <v>1738.87</v>
      </c>
    </row>
    <row r="182" customFormat="false" ht="15" hidden="false" customHeight="false" outlineLevel="0" collapsed="false">
      <c r="A182" s="41" t="n">
        <v>46113</v>
      </c>
      <c r="B182" s="31" t="s">
        <v>1116</v>
      </c>
      <c r="C182" s="31" t="s">
        <v>1117</v>
      </c>
      <c r="D182" s="54" t="n">
        <v>37613.55</v>
      </c>
    </row>
    <row r="183" customFormat="false" ht="15" hidden="false" customHeight="false" outlineLevel="0" collapsed="false">
      <c r="A183" s="41" t="n">
        <v>46113</v>
      </c>
      <c r="B183" s="31" t="s">
        <v>1118</v>
      </c>
      <c r="C183" s="31" t="s">
        <v>1117</v>
      </c>
      <c r="D183" s="54" t="n">
        <v>20713.28</v>
      </c>
    </row>
    <row r="184" customFormat="false" ht="15" hidden="false" customHeight="false" outlineLevel="0" collapsed="false">
      <c r="A184" s="41" t="n">
        <v>46113</v>
      </c>
      <c r="B184" s="31" t="s">
        <v>1119</v>
      </c>
      <c r="C184" s="31" t="s">
        <v>1117</v>
      </c>
      <c r="D184" s="54" t="n">
        <v>6728.29</v>
      </c>
    </row>
    <row r="185" customFormat="false" ht="15" hidden="false" customHeight="false" outlineLevel="0" collapsed="false">
      <c r="A185" s="41" t="n">
        <v>46113</v>
      </c>
      <c r="B185" s="31" t="s">
        <v>1120</v>
      </c>
      <c r="C185" s="31" t="s">
        <v>1121</v>
      </c>
      <c r="D185" s="54" t="n">
        <v>8990.86</v>
      </c>
    </row>
    <row r="186" customFormat="false" ht="15" hidden="false" customHeight="false" outlineLevel="0" collapsed="false">
      <c r="A186" s="41" t="n">
        <v>46113</v>
      </c>
      <c r="B186" s="31" t="s">
        <v>1122</v>
      </c>
      <c r="C186" s="31" t="s">
        <v>1121</v>
      </c>
      <c r="D186" s="54" t="n">
        <v>3262.92</v>
      </c>
    </row>
    <row r="187" customFormat="false" ht="15" hidden="false" customHeight="false" outlineLevel="0" collapsed="false">
      <c r="A187" s="41" t="n">
        <v>46113</v>
      </c>
      <c r="B187" s="31" t="s">
        <v>1123</v>
      </c>
      <c r="C187" s="31" t="s">
        <v>1121</v>
      </c>
      <c r="D187" s="54" t="n">
        <v>2689.7</v>
      </c>
    </row>
    <row r="188" customFormat="false" ht="15" hidden="false" customHeight="false" outlineLevel="0" collapsed="false">
      <c r="A188" s="41" t="n">
        <v>46113</v>
      </c>
      <c r="B188" s="31" t="s">
        <v>1124</v>
      </c>
      <c r="C188" s="31" t="s">
        <v>1117</v>
      </c>
      <c r="D188" s="54" t="n">
        <v>1389.29</v>
      </c>
    </row>
    <row r="189" customFormat="false" ht="15" hidden="false" customHeight="false" outlineLevel="0" collapsed="false">
      <c r="A189" s="41" t="n">
        <v>46113</v>
      </c>
      <c r="B189" s="31" t="s">
        <v>1125</v>
      </c>
      <c r="C189" s="31" t="s">
        <v>1117</v>
      </c>
      <c r="D189" s="54" t="n">
        <v>1205.51</v>
      </c>
    </row>
    <row r="190" customFormat="false" ht="15" hidden="false" customHeight="false" outlineLevel="0" collapsed="false">
      <c r="A190" s="41" t="n">
        <v>46113</v>
      </c>
      <c r="B190" s="31" t="s">
        <v>1126</v>
      </c>
      <c r="C190" s="31" t="s">
        <v>1117</v>
      </c>
      <c r="D190" s="54" t="n">
        <v>1453.93</v>
      </c>
    </row>
    <row r="191" customFormat="false" ht="15" hidden="false" customHeight="false" outlineLevel="0" collapsed="false">
      <c r="A191" s="41" t="n">
        <v>46113</v>
      </c>
      <c r="B191" s="31" t="s">
        <v>1127</v>
      </c>
      <c r="C191" s="31" t="s">
        <v>1121</v>
      </c>
      <c r="D191" s="54" t="n">
        <v>2002.76</v>
      </c>
    </row>
    <row r="192" customFormat="false" ht="15" hidden="false" customHeight="false" outlineLevel="0" collapsed="false">
      <c r="A192" s="41" t="n">
        <v>46113</v>
      </c>
      <c r="B192" s="31" t="s">
        <v>1128</v>
      </c>
      <c r="C192" s="31" t="s">
        <v>1121</v>
      </c>
      <c r="D192" s="54" t="n">
        <v>1514.83</v>
      </c>
    </row>
    <row r="193" customFormat="false" ht="15" hidden="false" customHeight="false" outlineLevel="0" collapsed="false">
      <c r="A193" s="41" t="n">
        <v>46113</v>
      </c>
      <c r="B193" s="31" t="s">
        <v>1129</v>
      </c>
      <c r="C193" s="31" t="s">
        <v>1121</v>
      </c>
      <c r="D193" s="54" t="n">
        <v>1434.78</v>
      </c>
    </row>
    <row r="194" customFormat="false" ht="15" hidden="false" customHeight="false" outlineLevel="0" collapsed="false">
      <c r="A194" s="41" t="n">
        <v>46143</v>
      </c>
      <c r="B194" s="31" t="s">
        <v>1116</v>
      </c>
      <c r="C194" s="31" t="s">
        <v>1117</v>
      </c>
      <c r="D194" s="54" t="n">
        <v>40834.62</v>
      </c>
    </row>
    <row r="195" customFormat="false" ht="15" hidden="false" customHeight="false" outlineLevel="0" collapsed="false">
      <c r="A195" s="41" t="n">
        <v>46143</v>
      </c>
      <c r="B195" s="31" t="s">
        <v>1118</v>
      </c>
      <c r="C195" s="31" t="s">
        <v>1117</v>
      </c>
      <c r="D195" s="54" t="n">
        <v>19273.95</v>
      </c>
    </row>
    <row r="196" customFormat="false" ht="15" hidden="false" customHeight="false" outlineLevel="0" collapsed="false">
      <c r="A196" s="41" t="n">
        <v>46143</v>
      </c>
      <c r="B196" s="31" t="s">
        <v>1119</v>
      </c>
      <c r="C196" s="31" t="s">
        <v>1117</v>
      </c>
      <c r="D196" s="54" t="n">
        <v>6743.79</v>
      </c>
    </row>
    <row r="197" customFormat="false" ht="15" hidden="false" customHeight="false" outlineLevel="0" collapsed="false">
      <c r="A197" s="41" t="n">
        <v>46143</v>
      </c>
      <c r="B197" s="31" t="s">
        <v>1120</v>
      </c>
      <c r="C197" s="31" t="s">
        <v>1121</v>
      </c>
      <c r="D197" s="54" t="n">
        <v>11316.01</v>
      </c>
    </row>
    <row r="198" customFormat="false" ht="15" hidden="false" customHeight="false" outlineLevel="0" collapsed="false">
      <c r="A198" s="41" t="n">
        <v>46143</v>
      </c>
      <c r="B198" s="31" t="s">
        <v>1122</v>
      </c>
      <c r="C198" s="31" t="s">
        <v>1121</v>
      </c>
      <c r="D198" s="54" t="n">
        <v>5035.62</v>
      </c>
    </row>
    <row r="199" customFormat="false" ht="15" hidden="false" customHeight="false" outlineLevel="0" collapsed="false">
      <c r="A199" s="41" t="n">
        <v>46143</v>
      </c>
      <c r="B199" s="31" t="s">
        <v>1123</v>
      </c>
      <c r="C199" s="31" t="s">
        <v>1121</v>
      </c>
      <c r="D199" s="54" t="n">
        <v>3369.53</v>
      </c>
    </row>
    <row r="200" customFormat="false" ht="15" hidden="false" customHeight="false" outlineLevel="0" collapsed="false">
      <c r="A200" s="41" t="n">
        <v>46143</v>
      </c>
      <c r="B200" s="31" t="s">
        <v>1124</v>
      </c>
      <c r="C200" s="31" t="s">
        <v>1117</v>
      </c>
      <c r="D200" s="54" t="n">
        <v>1065.87</v>
      </c>
    </row>
    <row r="201" customFormat="false" ht="15" hidden="false" customHeight="false" outlineLevel="0" collapsed="false">
      <c r="A201" s="41" t="n">
        <v>46143</v>
      </c>
      <c r="B201" s="31" t="s">
        <v>1125</v>
      </c>
      <c r="C201" s="31" t="s">
        <v>1117</v>
      </c>
      <c r="D201" s="54" t="n">
        <v>1204.32</v>
      </c>
    </row>
    <row r="202" customFormat="false" ht="15" hidden="false" customHeight="false" outlineLevel="0" collapsed="false">
      <c r="A202" s="41" t="n">
        <v>46143</v>
      </c>
      <c r="B202" s="31" t="s">
        <v>1126</v>
      </c>
      <c r="C202" s="31" t="s">
        <v>1117</v>
      </c>
      <c r="D202" s="54" t="n">
        <v>1453.3</v>
      </c>
    </row>
    <row r="203" customFormat="false" ht="15" hidden="false" customHeight="false" outlineLevel="0" collapsed="false">
      <c r="A203" s="41" t="n">
        <v>46143</v>
      </c>
      <c r="B203" s="31" t="s">
        <v>1127</v>
      </c>
      <c r="C203" s="31" t="s">
        <v>1121</v>
      </c>
      <c r="D203" s="54" t="n">
        <v>1789.56</v>
      </c>
    </row>
    <row r="204" customFormat="false" ht="15" hidden="false" customHeight="false" outlineLevel="0" collapsed="false">
      <c r="A204" s="41" t="n">
        <v>46143</v>
      </c>
      <c r="B204" s="31" t="s">
        <v>1128</v>
      </c>
      <c r="C204" s="31" t="s">
        <v>1121</v>
      </c>
      <c r="D204" s="54" t="n">
        <v>1612.8</v>
      </c>
    </row>
    <row r="205" customFormat="false" ht="15" hidden="false" customHeight="false" outlineLevel="0" collapsed="false">
      <c r="A205" s="41" t="n">
        <v>46143</v>
      </c>
      <c r="B205" s="31" t="s">
        <v>1129</v>
      </c>
      <c r="C205" s="31" t="s">
        <v>1121</v>
      </c>
      <c r="D205" s="54" t="n">
        <v>924.04</v>
      </c>
    </row>
    <row r="206" customFormat="false" ht="15" hidden="false" customHeight="false" outlineLevel="0" collapsed="false">
      <c r="A206" s="41" t="n">
        <v>46174</v>
      </c>
      <c r="B206" s="31" t="s">
        <v>1116</v>
      </c>
      <c r="C206" s="31" t="s">
        <v>1117</v>
      </c>
      <c r="D206" s="54" t="n">
        <v>39939.37</v>
      </c>
    </row>
    <row r="207" customFormat="false" ht="15" hidden="false" customHeight="false" outlineLevel="0" collapsed="false">
      <c r="A207" s="41" t="n">
        <v>46174</v>
      </c>
      <c r="B207" s="31" t="s">
        <v>1118</v>
      </c>
      <c r="C207" s="31" t="s">
        <v>1117</v>
      </c>
      <c r="D207" s="54" t="n">
        <v>21291.32</v>
      </c>
    </row>
    <row r="208" customFormat="false" ht="15" hidden="false" customHeight="false" outlineLevel="0" collapsed="false">
      <c r="A208" s="41" t="n">
        <v>46174</v>
      </c>
      <c r="B208" s="31" t="s">
        <v>1119</v>
      </c>
      <c r="C208" s="31" t="s">
        <v>1117</v>
      </c>
      <c r="D208" s="54" t="n">
        <v>6759.33</v>
      </c>
    </row>
    <row r="209" customFormat="false" ht="15" hidden="false" customHeight="false" outlineLevel="0" collapsed="false">
      <c r="A209" s="41" t="n">
        <v>46174</v>
      </c>
      <c r="B209" s="31" t="s">
        <v>1120</v>
      </c>
      <c r="C209" s="31" t="s">
        <v>1121</v>
      </c>
      <c r="D209" s="54" t="n">
        <v>10852.84</v>
      </c>
    </row>
    <row r="210" customFormat="false" ht="15" hidden="false" customHeight="false" outlineLevel="0" collapsed="false">
      <c r="A210" s="41" t="n">
        <v>46174</v>
      </c>
      <c r="B210" s="31" t="s">
        <v>1122</v>
      </c>
      <c r="C210" s="31" t="s">
        <v>1121</v>
      </c>
      <c r="D210" s="54" t="n">
        <v>3650.42</v>
      </c>
    </row>
    <row r="211" customFormat="false" ht="15" hidden="false" customHeight="false" outlineLevel="0" collapsed="false">
      <c r="A211" s="41" t="n">
        <v>46174</v>
      </c>
      <c r="B211" s="31" t="s">
        <v>1123</v>
      </c>
      <c r="C211" s="31" t="s">
        <v>1121</v>
      </c>
      <c r="D211" s="54" t="n">
        <v>2112.43</v>
      </c>
    </row>
    <row r="212" customFormat="false" ht="15" hidden="false" customHeight="false" outlineLevel="0" collapsed="false">
      <c r="A212" s="41" t="n">
        <v>46174</v>
      </c>
      <c r="B212" s="31" t="s">
        <v>1124</v>
      </c>
      <c r="C212" s="31" t="s">
        <v>1117</v>
      </c>
      <c r="D212" s="54" t="n">
        <v>1062.25</v>
      </c>
    </row>
    <row r="213" customFormat="false" ht="15" hidden="false" customHeight="false" outlineLevel="0" collapsed="false">
      <c r="A213" s="41" t="n">
        <v>46174</v>
      </c>
      <c r="B213" s="31" t="s">
        <v>1125</v>
      </c>
      <c r="C213" s="31" t="s">
        <v>1117</v>
      </c>
      <c r="D213" s="54" t="n">
        <v>1414.65</v>
      </c>
    </row>
    <row r="214" customFormat="false" ht="15" hidden="false" customHeight="false" outlineLevel="0" collapsed="false">
      <c r="A214" s="41" t="n">
        <v>46174</v>
      </c>
      <c r="B214" s="31" t="s">
        <v>1126</v>
      </c>
      <c r="C214" s="31" t="s">
        <v>1117</v>
      </c>
      <c r="D214" s="54" t="n">
        <v>1523.66</v>
      </c>
    </row>
    <row r="215" customFormat="false" ht="15" hidden="false" customHeight="false" outlineLevel="0" collapsed="false">
      <c r="A215" s="41" t="n">
        <v>46174</v>
      </c>
      <c r="B215" s="31" t="s">
        <v>1127</v>
      </c>
      <c r="C215" s="31" t="s">
        <v>1121</v>
      </c>
      <c r="D215" s="54" t="n">
        <v>1873.99</v>
      </c>
    </row>
    <row r="216" customFormat="false" ht="15" hidden="false" customHeight="false" outlineLevel="0" collapsed="false">
      <c r="A216" s="41" t="n">
        <v>46174</v>
      </c>
      <c r="B216" s="31" t="s">
        <v>1128</v>
      </c>
      <c r="C216" s="31" t="s">
        <v>1121</v>
      </c>
      <c r="D216" s="54" t="n">
        <v>1933.74</v>
      </c>
    </row>
    <row r="217" customFormat="false" ht="15" hidden="false" customHeight="false" outlineLevel="0" collapsed="false">
      <c r="A217" s="41" t="n">
        <v>46174</v>
      </c>
      <c r="B217" s="31" t="s">
        <v>1129</v>
      </c>
      <c r="C217" s="31" t="s">
        <v>1121</v>
      </c>
      <c r="D217" s="54" t="n">
        <v>1588.36</v>
      </c>
    </row>
    <row r="218" customFormat="false" ht="15" hidden="false" customHeight="false" outlineLevel="0" collapsed="false">
      <c r="A218" s="22" t="s">
        <v>38</v>
      </c>
      <c r="B218" s="47"/>
      <c r="C218" s="47"/>
      <c r="D218" s="23" t="n">
        <f aca="false">SUM(D2:D217)</f>
        <v>1660812.61</v>
      </c>
    </row>
  </sheetData>
  <autoFilter ref="A1:D2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28" t="s">
        <v>1130</v>
      </c>
    </row>
    <row r="2" customFormat="false" ht="15" hidden="false" customHeight="false" outlineLevel="0" collapsed="false">
      <c r="A2" s="34" t="s">
        <v>1131</v>
      </c>
    </row>
    <row r="4" customFormat="false" ht="30" hidden="false" customHeight="true" outlineLevel="0" collapsed="false">
      <c r="A4" s="45" t="s">
        <v>31</v>
      </c>
      <c r="B4" s="45" t="s">
        <v>32</v>
      </c>
      <c r="C4" s="45" t="s">
        <v>238</v>
      </c>
      <c r="D4" s="45" t="s">
        <v>239</v>
      </c>
      <c r="E4" s="45" t="s">
        <v>1132</v>
      </c>
      <c r="F4" s="45" t="s">
        <v>241</v>
      </c>
      <c r="G4" s="45" t="s">
        <v>35</v>
      </c>
      <c r="H4" s="45" t="s">
        <v>1133</v>
      </c>
      <c r="I4" s="45" t="s">
        <v>1134</v>
      </c>
      <c r="J4" s="45" t="s">
        <v>1135</v>
      </c>
      <c r="K4" s="45" t="s">
        <v>23</v>
      </c>
      <c r="L4" s="45" t="s">
        <v>24</v>
      </c>
      <c r="M4" s="45" t="s">
        <v>1136</v>
      </c>
      <c r="N4" s="45" t="s">
        <v>1137</v>
      </c>
      <c r="O4" s="45" t="s">
        <v>36</v>
      </c>
      <c r="P4" s="45" t="s">
        <v>37</v>
      </c>
    </row>
    <row r="5" customFormat="false" ht="15" hidden="false" customHeight="false" outlineLevel="0" collapsed="false">
      <c r="A5" s="17" t="n">
        <f aca="false">Parametros!$A$26</f>
        <v>45658</v>
      </c>
      <c r="B5" s="18" t="n">
        <f aca="false">SUMIFS(Ventas!$P$2:$P$1620,Ventas!$C$2:$C$1620,$A5)</f>
        <v>211137.8935</v>
      </c>
      <c r="C5" s="18" t="n">
        <f aca="false">SUMIFS(Ventas!$R$2:$R$1620,Ventas!$C$2:$C$1620,$A5)</f>
        <v>129832.9684</v>
      </c>
      <c r="D5" s="18" t="n">
        <f aca="false">SUMIFS(Ventas!$S$2:$S$1620,Ventas!$C$2:$C$1620,$A5)</f>
        <v>7632.1</v>
      </c>
      <c r="E5" s="18" t="n">
        <f aca="false">SUMIFS(Ventas!$T$2:$T$1620,Ventas!$C$2:$C$1620,$A5)</f>
        <v>7424.07599</v>
      </c>
      <c r="F5" s="21" t="n">
        <f aca="false">B5-C5-D5-E5</f>
        <v>66248.74911</v>
      </c>
      <c r="G5" s="19" t="n">
        <f aca="false">IFERROR(F5/B5,0)</f>
        <v>0.313770058097127</v>
      </c>
      <c r="H5" s="18" t="n">
        <f aca="false">SUMIFS(Gastos!$D$2:$D$217,Gastos!$A$2:$A$217,$A5,Gastos!$C$2:$C$217,"Fijo")</f>
        <v>69220.76</v>
      </c>
      <c r="I5" s="18" t="n">
        <f aca="false">SUMIFS(Gastos!$D$2:$D$217,Gastos!$A$2:$A$217,$A5,Gastos!$C$2:$C$217,"Variable")</f>
        <v>22725.7</v>
      </c>
      <c r="J5" s="21" t="n">
        <f aca="false">H5+I5</f>
        <v>91946.46</v>
      </c>
      <c r="K5" s="21" t="n">
        <f aca="false">F5-J5</f>
        <v>-25697.71089</v>
      </c>
      <c r="L5" s="19" t="n">
        <f aca="false">IFERROR(K5/B5,0)</f>
        <v>-0.121710558270773</v>
      </c>
      <c r="M5" s="18" t="n">
        <f aca="false">INDEX(Parametros!$C$26:$C$43,MATCH($A5,Parametros!$A$26:$A$43,0))</f>
        <v>300000</v>
      </c>
      <c r="N5" s="19" t="n">
        <f aca="false">IFERROR(B5/M5,0)</f>
        <v>0.703792978333333</v>
      </c>
      <c r="O5" s="20" t="n">
        <f aca="false">SUMIFS(Ventas!$Y$2:$Y$1620,Ventas!$C$2:$C$1620,$A5)</f>
        <v>40</v>
      </c>
      <c r="P5" s="21" t="n">
        <f aca="false">IFERROR(B5/O5,0)</f>
        <v>5278.4473375</v>
      </c>
    </row>
    <row r="6" customFormat="false" ht="15" hidden="false" customHeight="false" outlineLevel="0" collapsed="false">
      <c r="A6" s="17" t="n">
        <f aca="false">Parametros!$A$27</f>
        <v>45689</v>
      </c>
      <c r="B6" s="18" t="n">
        <f aca="false">SUMIFS(Ventas!$P$2:$P$1620,Ventas!$C$2:$C$1620,$A6)</f>
        <v>359815.021</v>
      </c>
      <c r="C6" s="18" t="n">
        <f aca="false">SUMIFS(Ventas!$R$2:$R$1620,Ventas!$C$2:$C$1620,$A6)</f>
        <v>229647.8271</v>
      </c>
      <c r="D6" s="18" t="n">
        <f aca="false">SUMIFS(Ventas!$S$2:$S$1620,Ventas!$C$2:$C$1620,$A6)</f>
        <v>11041.2</v>
      </c>
      <c r="E6" s="18" t="n">
        <f aca="false">SUMIFS(Ventas!$T$2:$T$1620,Ventas!$C$2:$C$1620,$A6)</f>
        <v>11825.450165</v>
      </c>
      <c r="F6" s="21" t="n">
        <f aca="false">B6-C6-D6-E6</f>
        <v>107300.543735</v>
      </c>
      <c r="G6" s="19" t="n">
        <f aca="false">IFERROR(F6/B6,0)</f>
        <v>0.298210295492361</v>
      </c>
      <c r="H6" s="18" t="n">
        <f aca="false">SUMIFS(Gastos!$D$2:$D$217,Gastos!$A$2:$A$217,$A6,Gastos!$C$2:$C$217,"Fijo")</f>
        <v>68445.54</v>
      </c>
      <c r="I6" s="18" t="n">
        <f aca="false">SUMIFS(Gastos!$D$2:$D$217,Gastos!$A$2:$A$217,$A6,Gastos!$C$2:$C$217,"Variable")</f>
        <v>27753.95</v>
      </c>
      <c r="J6" s="21" t="n">
        <f aca="false">H6+I6</f>
        <v>96199.49</v>
      </c>
      <c r="K6" s="21" t="n">
        <f aca="false">F6-J6</f>
        <v>11101.053735</v>
      </c>
      <c r="L6" s="19" t="n">
        <f aca="false">IFERROR(K6/B6,0)</f>
        <v>0.0308521131334314</v>
      </c>
      <c r="M6" s="18" t="n">
        <f aca="false">INDEX(Parametros!$C$26:$C$43,MATCH($A6,Parametros!$A$26:$A$43,0))</f>
        <v>340000</v>
      </c>
      <c r="N6" s="19" t="n">
        <f aca="false">IFERROR(B6/M6,0)</f>
        <v>1.05827947352941</v>
      </c>
      <c r="O6" s="20" t="n">
        <f aca="false">SUMIFS(Ventas!$Y$2:$Y$1620,Ventas!$C$2:$C$1620,$A6)</f>
        <v>47</v>
      </c>
      <c r="P6" s="21" t="n">
        <f aca="false">IFERROR(B6/O6,0)</f>
        <v>7655.63874468085</v>
      </c>
    </row>
    <row r="7" customFormat="false" ht="15" hidden="false" customHeight="false" outlineLevel="0" collapsed="false">
      <c r="A7" s="17" t="n">
        <f aca="false">Parametros!$A$28</f>
        <v>45717</v>
      </c>
      <c r="B7" s="18" t="n">
        <f aca="false">SUMIFS(Ventas!$P$2:$P$1620,Ventas!$C$2:$C$1620,$A7)</f>
        <v>402755.4965</v>
      </c>
      <c r="C7" s="18" t="n">
        <f aca="false">SUMIFS(Ventas!$R$2:$R$1620,Ventas!$C$2:$C$1620,$A7)</f>
        <v>253474.76</v>
      </c>
      <c r="D7" s="18" t="n">
        <f aca="false">SUMIFS(Ventas!$S$2:$S$1620,Ventas!$C$2:$C$1620,$A7)</f>
        <v>13067</v>
      </c>
      <c r="E7" s="18" t="n">
        <f aca="false">SUMIFS(Ventas!$T$2:$T$1620,Ventas!$C$2:$C$1620,$A7)</f>
        <v>13693.668605</v>
      </c>
      <c r="F7" s="21" t="n">
        <f aca="false">B7-C7-D7-E7</f>
        <v>122520.067895</v>
      </c>
      <c r="G7" s="19" t="n">
        <f aca="false">IFERROR(F7/B7,0)</f>
        <v>0.304204583077614</v>
      </c>
      <c r="H7" s="18" t="n">
        <f aca="false">SUMIFS(Gastos!$D$2:$D$217,Gastos!$A$2:$A$217,$A7,Gastos!$C$2:$C$217,"Fijo")</f>
        <v>68763.5</v>
      </c>
      <c r="I7" s="18" t="n">
        <f aca="false">SUMIFS(Gastos!$D$2:$D$217,Gastos!$A$2:$A$217,$A7,Gastos!$C$2:$C$217,"Variable")</f>
        <v>21239.97</v>
      </c>
      <c r="J7" s="21" t="n">
        <f aca="false">H7+I7</f>
        <v>90003.47</v>
      </c>
      <c r="K7" s="21" t="n">
        <f aca="false">F7-J7</f>
        <v>32516.597895</v>
      </c>
      <c r="L7" s="19" t="n">
        <f aca="false">IFERROR(K7/B7,0)</f>
        <v>0.0807353299398113</v>
      </c>
      <c r="M7" s="18" t="n">
        <f aca="false">INDEX(Parametros!$C$26:$C$43,MATCH($A7,Parametros!$A$26:$A$43,0))</f>
        <v>380000</v>
      </c>
      <c r="N7" s="19" t="n">
        <f aca="false">IFERROR(B7/M7,0)</f>
        <v>1.05988288552632</v>
      </c>
      <c r="O7" s="20" t="n">
        <f aca="false">SUMIFS(Ventas!$Y$2:$Y$1620,Ventas!$C$2:$C$1620,$A7)</f>
        <v>52</v>
      </c>
      <c r="P7" s="21" t="n">
        <f aca="false">IFERROR(B7/O7,0)</f>
        <v>7745.29800961539</v>
      </c>
    </row>
    <row r="8" customFormat="false" ht="15" hidden="false" customHeight="false" outlineLevel="0" collapsed="false">
      <c r="A8" s="17" t="n">
        <f aca="false">Parametros!$A$29</f>
        <v>45748</v>
      </c>
      <c r="B8" s="18" t="n">
        <f aca="false">SUMIFS(Ventas!$P$2:$P$1620,Ventas!$C$2:$C$1620,$A8)</f>
        <v>386160.3115</v>
      </c>
      <c r="C8" s="18" t="n">
        <f aca="false">SUMIFS(Ventas!$R$2:$R$1620,Ventas!$C$2:$C$1620,$A8)</f>
        <v>242561.0694</v>
      </c>
      <c r="D8" s="18" t="n">
        <f aca="false">SUMIFS(Ventas!$S$2:$S$1620,Ventas!$C$2:$C$1620,$A8)</f>
        <v>14308.5</v>
      </c>
      <c r="E8" s="18" t="n">
        <f aca="false">SUMIFS(Ventas!$T$2:$T$1620,Ventas!$C$2:$C$1620,$A8)</f>
        <v>12744.319925</v>
      </c>
      <c r="F8" s="21" t="n">
        <f aca="false">B8-C8-D8-E8</f>
        <v>116546.422175</v>
      </c>
      <c r="G8" s="19" t="n">
        <f aca="false">IFERROR(F8/B8,0)</f>
        <v>0.30180839072324</v>
      </c>
      <c r="H8" s="18" t="n">
        <f aca="false">SUMIFS(Gastos!$D$2:$D$217,Gastos!$A$2:$A$217,$A8,Gastos!$C$2:$C$217,"Fijo")</f>
        <v>67546.83</v>
      </c>
      <c r="I8" s="18" t="n">
        <f aca="false">SUMIFS(Gastos!$D$2:$D$217,Gastos!$A$2:$A$217,$A8,Gastos!$C$2:$C$217,"Variable")</f>
        <v>23423.83</v>
      </c>
      <c r="J8" s="21" t="n">
        <f aca="false">H8+I8</f>
        <v>90970.66</v>
      </c>
      <c r="K8" s="21" t="n">
        <f aca="false">F8-J8</f>
        <v>25575.762175</v>
      </c>
      <c r="L8" s="19" t="n">
        <f aca="false">IFERROR(K8/B8,0)</f>
        <v>0.0662309445412802</v>
      </c>
      <c r="M8" s="18" t="n">
        <f aca="false">INDEX(Parametros!$C$26:$C$43,MATCH($A8,Parametros!$A$26:$A$43,0))</f>
        <v>380000</v>
      </c>
      <c r="N8" s="19" t="n">
        <f aca="false">IFERROR(B8/M8,0)</f>
        <v>1.01621134605263</v>
      </c>
      <c r="O8" s="20" t="n">
        <f aca="false">SUMIFS(Ventas!$Y$2:$Y$1620,Ventas!$C$2:$C$1620,$A8)</f>
        <v>49</v>
      </c>
      <c r="P8" s="21" t="n">
        <f aca="false">IFERROR(B8/O8,0)</f>
        <v>7880.82268367347</v>
      </c>
    </row>
    <row r="9" customFormat="false" ht="15" hidden="false" customHeight="false" outlineLevel="0" collapsed="false">
      <c r="A9" s="17" t="n">
        <f aca="false">Parametros!$A$30</f>
        <v>45778</v>
      </c>
      <c r="B9" s="18" t="n">
        <f aca="false">SUMIFS(Ventas!$P$2:$P$1620,Ventas!$C$2:$C$1620,$A9)</f>
        <v>366914.6895</v>
      </c>
      <c r="C9" s="18" t="n">
        <f aca="false">SUMIFS(Ventas!$R$2:$R$1620,Ventas!$C$2:$C$1620,$A9)</f>
        <v>227267.646</v>
      </c>
      <c r="D9" s="18" t="n">
        <f aca="false">SUMIFS(Ventas!$S$2:$S$1620,Ventas!$C$2:$C$1620,$A9)</f>
        <v>11300</v>
      </c>
      <c r="E9" s="18" t="n">
        <f aca="false">SUMIFS(Ventas!$T$2:$T$1620,Ventas!$C$2:$C$1620,$A9)</f>
        <v>12704.7332675</v>
      </c>
      <c r="F9" s="21" t="n">
        <f aca="false">B9-C9-D9-E9</f>
        <v>115642.3102325</v>
      </c>
      <c r="G9" s="19" t="n">
        <f aca="false">IFERROR(F9/B9,0)</f>
        <v>0.315174926329844</v>
      </c>
      <c r="H9" s="18" t="n">
        <f aca="false">SUMIFS(Gastos!$D$2:$D$217,Gastos!$A$2:$A$217,$A9,Gastos!$C$2:$C$217,"Fijo")</f>
        <v>68844.1</v>
      </c>
      <c r="I9" s="18" t="n">
        <f aca="false">SUMIFS(Gastos!$D$2:$D$217,Gastos!$A$2:$A$217,$A9,Gastos!$C$2:$C$217,"Variable")</f>
        <v>19254.17</v>
      </c>
      <c r="J9" s="21" t="n">
        <f aca="false">H9+I9</f>
        <v>88098.27</v>
      </c>
      <c r="K9" s="21" t="n">
        <f aca="false">F9-J9</f>
        <v>27544.0402325</v>
      </c>
      <c r="L9" s="19" t="n">
        <f aca="false">IFERROR(K9/B9,0)</f>
        <v>0.0750693308846115</v>
      </c>
      <c r="M9" s="18" t="n">
        <f aca="false">INDEX(Parametros!$C$26:$C$43,MATCH($A9,Parametros!$A$26:$A$43,0))</f>
        <v>375000</v>
      </c>
      <c r="N9" s="19" t="n">
        <f aca="false">IFERROR(B9/M9,0)</f>
        <v>0.978439172</v>
      </c>
      <c r="O9" s="20" t="n">
        <f aca="false">SUMIFS(Ventas!$Y$2:$Y$1620,Ventas!$C$2:$C$1620,$A9)</f>
        <v>55</v>
      </c>
      <c r="P9" s="21" t="n">
        <f aca="false">IFERROR(B9/O9,0)</f>
        <v>6671.17617272727</v>
      </c>
    </row>
    <row r="10" customFormat="false" ht="15" hidden="false" customHeight="false" outlineLevel="0" collapsed="false">
      <c r="A10" s="17" t="n">
        <f aca="false">Parametros!$A$31</f>
        <v>45809</v>
      </c>
      <c r="B10" s="18" t="n">
        <f aca="false">SUMIFS(Ventas!$P$2:$P$1620,Ventas!$C$2:$C$1620,$A10)</f>
        <v>401613.703</v>
      </c>
      <c r="C10" s="18" t="n">
        <f aca="false">SUMIFS(Ventas!$R$2:$R$1620,Ventas!$C$2:$C$1620,$A10)</f>
        <v>252763.5968</v>
      </c>
      <c r="D10" s="18" t="n">
        <f aca="false">SUMIFS(Ventas!$S$2:$S$1620,Ventas!$C$2:$C$1620,$A10)</f>
        <v>11005.4</v>
      </c>
      <c r="E10" s="18" t="n">
        <f aca="false">SUMIFS(Ventas!$T$2:$T$1620,Ventas!$C$2:$C$1620,$A10)</f>
        <v>13449.824255</v>
      </c>
      <c r="F10" s="21" t="n">
        <f aca="false">B10-C10-D10-E10</f>
        <v>124394.881945</v>
      </c>
      <c r="G10" s="19" t="n">
        <f aca="false">IFERROR(F10/B10,0)</f>
        <v>0.309737643451374</v>
      </c>
      <c r="H10" s="18" t="n">
        <f aca="false">SUMIFS(Gastos!$D$2:$D$217,Gastos!$A$2:$A$217,$A10,Gastos!$C$2:$C$217,"Fijo")</f>
        <v>66898.41</v>
      </c>
      <c r="I10" s="18" t="n">
        <f aca="false">SUMIFS(Gastos!$D$2:$D$217,Gastos!$A$2:$A$217,$A10,Gastos!$C$2:$C$217,"Variable")</f>
        <v>20739.01</v>
      </c>
      <c r="J10" s="21" t="n">
        <f aca="false">H10+I10</f>
        <v>87637.42</v>
      </c>
      <c r="K10" s="21" t="n">
        <f aca="false">F10-J10</f>
        <v>36757.461945</v>
      </c>
      <c r="L10" s="19" t="n">
        <f aca="false">IFERROR(K10/B10,0)</f>
        <v>0.091524421777511</v>
      </c>
      <c r="M10" s="18" t="n">
        <f aca="false">INDEX(Parametros!$C$26:$C$43,MATCH($A10,Parametros!$A$26:$A$43,0))</f>
        <v>385000</v>
      </c>
      <c r="N10" s="19" t="n">
        <f aca="false">IFERROR(B10/M10,0)</f>
        <v>1.04315247532468</v>
      </c>
      <c r="O10" s="20" t="n">
        <f aca="false">SUMIFS(Ventas!$Y$2:$Y$1620,Ventas!$C$2:$C$1620,$A10)</f>
        <v>48</v>
      </c>
      <c r="P10" s="21" t="n">
        <f aca="false">IFERROR(B10/O10,0)</f>
        <v>8366.95214583333</v>
      </c>
    </row>
    <row r="11" customFormat="false" ht="15" hidden="false" customHeight="false" outlineLevel="0" collapsed="false">
      <c r="A11" s="17" t="n">
        <f aca="false">Parametros!$A$32</f>
        <v>45839</v>
      </c>
      <c r="B11" s="18" t="n">
        <f aca="false">SUMIFS(Ventas!$P$2:$P$1620,Ventas!$C$2:$C$1620,$A11)</f>
        <v>369003.303</v>
      </c>
      <c r="C11" s="18" t="n">
        <f aca="false">SUMIFS(Ventas!$R$2:$R$1620,Ventas!$C$2:$C$1620,$A11)</f>
        <v>235061.288</v>
      </c>
      <c r="D11" s="18" t="n">
        <f aca="false">SUMIFS(Ventas!$S$2:$S$1620,Ventas!$C$2:$C$1620,$A11)</f>
        <v>9233.2</v>
      </c>
      <c r="E11" s="18" t="n">
        <f aca="false">SUMIFS(Ventas!$T$2:$T$1620,Ventas!$C$2:$C$1620,$A11)</f>
        <v>12875.322325</v>
      </c>
      <c r="F11" s="21" t="n">
        <f aca="false">B11-C11-D11-E11</f>
        <v>111833.492675</v>
      </c>
      <c r="G11" s="19" t="n">
        <f aca="false">IFERROR(F11/B11,0)</f>
        <v>0.303069083029319</v>
      </c>
      <c r="H11" s="18" t="n">
        <f aca="false">SUMIFS(Gastos!$D$2:$D$217,Gastos!$A$2:$A$217,$A11,Gastos!$C$2:$C$217,"Fijo")</f>
        <v>70297.9</v>
      </c>
      <c r="I11" s="18" t="n">
        <f aca="false">SUMIFS(Gastos!$D$2:$D$217,Gastos!$A$2:$A$217,$A11,Gastos!$C$2:$C$217,"Variable")</f>
        <v>22939.33</v>
      </c>
      <c r="J11" s="21" t="n">
        <f aca="false">H11+I11</f>
        <v>93237.23</v>
      </c>
      <c r="K11" s="21" t="n">
        <f aca="false">F11-J11</f>
        <v>18596.262675</v>
      </c>
      <c r="L11" s="19" t="n">
        <f aca="false">IFERROR(K11/B11,0)</f>
        <v>0.0503959247080236</v>
      </c>
      <c r="M11" s="18" t="n">
        <f aca="false">INDEX(Parametros!$C$26:$C$43,MATCH($A11,Parametros!$A$26:$A$43,0))</f>
        <v>360000</v>
      </c>
      <c r="N11" s="19" t="n">
        <f aca="false">IFERROR(B11/M11,0)</f>
        <v>1.025009175</v>
      </c>
      <c r="O11" s="20" t="n">
        <f aca="false">SUMIFS(Ventas!$Y$2:$Y$1620,Ventas!$C$2:$C$1620,$A11)</f>
        <v>46</v>
      </c>
      <c r="P11" s="21" t="n">
        <f aca="false">IFERROR(B11/O11,0)</f>
        <v>8021.81093478261</v>
      </c>
    </row>
    <row r="12" customFormat="false" ht="15" hidden="false" customHeight="false" outlineLevel="0" collapsed="false">
      <c r="A12" s="17" t="n">
        <f aca="false">Parametros!$A$33</f>
        <v>45870</v>
      </c>
      <c r="B12" s="18" t="n">
        <f aca="false">SUMIFS(Ventas!$P$2:$P$1620,Ventas!$C$2:$C$1620,$A12)</f>
        <v>244108.858</v>
      </c>
      <c r="C12" s="18" t="n">
        <f aca="false">SUMIFS(Ventas!$R$2:$R$1620,Ventas!$C$2:$C$1620,$A12)</f>
        <v>152511.8958</v>
      </c>
      <c r="D12" s="18" t="n">
        <f aca="false">SUMIFS(Ventas!$S$2:$S$1620,Ventas!$C$2:$C$1620,$A12)</f>
        <v>8246.05</v>
      </c>
      <c r="E12" s="18" t="n">
        <f aca="false">SUMIFS(Ventas!$T$2:$T$1620,Ventas!$C$2:$C$1620,$A12)</f>
        <v>8207.75711</v>
      </c>
      <c r="F12" s="21" t="n">
        <f aca="false">B12-C12-D12-E12</f>
        <v>75143.15509</v>
      </c>
      <c r="G12" s="19" t="n">
        <f aca="false">IFERROR(F12/B12,0)</f>
        <v>0.307826416893073</v>
      </c>
      <c r="H12" s="18" t="n">
        <f aca="false">SUMIFS(Gastos!$D$2:$D$217,Gastos!$A$2:$A$217,$A12,Gastos!$C$2:$C$217,"Fijo")</f>
        <v>66539.08</v>
      </c>
      <c r="I12" s="18" t="n">
        <f aca="false">SUMIFS(Gastos!$D$2:$D$217,Gastos!$A$2:$A$217,$A12,Gastos!$C$2:$C$217,"Variable")</f>
        <v>20098.06</v>
      </c>
      <c r="J12" s="21" t="n">
        <f aca="false">H12+I12</f>
        <v>86637.14</v>
      </c>
      <c r="K12" s="21" t="n">
        <f aca="false">F12-J12</f>
        <v>-11493.98491</v>
      </c>
      <c r="L12" s="19" t="n">
        <f aca="false">IFERROR(K12/B12,0)</f>
        <v>-0.0470854888436698</v>
      </c>
      <c r="M12" s="18" t="n">
        <f aca="false">INDEX(Parametros!$C$26:$C$43,MATCH($A12,Parametros!$A$26:$A$43,0))</f>
        <v>250000</v>
      </c>
      <c r="N12" s="19" t="n">
        <f aca="false">IFERROR(B12/M12,0)</f>
        <v>0.976435432</v>
      </c>
      <c r="O12" s="20" t="n">
        <f aca="false">SUMIFS(Ventas!$Y$2:$Y$1620,Ventas!$C$2:$C$1620,$A12)</f>
        <v>33</v>
      </c>
      <c r="P12" s="21" t="n">
        <f aca="false">IFERROR(B12/O12,0)</f>
        <v>7397.23812121212</v>
      </c>
    </row>
    <row r="13" customFormat="false" ht="15" hidden="false" customHeight="false" outlineLevel="0" collapsed="false">
      <c r="A13" s="17" t="n">
        <f aca="false">Parametros!$A$34</f>
        <v>45901</v>
      </c>
      <c r="B13" s="18" t="n">
        <f aca="false">SUMIFS(Ventas!$P$2:$P$1620,Ventas!$C$2:$C$1620,$A13)</f>
        <v>333535.385</v>
      </c>
      <c r="C13" s="18" t="n">
        <f aca="false">SUMIFS(Ventas!$R$2:$R$1620,Ventas!$C$2:$C$1620,$A13)</f>
        <v>209369.2392</v>
      </c>
      <c r="D13" s="18" t="n">
        <f aca="false">SUMIFS(Ventas!$S$2:$S$1620,Ventas!$C$2:$C$1620,$A13)</f>
        <v>12385.1</v>
      </c>
      <c r="E13" s="18" t="n">
        <f aca="false">SUMIFS(Ventas!$T$2:$T$1620,Ventas!$C$2:$C$1620,$A13)</f>
        <v>11339.88891</v>
      </c>
      <c r="F13" s="21" t="n">
        <f aca="false">B13-C13-D13-E13</f>
        <v>100441.15689</v>
      </c>
      <c r="G13" s="19" t="n">
        <f aca="false">IFERROR(F13/B13,0)</f>
        <v>0.301140932588007</v>
      </c>
      <c r="H13" s="18" t="n">
        <f aca="false">SUMIFS(Gastos!$D$2:$D$217,Gastos!$A$2:$A$217,$A13,Gastos!$C$2:$C$217,"Fijo")</f>
        <v>67543.52</v>
      </c>
      <c r="I13" s="18" t="n">
        <f aca="false">SUMIFS(Gastos!$D$2:$D$217,Gastos!$A$2:$A$217,$A13,Gastos!$C$2:$C$217,"Variable")</f>
        <v>26830.24</v>
      </c>
      <c r="J13" s="21" t="n">
        <f aca="false">H13+I13</f>
        <v>94373.76</v>
      </c>
      <c r="K13" s="21" t="n">
        <f aca="false">F13-J13</f>
        <v>6067.39688999999</v>
      </c>
      <c r="L13" s="19" t="n">
        <f aca="false">IFERROR(K13/B13,0)</f>
        <v>0.0181911640049825</v>
      </c>
      <c r="M13" s="18" t="n">
        <f aca="false">INDEX(Parametros!$C$26:$C$43,MATCH($A13,Parametros!$A$26:$A$43,0))</f>
        <v>340000</v>
      </c>
      <c r="N13" s="19" t="n">
        <f aca="false">IFERROR(B13/M13,0)</f>
        <v>0.980986426470588</v>
      </c>
      <c r="O13" s="20" t="n">
        <f aca="false">SUMIFS(Ventas!$Y$2:$Y$1620,Ventas!$C$2:$C$1620,$A13)</f>
        <v>47</v>
      </c>
      <c r="P13" s="21" t="n">
        <f aca="false">IFERROR(B13/O13,0)</f>
        <v>7096.49755319149</v>
      </c>
    </row>
    <row r="14" customFormat="false" ht="15" hidden="false" customHeight="false" outlineLevel="0" collapsed="false">
      <c r="A14" s="17" t="n">
        <f aca="false">Parametros!$A$35</f>
        <v>45931</v>
      </c>
      <c r="B14" s="18" t="n">
        <f aca="false">SUMIFS(Ventas!$P$2:$P$1620,Ventas!$C$2:$C$1620,$A14)</f>
        <v>361634.801</v>
      </c>
      <c r="C14" s="18" t="n">
        <f aca="false">SUMIFS(Ventas!$R$2:$R$1620,Ventas!$C$2:$C$1620,$A14)</f>
        <v>227231.5993</v>
      </c>
      <c r="D14" s="18" t="n">
        <f aca="false">SUMIFS(Ventas!$S$2:$S$1620,Ventas!$C$2:$C$1620,$A14)</f>
        <v>15231.6</v>
      </c>
      <c r="E14" s="18" t="n">
        <f aca="false">SUMIFS(Ventas!$T$2:$T$1620,Ventas!$C$2:$C$1620,$A14)</f>
        <v>12461.57352</v>
      </c>
      <c r="F14" s="21" t="n">
        <f aca="false">B14-C14-D14-E14</f>
        <v>106710.02818</v>
      </c>
      <c r="G14" s="19" t="n">
        <f aca="false">IFERROR(F14/B14,0)</f>
        <v>0.295076767736189</v>
      </c>
      <c r="H14" s="18" t="n">
        <f aca="false">SUMIFS(Gastos!$D$2:$D$217,Gastos!$A$2:$A$217,$A14,Gastos!$C$2:$C$217,"Fijo")</f>
        <v>72158.79</v>
      </c>
      <c r="I14" s="18" t="n">
        <f aca="false">SUMIFS(Gastos!$D$2:$D$217,Gastos!$A$2:$A$217,$A14,Gastos!$C$2:$C$217,"Variable")</f>
        <v>23387.59</v>
      </c>
      <c r="J14" s="21" t="n">
        <f aca="false">H14+I14</f>
        <v>95546.38</v>
      </c>
      <c r="K14" s="21" t="n">
        <f aca="false">F14-J14</f>
        <v>11163.64818</v>
      </c>
      <c r="L14" s="19" t="n">
        <f aca="false">IFERROR(K14/B14,0)</f>
        <v>0.0308699498752057</v>
      </c>
      <c r="M14" s="18" t="n">
        <f aca="false">INDEX(Parametros!$C$26:$C$43,MATCH($A14,Parametros!$A$26:$A$43,0))</f>
        <v>370000</v>
      </c>
      <c r="N14" s="19" t="n">
        <f aca="false">IFERROR(B14/M14,0)</f>
        <v>0.977391354054054</v>
      </c>
      <c r="O14" s="20" t="n">
        <f aca="false">SUMIFS(Ventas!$Y$2:$Y$1620,Ventas!$C$2:$C$1620,$A14)</f>
        <v>54</v>
      </c>
      <c r="P14" s="21" t="n">
        <f aca="false">IFERROR(B14/O14,0)</f>
        <v>6696.94075925926</v>
      </c>
    </row>
    <row r="15" customFormat="false" ht="15" hidden="false" customHeight="false" outlineLevel="0" collapsed="false">
      <c r="A15" s="17" t="n">
        <f aca="false">Parametros!$A$36</f>
        <v>45962</v>
      </c>
      <c r="B15" s="18" t="n">
        <f aca="false">SUMIFS(Ventas!$P$2:$P$1620,Ventas!$C$2:$C$1620,$A15)</f>
        <v>432903.5625</v>
      </c>
      <c r="C15" s="18" t="n">
        <f aca="false">SUMIFS(Ventas!$R$2:$R$1620,Ventas!$C$2:$C$1620,$A15)</f>
        <v>275510.874</v>
      </c>
      <c r="D15" s="18" t="n">
        <f aca="false">SUMIFS(Ventas!$S$2:$S$1620,Ventas!$C$2:$C$1620,$A15)</f>
        <v>14474.8</v>
      </c>
      <c r="E15" s="18" t="n">
        <f aca="false">SUMIFS(Ventas!$T$2:$T$1620,Ventas!$C$2:$C$1620,$A15)</f>
        <v>14447.653795</v>
      </c>
      <c r="F15" s="21" t="n">
        <f aca="false">B15-C15-D15-E15</f>
        <v>128470.234705</v>
      </c>
      <c r="G15" s="19" t="n">
        <f aca="false">IFERROR(F15/B15,0)</f>
        <v>0.296764096749608</v>
      </c>
      <c r="H15" s="18" t="n">
        <f aca="false">SUMIFS(Gastos!$D$2:$D$217,Gastos!$A$2:$A$217,$A15,Gastos!$C$2:$C$217,"Fijo")</f>
        <v>71991.07</v>
      </c>
      <c r="I15" s="18" t="n">
        <f aca="false">SUMIFS(Gastos!$D$2:$D$217,Gastos!$A$2:$A$217,$A15,Gastos!$C$2:$C$217,"Variable")</f>
        <v>22332.21</v>
      </c>
      <c r="J15" s="21" t="n">
        <f aca="false">H15+I15</f>
        <v>94323.28</v>
      </c>
      <c r="K15" s="21" t="n">
        <f aca="false">F15-J15</f>
        <v>34146.954705</v>
      </c>
      <c r="L15" s="19" t="n">
        <f aca="false">IFERROR(K15/B15,0)</f>
        <v>0.0788788951234376</v>
      </c>
      <c r="M15" s="18" t="n">
        <f aca="false">INDEX(Parametros!$C$26:$C$43,MATCH($A15,Parametros!$A$26:$A$43,0))</f>
        <v>390000</v>
      </c>
      <c r="N15" s="19" t="n">
        <f aca="false">IFERROR(B15/M15,0)</f>
        <v>1.11000913461538</v>
      </c>
      <c r="O15" s="20" t="n">
        <f aca="false">SUMIFS(Ventas!$Y$2:$Y$1620,Ventas!$C$2:$C$1620,$A15)</f>
        <v>49</v>
      </c>
      <c r="P15" s="21" t="n">
        <f aca="false">IFERROR(B15/O15,0)</f>
        <v>8834.76658163265</v>
      </c>
    </row>
    <row r="16" customFormat="false" ht="15" hidden="false" customHeight="false" outlineLevel="0" collapsed="false">
      <c r="A16" s="17" t="n">
        <f aca="false">Parametros!$A$37</f>
        <v>45992</v>
      </c>
      <c r="B16" s="18" t="n">
        <f aca="false">SUMIFS(Ventas!$P$2:$P$1620,Ventas!$C$2:$C$1620,$A16)</f>
        <v>369951.0175</v>
      </c>
      <c r="C16" s="18" t="n">
        <f aca="false">SUMIFS(Ventas!$R$2:$R$1620,Ventas!$C$2:$C$1620,$A16)</f>
        <v>231230.0935</v>
      </c>
      <c r="D16" s="18" t="n">
        <f aca="false">SUMIFS(Ventas!$S$2:$S$1620,Ventas!$C$2:$C$1620,$A16)</f>
        <v>13672.35</v>
      </c>
      <c r="E16" s="18" t="n">
        <f aca="false">SUMIFS(Ventas!$T$2:$T$1620,Ventas!$C$2:$C$1620,$A16)</f>
        <v>12283.855885</v>
      </c>
      <c r="F16" s="21" t="n">
        <f aca="false">B16-C16-D16-E16</f>
        <v>112764.718115</v>
      </c>
      <c r="G16" s="19" t="n">
        <f aca="false">IFERROR(F16/B16,0)</f>
        <v>0.30480986071352</v>
      </c>
      <c r="H16" s="18" t="n">
        <f aca="false">SUMIFS(Gastos!$D$2:$D$217,Gastos!$A$2:$A$217,$A16,Gastos!$C$2:$C$217,"Fijo")</f>
        <v>72037.61</v>
      </c>
      <c r="I16" s="18" t="n">
        <f aca="false">SUMIFS(Gastos!$D$2:$D$217,Gastos!$A$2:$A$217,$A16,Gastos!$C$2:$C$217,"Variable")</f>
        <v>25395.67</v>
      </c>
      <c r="J16" s="21" t="n">
        <f aca="false">H16+I16</f>
        <v>97433.28</v>
      </c>
      <c r="K16" s="21" t="n">
        <f aca="false">F16-J16</f>
        <v>15331.438115</v>
      </c>
      <c r="L16" s="19" t="n">
        <f aca="false">IFERROR(K16/B16,0)</f>
        <v>0.0414418055087523</v>
      </c>
      <c r="M16" s="18" t="n">
        <f aca="false">INDEX(Parametros!$C$26:$C$43,MATCH($A16,Parametros!$A$26:$A$43,0))</f>
        <v>360000</v>
      </c>
      <c r="N16" s="19" t="n">
        <f aca="false">IFERROR(B16/M16,0)</f>
        <v>1.02764171527778</v>
      </c>
      <c r="O16" s="20" t="n">
        <f aca="false">SUMIFS(Ventas!$Y$2:$Y$1620,Ventas!$C$2:$C$1620,$A16)</f>
        <v>43</v>
      </c>
      <c r="P16" s="21" t="n">
        <f aca="false">IFERROR(B16/O16,0)</f>
        <v>8603.51203488372</v>
      </c>
    </row>
    <row r="17" customFormat="false" ht="15" hidden="false" customHeight="false" outlineLevel="0" collapsed="false">
      <c r="A17" s="17" t="n">
        <f aca="false">Parametros!$A$38</f>
        <v>46023</v>
      </c>
      <c r="B17" s="18" t="n">
        <f aca="false">SUMIFS(Ventas!$P$2:$P$1620,Ventas!$C$2:$C$1620,$A17)</f>
        <v>337299.0095</v>
      </c>
      <c r="C17" s="18" t="n">
        <f aca="false">SUMIFS(Ventas!$R$2:$R$1620,Ventas!$C$2:$C$1620,$A17)</f>
        <v>213619.9752</v>
      </c>
      <c r="D17" s="18" t="n">
        <f aca="false">SUMIFS(Ventas!$S$2:$S$1620,Ventas!$C$2:$C$1620,$A17)</f>
        <v>9782.5</v>
      </c>
      <c r="E17" s="18" t="n">
        <f aca="false">SUMIFS(Ventas!$T$2:$T$1620,Ventas!$C$2:$C$1620,$A17)</f>
        <v>11495.05787</v>
      </c>
      <c r="F17" s="21" t="n">
        <f aca="false">B17-C17-D17-E17</f>
        <v>102401.47643</v>
      </c>
      <c r="G17" s="19" t="n">
        <f aca="false">IFERROR(F17/B17,0)</f>
        <v>0.303592579716722</v>
      </c>
      <c r="H17" s="18" t="n">
        <f aca="false">SUMIFS(Gastos!$D$2:$D$217,Gastos!$A$2:$A$217,$A17,Gastos!$C$2:$C$217,"Fijo")</f>
        <v>67694.27</v>
      </c>
      <c r="I17" s="18" t="n">
        <f aca="false">SUMIFS(Gastos!$D$2:$D$217,Gastos!$A$2:$A$217,$A17,Gastos!$C$2:$C$217,"Variable")</f>
        <v>21004.99</v>
      </c>
      <c r="J17" s="21" t="n">
        <f aca="false">H17+I17</f>
        <v>88699.26</v>
      </c>
      <c r="K17" s="21" t="n">
        <f aca="false">F17-J17</f>
        <v>13702.21643</v>
      </c>
      <c r="L17" s="19" t="n">
        <f aca="false">IFERROR(K17/B17,0)</f>
        <v>0.040623352112156</v>
      </c>
      <c r="M17" s="18" t="n">
        <f aca="false">INDEX(Parametros!$C$26:$C$43,MATCH($A17,Parametros!$A$26:$A$43,0))</f>
        <v>335000</v>
      </c>
      <c r="N17" s="19" t="n">
        <f aca="false">IFERROR(B17/M17,0)</f>
        <v>1.00686271492537</v>
      </c>
      <c r="O17" s="20" t="n">
        <f aca="false">SUMIFS(Ventas!$Y$2:$Y$1620,Ventas!$C$2:$C$1620,$A17)</f>
        <v>42</v>
      </c>
      <c r="P17" s="21" t="n">
        <f aca="false">IFERROR(B17/O17,0)</f>
        <v>8030.92879761905</v>
      </c>
    </row>
    <row r="18" customFormat="false" ht="15" hidden="false" customHeight="false" outlineLevel="0" collapsed="false">
      <c r="A18" s="17" t="n">
        <f aca="false">Parametros!$A$39</f>
        <v>46054</v>
      </c>
      <c r="B18" s="18" t="n">
        <f aca="false">SUMIFS(Ventas!$P$2:$P$1620,Ventas!$C$2:$C$1620,$A18)</f>
        <v>352386.6235</v>
      </c>
      <c r="C18" s="18" t="n">
        <f aca="false">SUMIFS(Ventas!$R$2:$R$1620,Ventas!$C$2:$C$1620,$A18)</f>
        <v>221696.286</v>
      </c>
      <c r="D18" s="18" t="n">
        <f aca="false">SUMIFS(Ventas!$S$2:$S$1620,Ventas!$C$2:$C$1620,$A18)</f>
        <v>10500.1</v>
      </c>
      <c r="E18" s="18" t="n">
        <f aca="false">SUMIFS(Ventas!$T$2:$T$1620,Ventas!$C$2:$C$1620,$A18)</f>
        <v>12375.22668</v>
      </c>
      <c r="F18" s="21" t="n">
        <f aca="false">B18-C18-D18-E18</f>
        <v>107815.01082</v>
      </c>
      <c r="G18" s="19" t="n">
        <f aca="false">IFERROR(F18/B18,0)</f>
        <v>0.305956593213306</v>
      </c>
      <c r="H18" s="18" t="n">
        <f aca="false">SUMIFS(Gastos!$D$2:$D$217,Gastos!$A$2:$A$217,$A18,Gastos!$C$2:$C$217,"Fijo")</f>
        <v>70239.53</v>
      </c>
      <c r="I18" s="18" t="n">
        <f aca="false">SUMIFS(Gastos!$D$2:$D$217,Gastos!$A$2:$A$217,$A18,Gastos!$C$2:$C$217,"Variable")</f>
        <v>26090.1</v>
      </c>
      <c r="J18" s="21" t="n">
        <f aca="false">H18+I18</f>
        <v>96329.63</v>
      </c>
      <c r="K18" s="21" t="n">
        <f aca="false">F18-J18</f>
        <v>11485.38082</v>
      </c>
      <c r="L18" s="19" t="n">
        <f aca="false">IFERROR(K18/B18,0)</f>
        <v>0.0325931237284891</v>
      </c>
      <c r="M18" s="18" t="n">
        <f aca="false">INDEX(Parametros!$C$26:$C$43,MATCH($A18,Parametros!$A$26:$A$43,0))</f>
        <v>355000</v>
      </c>
      <c r="N18" s="19" t="n">
        <f aca="false">IFERROR(B18/M18,0)</f>
        <v>0.992638376056338</v>
      </c>
      <c r="O18" s="20" t="n">
        <f aca="false">SUMIFS(Ventas!$Y$2:$Y$1620,Ventas!$C$2:$C$1620,$A18)</f>
        <v>48</v>
      </c>
      <c r="P18" s="21" t="n">
        <f aca="false">IFERROR(B18/O18,0)</f>
        <v>7341.38798958333</v>
      </c>
    </row>
    <row r="19" customFormat="false" ht="15" hidden="false" customHeight="false" outlineLevel="0" collapsed="false">
      <c r="A19" s="17" t="n">
        <f aca="false">Parametros!$A$40</f>
        <v>46082</v>
      </c>
      <c r="B19" s="18" t="n">
        <f aca="false">SUMIFS(Ventas!$P$2:$P$1620,Ventas!$C$2:$C$1620,$A19)</f>
        <v>398590.9615</v>
      </c>
      <c r="C19" s="18" t="n">
        <f aca="false">SUMIFS(Ventas!$R$2:$R$1620,Ventas!$C$2:$C$1620,$A19)</f>
        <v>246099.678</v>
      </c>
      <c r="D19" s="18" t="n">
        <f aca="false">SUMIFS(Ventas!$S$2:$S$1620,Ventas!$C$2:$C$1620,$A19)</f>
        <v>12413.1</v>
      </c>
      <c r="E19" s="18" t="n">
        <f aca="false">SUMIFS(Ventas!$T$2:$T$1620,Ventas!$C$2:$C$1620,$A19)</f>
        <v>14138.7943625</v>
      </c>
      <c r="F19" s="21" t="n">
        <f aca="false">B19-C19-D19-E19</f>
        <v>125939.3891375</v>
      </c>
      <c r="G19" s="19" t="n">
        <f aca="false">IFERROR(F19/B19,0)</f>
        <v>0.315961477559746</v>
      </c>
      <c r="H19" s="18" t="n">
        <f aca="false">SUMIFS(Gastos!$D$2:$D$217,Gastos!$A$2:$A$217,$A19,Gastos!$C$2:$C$217,"Fijo")</f>
        <v>70765.18</v>
      </c>
      <c r="I19" s="18" t="n">
        <f aca="false">SUMIFS(Gastos!$D$2:$D$217,Gastos!$A$2:$A$217,$A19,Gastos!$C$2:$C$217,"Variable")</f>
        <v>20986.23</v>
      </c>
      <c r="J19" s="21" t="n">
        <f aca="false">H19+I19</f>
        <v>91751.41</v>
      </c>
      <c r="K19" s="21" t="n">
        <f aca="false">F19-J19</f>
        <v>34187.9791375</v>
      </c>
      <c r="L19" s="19" t="n">
        <f aca="false">IFERROR(K19/B19,0)</f>
        <v>0.0857720882802808</v>
      </c>
      <c r="M19" s="18" t="n">
        <f aca="false">INDEX(Parametros!$C$26:$C$43,MATCH($A19,Parametros!$A$26:$A$43,0))</f>
        <v>400000</v>
      </c>
      <c r="N19" s="19" t="n">
        <f aca="false">IFERROR(B19/M19,0)</f>
        <v>0.99647740375</v>
      </c>
      <c r="O19" s="20" t="n">
        <f aca="false">SUMIFS(Ventas!$Y$2:$Y$1620,Ventas!$C$2:$C$1620,$A19)</f>
        <v>52</v>
      </c>
      <c r="P19" s="21" t="n">
        <f aca="false">IFERROR(B19/O19,0)</f>
        <v>7665.21079807692</v>
      </c>
    </row>
    <row r="20" customFormat="false" ht="15" hidden="false" customHeight="false" outlineLevel="0" collapsed="false">
      <c r="A20" s="17" t="n">
        <f aca="false">Parametros!$A$41</f>
        <v>46113</v>
      </c>
      <c r="B20" s="18" t="n">
        <f aca="false">SUMIFS(Ventas!$P$2:$P$1620,Ventas!$C$2:$C$1620,$A20)</f>
        <v>393675.565</v>
      </c>
      <c r="C20" s="18" t="n">
        <f aca="false">SUMIFS(Ventas!$R$2:$R$1620,Ventas!$C$2:$C$1620,$A20)</f>
        <v>238161.446</v>
      </c>
      <c r="D20" s="18" t="n">
        <f aca="false">SUMIFS(Ventas!$S$2:$S$1620,Ventas!$C$2:$C$1620,$A20)</f>
        <v>11844.5</v>
      </c>
      <c r="E20" s="18" t="n">
        <f aca="false">SUMIFS(Ventas!$T$2:$T$1620,Ventas!$C$2:$C$1620,$A20)</f>
        <v>13851.4723475</v>
      </c>
      <c r="F20" s="21" t="n">
        <f aca="false">B20-C20-D20-E20</f>
        <v>129818.1466525</v>
      </c>
      <c r="G20" s="19" t="n">
        <f aca="false">IFERROR(F20/B20,0)</f>
        <v>0.329759218488707</v>
      </c>
      <c r="H20" s="18" t="n">
        <f aca="false">SUMIFS(Gastos!$D$2:$D$217,Gastos!$A$2:$A$217,$A20,Gastos!$C$2:$C$217,"Fijo")</f>
        <v>69103.85</v>
      </c>
      <c r="I20" s="18" t="n">
        <f aca="false">SUMIFS(Gastos!$D$2:$D$217,Gastos!$A$2:$A$217,$A20,Gastos!$C$2:$C$217,"Variable")</f>
        <v>19895.85</v>
      </c>
      <c r="J20" s="21" t="n">
        <f aca="false">H20+I20</f>
        <v>88999.7</v>
      </c>
      <c r="K20" s="21" t="n">
        <f aca="false">F20-J20</f>
        <v>40818.4466525</v>
      </c>
      <c r="L20" s="19" t="n">
        <f aca="false">IFERROR(K20/B20,0)</f>
        <v>0.103685497098353</v>
      </c>
      <c r="M20" s="18" t="n">
        <f aca="false">INDEX(Parametros!$C$26:$C$43,MATCH($A20,Parametros!$A$26:$A$43,0))</f>
        <v>400000</v>
      </c>
      <c r="N20" s="19" t="n">
        <f aca="false">IFERROR(B20/M20,0)</f>
        <v>0.9841889125</v>
      </c>
      <c r="O20" s="20" t="n">
        <f aca="false">SUMIFS(Ventas!$Y$2:$Y$1620,Ventas!$C$2:$C$1620,$A20)</f>
        <v>57</v>
      </c>
      <c r="P20" s="21" t="n">
        <f aca="false">IFERROR(B20/O20,0)</f>
        <v>6906.58885964912</v>
      </c>
    </row>
    <row r="21" customFormat="false" ht="15" hidden="false" customHeight="false" outlineLevel="0" collapsed="false">
      <c r="A21" s="17" t="n">
        <f aca="false">Parametros!$A$42</f>
        <v>46143</v>
      </c>
      <c r="B21" s="18" t="n">
        <f aca="false">SUMIFS(Ventas!$P$2:$P$1620,Ventas!$C$2:$C$1620,$A21)</f>
        <v>398935.234</v>
      </c>
      <c r="C21" s="18" t="n">
        <f aca="false">SUMIFS(Ventas!$R$2:$R$1620,Ventas!$C$2:$C$1620,$A21)</f>
        <v>241362.3842</v>
      </c>
      <c r="D21" s="18" t="n">
        <f aca="false">SUMIFS(Ventas!$S$2:$S$1620,Ventas!$C$2:$C$1620,$A21)</f>
        <v>12824.75</v>
      </c>
      <c r="E21" s="18" t="n">
        <f aca="false">SUMIFS(Ventas!$T$2:$T$1620,Ventas!$C$2:$C$1620,$A21)</f>
        <v>13830.8945775</v>
      </c>
      <c r="F21" s="21" t="n">
        <f aca="false">B21-C21-D21-E21</f>
        <v>130917.2052225</v>
      </c>
      <c r="G21" s="19" t="n">
        <f aca="false">IFERROR(F21/B21,0)</f>
        <v>0.328166564556943</v>
      </c>
      <c r="H21" s="18" t="n">
        <f aca="false">SUMIFS(Gastos!$D$2:$D$217,Gastos!$A$2:$A$217,$A21,Gastos!$C$2:$C$217,"Fijo")</f>
        <v>70575.85</v>
      </c>
      <c r="I21" s="18" t="n">
        <f aca="false">SUMIFS(Gastos!$D$2:$D$217,Gastos!$A$2:$A$217,$A21,Gastos!$C$2:$C$217,"Variable")</f>
        <v>24047.56</v>
      </c>
      <c r="J21" s="21" t="n">
        <f aca="false">H21+I21</f>
        <v>94623.41</v>
      </c>
      <c r="K21" s="21" t="n">
        <f aca="false">F21-J21</f>
        <v>36293.7952225</v>
      </c>
      <c r="L21" s="19" t="n">
        <f aca="false">IFERROR(K21/B21,0)</f>
        <v>0.0909766601926667</v>
      </c>
      <c r="M21" s="18" t="n">
        <f aca="false">INDEX(Parametros!$C$26:$C$43,MATCH($A21,Parametros!$A$26:$A$43,0))</f>
        <v>400000</v>
      </c>
      <c r="N21" s="19" t="n">
        <f aca="false">IFERROR(B21/M21,0)</f>
        <v>0.997338085</v>
      </c>
      <c r="O21" s="20" t="n">
        <f aca="false">SUMIFS(Ventas!$Y$2:$Y$1620,Ventas!$C$2:$C$1620,$A21)</f>
        <v>56</v>
      </c>
      <c r="P21" s="21" t="n">
        <f aca="false">IFERROR(B21/O21,0)</f>
        <v>7123.84346428572</v>
      </c>
    </row>
    <row r="22" customFormat="false" ht="15" hidden="false" customHeight="false" outlineLevel="0" collapsed="false">
      <c r="A22" s="17" t="n">
        <f aca="false">Parametros!$A$43</f>
        <v>46174</v>
      </c>
      <c r="B22" s="18" t="n">
        <f aca="false">SUMIFS(Ventas!$P$2:$P$1620,Ventas!$C$2:$C$1620,$A22)</f>
        <v>349173.9845</v>
      </c>
      <c r="C22" s="18" t="n">
        <f aca="false">SUMIFS(Ventas!$R$2:$R$1620,Ventas!$C$2:$C$1620,$A22)</f>
        <v>215075.1456</v>
      </c>
      <c r="D22" s="18" t="n">
        <f aca="false">SUMIFS(Ventas!$S$2:$S$1620,Ventas!$C$2:$C$1620,$A22)</f>
        <v>12450.8</v>
      </c>
      <c r="E22" s="18" t="n">
        <f aca="false">SUMIFS(Ventas!$T$2:$T$1620,Ventas!$C$2:$C$1620,$A22)</f>
        <v>11830.2157225</v>
      </c>
      <c r="F22" s="21" t="n">
        <f aca="false">B22-C22-D22-E22</f>
        <v>109817.8231775</v>
      </c>
      <c r="G22" s="19" t="n">
        <f aca="false">IFERROR(F22/B22,0)</f>
        <v>0.314507460613808</v>
      </c>
      <c r="H22" s="18" t="n">
        <f aca="false">SUMIFS(Gastos!$D$2:$D$217,Gastos!$A$2:$A$217,$A22,Gastos!$C$2:$C$217,"Fijo")</f>
        <v>71990.58</v>
      </c>
      <c r="I22" s="18" t="n">
        <f aca="false">SUMIFS(Gastos!$D$2:$D$217,Gastos!$A$2:$A$217,$A22,Gastos!$C$2:$C$217,"Variable")</f>
        <v>22011.78</v>
      </c>
      <c r="J22" s="21" t="n">
        <f aca="false">H22+I22</f>
        <v>94002.36</v>
      </c>
      <c r="K22" s="21" t="n">
        <f aca="false">F22-J22</f>
        <v>15815.4631775</v>
      </c>
      <c r="L22" s="19" t="n">
        <f aca="false">IFERROR(K22/B22,0)</f>
        <v>0.0452939333385532</v>
      </c>
      <c r="M22" s="18" t="n">
        <f aca="false">INDEX(Parametros!$C$26:$C$43,MATCH($A22,Parametros!$A$26:$A$43,0))</f>
        <v>370000</v>
      </c>
      <c r="N22" s="19" t="n">
        <f aca="false">IFERROR(B22/M22,0)</f>
        <v>0.943713471621622</v>
      </c>
      <c r="O22" s="20" t="n">
        <f aca="false">SUMIFS(Ventas!$Y$2:$Y$1620,Ventas!$C$2:$C$1620,$A22)</f>
        <v>50</v>
      </c>
      <c r="P22" s="21" t="n">
        <f aca="false">IFERROR(B22/O22,0)</f>
        <v>6983.47969</v>
      </c>
    </row>
    <row r="23" customFormat="false" ht="15" hidden="false" customHeight="false" outlineLevel="0" collapsed="false">
      <c r="A23" s="22" t="s">
        <v>1138</v>
      </c>
      <c r="B23" s="23" t="n">
        <f aca="false">SUM(B5:B22)</f>
        <v>6469595.42</v>
      </c>
      <c r="C23" s="23" t="n">
        <f aca="false">SUM(C5:C22)</f>
        <v>4042477.7725</v>
      </c>
      <c r="D23" s="23" t="n">
        <f aca="false">SUM(D5:D22)</f>
        <v>211413.05</v>
      </c>
      <c r="E23" s="23" t="n">
        <f aca="false">SUM(E5:E22)</f>
        <v>220979.7853125</v>
      </c>
      <c r="F23" s="23" t="n">
        <f aca="false">SUM(F5:F22)</f>
        <v>1994724.8121875</v>
      </c>
      <c r="G23" s="24" t="n">
        <f aca="false">IFERROR(F23/B23,0)</f>
        <v>0.308322960354065</v>
      </c>
      <c r="H23" s="23" t="n">
        <f aca="false">SUM(H5:H22)</f>
        <v>1250656.37</v>
      </c>
      <c r="I23" s="23" t="n">
        <f aca="false">SUM(I5:I22)</f>
        <v>410156.24</v>
      </c>
      <c r="J23" s="23" t="n">
        <f aca="false">SUM(J5:J22)</f>
        <v>1660812.61</v>
      </c>
      <c r="K23" s="23" t="n">
        <f aca="false">SUM(K5:K22)</f>
        <v>333912.2021875</v>
      </c>
      <c r="L23" s="24" t="n">
        <f aca="false">IFERROR(K23/B23,0)</f>
        <v>0.051612532238917</v>
      </c>
      <c r="M23" s="23" t="n">
        <f aca="false">SUM(M5:M22)</f>
        <v>6490000</v>
      </c>
      <c r="N23" s="24" t="n">
        <f aca="false">IFERROR(B23/M23,0)</f>
        <v>0.996855996918336</v>
      </c>
      <c r="O23" s="25" t="n">
        <f aca="false">SUM(O5:O22)</f>
        <v>868</v>
      </c>
      <c r="P23" s="23" t="n">
        <f aca="false">IFERROR(B23/O23,0)</f>
        <v>7453.45094470046</v>
      </c>
    </row>
    <row r="25" customFormat="false" ht="15" hidden="false" customHeight="false" outlineLevel="0" collapsed="false">
      <c r="A25" s="35" t="s">
        <v>1139</v>
      </c>
    </row>
    <row r="26" customFormat="false" ht="15" hidden="false" customHeight="false" outlineLevel="0" collapsed="false">
      <c r="A26" s="37" t="s">
        <v>1140</v>
      </c>
      <c r="B26" s="37" t="s">
        <v>32</v>
      </c>
      <c r="C26" s="37" t="s">
        <v>241</v>
      </c>
      <c r="D26" s="37" t="s">
        <v>35</v>
      </c>
      <c r="E26" s="37" t="s">
        <v>97</v>
      </c>
      <c r="F26" s="37" t="s">
        <v>23</v>
      </c>
      <c r="G26" s="37" t="s">
        <v>24</v>
      </c>
    </row>
    <row r="27" customFormat="false" ht="15" hidden="false" customHeight="false" outlineLevel="0" collapsed="false">
      <c r="A27" s="26" t="s">
        <v>1141</v>
      </c>
      <c r="B27" s="21" t="n">
        <f aca="false">SUM(B5:B16)</f>
        <v>4239534.042</v>
      </c>
      <c r="C27" s="21" t="n">
        <f aca="false">SUM(F5:F16)</f>
        <v>1288015.7607475</v>
      </c>
      <c r="D27" s="19" t="n">
        <f aca="false">IFERROR(C27/B27,0)</f>
        <v>0.303810689568111</v>
      </c>
      <c r="E27" s="21" t="n">
        <f aca="false">SUM(J5:J16)</f>
        <v>1106406.84</v>
      </c>
      <c r="F27" s="21" t="n">
        <f aca="false">SUM(K5:K16)</f>
        <v>181608.9207475</v>
      </c>
      <c r="G27" s="19" t="n">
        <f aca="false">IFERROR(F27/B27,0)</f>
        <v>0.0428370002335979</v>
      </c>
    </row>
    <row r="28" customFormat="false" ht="15" hidden="false" customHeight="false" outlineLevel="0" collapsed="false">
      <c r="A28" s="26" t="s">
        <v>1142</v>
      </c>
      <c r="B28" s="21" t="n">
        <f aca="false">SUM(B17:B22)</f>
        <v>2230061.378</v>
      </c>
      <c r="C28" s="21" t="n">
        <f aca="false">SUM(F17:F22)</f>
        <v>706709.05144</v>
      </c>
      <c r="D28" s="19" t="n">
        <f aca="false">IFERROR(C28/B28,0)</f>
        <v>0.316901166224314</v>
      </c>
      <c r="E28" s="21" t="n">
        <f aca="false">SUM(J17:J22)</f>
        <v>554405.77</v>
      </c>
      <c r="F28" s="21" t="n">
        <f aca="false">SUM(K17:K22)</f>
        <v>152303.28144</v>
      </c>
      <c r="G28" s="19" t="n">
        <f aca="false">IFERROR(F28/B28,0)</f>
        <v>0.0682955558723639</v>
      </c>
    </row>
  </sheetData>
  <conditionalFormatting sqref="K5:L22">
    <cfRule type="cellIs" priority="2" operator="lessThan" aboveAverage="0" equalAverage="0" bottom="0" percent="0" rank="0" text="" dxfId="270">
      <formula>0</formula>
    </cfRule>
  </conditionalFormatting>
  <conditionalFormatting sqref="N5:N22">
    <cfRule type="cellIs" priority="3" operator="lessThan" aboveAverage="0" equalAverage="0" bottom="0" percent="0" rank="0" text="" dxfId="27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28" t="s">
        <v>1143</v>
      </c>
    </row>
    <row r="2" customFormat="false" ht="15" hidden="false" customHeight="false" outlineLevel="0" collapsed="false">
      <c r="A2" s="34" t="s">
        <v>1144</v>
      </c>
    </row>
    <row r="4" customFormat="false" ht="15" hidden="false" customHeight="false" outlineLevel="0" collapsed="false">
      <c r="A4" s="3" t="s">
        <v>1145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6" t="s">
        <v>6</v>
      </c>
      <c r="B5" s="16" t="s">
        <v>32</v>
      </c>
      <c r="C5" s="16" t="s">
        <v>161</v>
      </c>
      <c r="D5" s="16" t="s">
        <v>35</v>
      </c>
      <c r="E5" s="16" t="s">
        <v>36</v>
      </c>
      <c r="F5" s="16" t="s">
        <v>162</v>
      </c>
    </row>
    <row r="6" customFormat="false" ht="15" hidden="false" customHeight="false" outlineLevel="0" collapsed="false">
      <c r="A6" s="26" t="s">
        <v>41</v>
      </c>
      <c r="B6" s="18" t="n">
        <f aca="false">SUMIFS(Ventas!$P$2:$P$1620,Ventas!$E$2:$E$1620,$A6)</f>
        <v>3440618.015</v>
      </c>
      <c r="C6" s="18" t="n">
        <f aca="false">SUMIFS(Ventas!$U$2:$U$1620,Ventas!$E$2:$E$1620,$A6)</f>
        <v>1110498.3995575</v>
      </c>
      <c r="D6" s="19" t="n">
        <f aca="false">IFERROR(C6/B6,0)</f>
        <v>0.322761316343773</v>
      </c>
      <c r="E6" s="20" t="n">
        <f aca="false">SUMIFS(Ventas!$Y$2:$Y$1620,Ventas!$E$2:$E$1620,$A6)</f>
        <v>479</v>
      </c>
      <c r="F6" s="19" t="n">
        <f aca="false">IFERROR(B6/$B$9,0)</f>
        <v>0.531813473894168</v>
      </c>
    </row>
    <row r="7" customFormat="false" ht="15" hidden="false" customHeight="false" outlineLevel="0" collapsed="false">
      <c r="A7" s="26" t="s">
        <v>42</v>
      </c>
      <c r="B7" s="18" t="n">
        <f aca="false">SUMIFS(Ventas!$P$2:$P$1620,Ventas!$E$2:$E$1620,$A7)</f>
        <v>1760409.374</v>
      </c>
      <c r="C7" s="18" t="n">
        <f aca="false">SUMIFS(Ventas!$U$2:$U$1620,Ventas!$E$2:$E$1620,$A7)</f>
        <v>501447.08694</v>
      </c>
      <c r="D7" s="19" t="n">
        <f aca="false">IFERROR(C7/B7,0)</f>
        <v>0.284846862523012</v>
      </c>
      <c r="E7" s="20" t="n">
        <f aca="false">SUMIFS(Ventas!$Y$2:$Y$1620,Ventas!$E$2:$E$1620,$A7)</f>
        <v>211</v>
      </c>
      <c r="F7" s="19" t="n">
        <f aca="false">IFERROR(B7/$B$9,0)</f>
        <v>0.272105017348983</v>
      </c>
    </row>
    <row r="8" customFormat="false" ht="15" hidden="false" customHeight="false" outlineLevel="0" collapsed="false">
      <c r="A8" s="26" t="s">
        <v>43</v>
      </c>
      <c r="B8" s="18" t="n">
        <f aca="false">SUMIFS(Ventas!$P$2:$P$1620,Ventas!$E$2:$E$1620,$A8)</f>
        <v>1268568.031</v>
      </c>
      <c r="C8" s="18" t="n">
        <f aca="false">SUMIFS(Ventas!$U$2:$U$1620,Ventas!$E$2:$E$1620,$A8)</f>
        <v>382779.32569</v>
      </c>
      <c r="D8" s="19" t="n">
        <f aca="false">IFERROR(C8/B8,0)</f>
        <v>0.301741267583622</v>
      </c>
      <c r="E8" s="20" t="n">
        <f aca="false">SUMIFS(Ventas!$Y$2:$Y$1620,Ventas!$E$2:$E$1620,$A8)</f>
        <v>178</v>
      </c>
      <c r="F8" s="19" t="n">
        <f aca="false">IFERROR(B8/$B$9,0)</f>
        <v>0.196081508756849</v>
      </c>
    </row>
    <row r="9" customFormat="false" ht="15" hidden="false" customHeight="false" outlineLevel="0" collapsed="false">
      <c r="A9" s="22" t="s">
        <v>38</v>
      </c>
      <c r="B9" s="23" t="n">
        <f aca="false">SUM(B6:B8)</f>
        <v>6469595.42</v>
      </c>
      <c r="C9" s="23" t="n">
        <f aca="false">SUM(C6:C8)</f>
        <v>1994724.8121875</v>
      </c>
      <c r="D9" s="24" t="n">
        <f aca="false">IFERROR(C9/B9,0)</f>
        <v>0.308322960354065</v>
      </c>
      <c r="E9" s="25" t="n">
        <f aca="false">SUM(E6:E8)</f>
        <v>868</v>
      </c>
      <c r="F9" s="24" t="n">
        <f aca="false">IFERROR(B9/B9,0)</f>
        <v>1</v>
      </c>
    </row>
    <row r="11" customFormat="false" ht="15" hidden="false" customHeight="false" outlineLevel="0" collapsed="false">
      <c r="A11" s="3" t="s">
        <v>1146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16" t="s">
        <v>50</v>
      </c>
      <c r="B12" s="16" t="s">
        <v>32</v>
      </c>
      <c r="C12" s="16" t="s">
        <v>161</v>
      </c>
      <c r="D12" s="16" t="s">
        <v>35</v>
      </c>
      <c r="E12" s="16" t="s">
        <v>36</v>
      </c>
      <c r="F12" s="16" t="s">
        <v>162</v>
      </c>
    </row>
    <row r="13" customFormat="false" ht="15" hidden="false" customHeight="false" outlineLevel="0" collapsed="false">
      <c r="A13" s="26" t="s">
        <v>51</v>
      </c>
      <c r="B13" s="18" t="n">
        <f aca="false">SUMIFS(Ventas!$P$2:$P$1620,Ventas!$J$2:$J$1620,$A13)</f>
        <v>689498.5205</v>
      </c>
      <c r="C13" s="18" t="n">
        <f aca="false">SUMIFS(Ventas!$U$2:$U$1620,Ventas!$J$2:$J$1620,$A13)</f>
        <v>208206.163425</v>
      </c>
      <c r="D13" s="19" t="n">
        <f aca="false">IFERROR(C13/B13,0)</f>
        <v>0.301967527463317</v>
      </c>
      <c r="E13" s="20" t="n">
        <f aca="false">SUMIFS(Ventas!$Y$2:$Y$1620,Ventas!$J$2:$J$1620,$A13)</f>
        <v>136</v>
      </c>
      <c r="F13" s="19" t="n">
        <f aca="false">IFERROR(B13/$B$18,0)</f>
        <v>0.106575214636837</v>
      </c>
    </row>
    <row r="14" customFormat="false" ht="15" hidden="false" customHeight="false" outlineLevel="0" collapsed="false">
      <c r="A14" s="26" t="s">
        <v>52</v>
      </c>
      <c r="B14" s="18" t="n">
        <f aca="false">SUMIFS(Ventas!$P$2:$P$1620,Ventas!$J$2:$J$1620,$A14)</f>
        <v>1738284.264</v>
      </c>
      <c r="C14" s="18" t="n">
        <f aca="false">SUMIFS(Ventas!$U$2:$U$1620,Ventas!$J$2:$J$1620,$A14)</f>
        <v>544611.04004</v>
      </c>
      <c r="D14" s="19" t="n">
        <f aca="false">IFERROR(C14/B14,0)</f>
        <v>0.313303785415847</v>
      </c>
      <c r="E14" s="20" t="n">
        <f aca="false">SUMIFS(Ventas!$Y$2:$Y$1620,Ventas!$J$2:$J$1620,$A14)</f>
        <v>142</v>
      </c>
      <c r="F14" s="19" t="n">
        <f aca="false">IFERROR(B14/$B$18,0)</f>
        <v>0.268685157440649</v>
      </c>
    </row>
    <row r="15" customFormat="false" ht="15" hidden="false" customHeight="false" outlineLevel="0" collapsed="false">
      <c r="A15" s="26" t="s">
        <v>53</v>
      </c>
      <c r="B15" s="18" t="n">
        <f aca="false">SUMIFS(Ventas!$P$2:$P$1620,Ventas!$J$2:$J$1620,$A15)</f>
        <v>1557648.548</v>
      </c>
      <c r="C15" s="18" t="n">
        <f aca="false">SUMIFS(Ventas!$U$2:$U$1620,Ventas!$J$2:$J$1620,$A15)</f>
        <v>494551.337505</v>
      </c>
      <c r="D15" s="19" t="n">
        <f aca="false">IFERROR(C15/B15,0)</f>
        <v>0.317498666910451</v>
      </c>
      <c r="E15" s="20" t="n">
        <f aca="false">SUMIFS(Ventas!$Y$2:$Y$1620,Ventas!$J$2:$J$1620,$A15)</f>
        <v>136</v>
      </c>
      <c r="F15" s="19" t="n">
        <f aca="false">IFERROR(B15/$B$18,0)</f>
        <v>0.24076444458717</v>
      </c>
    </row>
    <row r="16" customFormat="false" ht="15" hidden="false" customHeight="false" outlineLevel="0" collapsed="false">
      <c r="A16" s="26" t="s">
        <v>54</v>
      </c>
      <c r="B16" s="18" t="n">
        <f aca="false">SUMIFS(Ventas!$P$2:$P$1620,Ventas!$J$2:$J$1620,$A16)</f>
        <v>599495.596</v>
      </c>
      <c r="C16" s="18" t="n">
        <f aca="false">SUMIFS(Ventas!$U$2:$U$1620,Ventas!$J$2:$J$1620,$A16)</f>
        <v>169585.55893</v>
      </c>
      <c r="D16" s="19" t="n">
        <f aca="false">IFERROR(C16/B16,0)</f>
        <v>0.28288040823239</v>
      </c>
      <c r="E16" s="20" t="n">
        <f aca="false">SUMIFS(Ventas!$Y$2:$Y$1620,Ventas!$J$2:$J$1620,$A16)</f>
        <v>137</v>
      </c>
      <c r="F16" s="19" t="n">
        <f aca="false">IFERROR(B16/$B$18,0)</f>
        <v>0.0926635372200755</v>
      </c>
    </row>
    <row r="17" customFormat="false" ht="15" hidden="false" customHeight="false" outlineLevel="0" collapsed="false">
      <c r="A17" s="26" t="s">
        <v>55</v>
      </c>
      <c r="B17" s="18" t="n">
        <f aca="false">SUMIFS(Ventas!$P$2:$P$1620,Ventas!$J$2:$J$1620,$A17)</f>
        <v>1884668.4915</v>
      </c>
      <c r="C17" s="18" t="n">
        <f aca="false">SUMIFS(Ventas!$U$2:$U$1620,Ventas!$J$2:$J$1620,$A17)</f>
        <v>577770.7122875</v>
      </c>
      <c r="D17" s="19" t="n">
        <f aca="false">IFERROR(C17/B17,0)</f>
        <v>0.306563575978105</v>
      </c>
      <c r="E17" s="20" t="n">
        <f aca="false">SUMIFS(Ventas!$Y$2:$Y$1620,Ventas!$J$2:$J$1620,$A17)</f>
        <v>317</v>
      </c>
      <c r="F17" s="19" t="n">
        <f aca="false">IFERROR(B17/$B$18,0)</f>
        <v>0.291311646115268</v>
      </c>
    </row>
    <row r="18" customFormat="false" ht="15" hidden="false" customHeight="false" outlineLevel="0" collapsed="false">
      <c r="A18" s="22" t="s">
        <v>38</v>
      </c>
      <c r="B18" s="23" t="n">
        <f aca="false">SUM(B13:B17)</f>
        <v>6469595.42</v>
      </c>
      <c r="C18" s="23" t="n">
        <f aca="false">SUM(C13:C17)</f>
        <v>1994724.8121875</v>
      </c>
      <c r="D18" s="24" t="n">
        <f aca="false">IFERROR(C18/B18,0)</f>
        <v>0.308322960354065</v>
      </c>
      <c r="E18" s="25" t="n">
        <f aca="false">SUM(E13:E17)</f>
        <v>868</v>
      </c>
      <c r="F18" s="24" t="n">
        <f aca="false">IFERROR(B18/B18,0)</f>
        <v>1</v>
      </c>
    </row>
    <row r="20" customFormat="false" ht="15" hidden="false" customHeight="false" outlineLevel="0" collapsed="false">
      <c r="A20" s="3" t="s">
        <v>1147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16" t="s">
        <v>9</v>
      </c>
      <c r="B21" s="16" t="s">
        <v>32</v>
      </c>
      <c r="C21" s="16" t="s">
        <v>161</v>
      </c>
      <c r="D21" s="16" t="s">
        <v>35</v>
      </c>
      <c r="E21" s="16" t="s">
        <v>36</v>
      </c>
      <c r="F21" s="16" t="s">
        <v>162</v>
      </c>
    </row>
    <row r="22" customFormat="false" ht="15" hidden="false" customHeight="false" outlineLevel="0" collapsed="false">
      <c r="A22" s="26" t="s">
        <v>45</v>
      </c>
      <c r="B22" s="18" t="n">
        <f aca="false">SUMIFS(Ventas!$P$2:$P$1620,Ventas!$F$2:$F$1620,$A22)</f>
        <v>3245561.3715</v>
      </c>
      <c r="C22" s="18" t="n">
        <f aca="false">SUMIFS(Ventas!$U$2:$U$1620,Ventas!$F$2:$F$1620,$A22)</f>
        <v>940030.934355</v>
      </c>
      <c r="D22" s="19" t="n">
        <f aca="false">IFERROR(C22/B22,0)</f>
        <v>0.289635852401259</v>
      </c>
      <c r="E22" s="20" t="n">
        <f aca="false">SUMIFS(Ventas!$Y$2:$Y$1620,Ventas!$F$2:$F$1620,$A22)</f>
        <v>405</v>
      </c>
      <c r="F22" s="19" t="n">
        <f aca="false">IFERROR(B22/$B$26,0)</f>
        <v>0.501663730233691</v>
      </c>
    </row>
    <row r="23" customFormat="false" ht="15" hidden="false" customHeight="false" outlineLevel="0" collapsed="false">
      <c r="A23" s="26" t="s">
        <v>46</v>
      </c>
      <c r="B23" s="18" t="n">
        <f aca="false">SUMIFS(Ventas!$P$2:$P$1620,Ventas!$F$2:$F$1620,$A23)</f>
        <v>2377293.659</v>
      </c>
      <c r="C23" s="18" t="n">
        <f aca="false">SUMIFS(Ventas!$U$2:$U$1620,Ventas!$F$2:$F$1620,$A23)</f>
        <v>745642.25654</v>
      </c>
      <c r="D23" s="19" t="n">
        <f aca="false">IFERROR(C23/B23,0)</f>
        <v>0.313651724816215</v>
      </c>
      <c r="E23" s="20" t="n">
        <f aca="false">SUMIFS(Ventas!$Y$2:$Y$1620,Ventas!$F$2:$F$1620,$A23)</f>
        <v>286</v>
      </c>
      <c r="F23" s="19" t="n">
        <f aca="false">IFERROR(B23/$B$26,0)</f>
        <v>0.367456309810483</v>
      </c>
    </row>
    <row r="24" customFormat="false" ht="15" hidden="false" customHeight="false" outlineLevel="0" collapsed="false">
      <c r="A24" s="26" t="s">
        <v>47</v>
      </c>
      <c r="B24" s="18" t="n">
        <f aca="false">SUMIFS(Ventas!$P$2:$P$1620,Ventas!$F$2:$F$1620,$A24)</f>
        <v>802151.7565</v>
      </c>
      <c r="C24" s="18" t="n">
        <f aca="false">SUMIFS(Ventas!$U$2:$U$1620,Ventas!$F$2:$F$1620,$A24)</f>
        <v>290078.2028225</v>
      </c>
      <c r="D24" s="19" t="n">
        <f aca="false">IFERROR(C24/B24,0)</f>
        <v>0.361625092100013</v>
      </c>
      <c r="E24" s="20" t="n">
        <f aca="false">SUMIFS(Ventas!$Y$2:$Y$1620,Ventas!$F$2:$F$1620,$A24)</f>
        <v>150</v>
      </c>
      <c r="F24" s="19" t="n">
        <f aca="false">IFERROR(B24/$B$26,0)</f>
        <v>0.123987931922333</v>
      </c>
    </row>
    <row r="25" customFormat="false" ht="15" hidden="false" customHeight="false" outlineLevel="0" collapsed="false">
      <c r="A25" s="26" t="s">
        <v>48</v>
      </c>
      <c r="B25" s="18" t="n">
        <f aca="false">SUMIFS(Ventas!$P$2:$P$1620,Ventas!$F$2:$F$1620,$A25)</f>
        <v>44588.633</v>
      </c>
      <c r="C25" s="18" t="n">
        <f aca="false">SUMIFS(Ventas!$U$2:$U$1620,Ventas!$F$2:$F$1620,$A25)</f>
        <v>18973.41847</v>
      </c>
      <c r="D25" s="19" t="n">
        <f aca="false">IFERROR(C25/B25,0)</f>
        <v>0.425521420896667</v>
      </c>
      <c r="E25" s="20" t="n">
        <f aca="false">SUMIFS(Ventas!$Y$2:$Y$1620,Ventas!$F$2:$F$1620,$A25)</f>
        <v>27</v>
      </c>
      <c r="F25" s="19" t="n">
        <f aca="false">IFERROR(B25/$B$26,0)</f>
        <v>0.00689202803349332</v>
      </c>
    </row>
    <row r="26" customFormat="false" ht="15" hidden="false" customHeight="false" outlineLevel="0" collapsed="false">
      <c r="A26" s="22" t="s">
        <v>38</v>
      </c>
      <c r="B26" s="23" t="n">
        <f aca="false">SUM(B22:B25)</f>
        <v>6469595.42</v>
      </c>
      <c r="C26" s="23" t="n">
        <f aca="false">SUM(C22:C25)</f>
        <v>1994724.8121875</v>
      </c>
      <c r="D26" s="24" t="n">
        <f aca="false">IFERROR(C26/B26,0)</f>
        <v>0.308322960354065</v>
      </c>
      <c r="E26" s="25" t="n">
        <f aca="false">SUM(E22:E25)</f>
        <v>868</v>
      </c>
      <c r="F26" s="24" t="n">
        <f aca="false">IFERROR(B26/B26,0)</f>
        <v>1</v>
      </c>
    </row>
    <row r="28" customFormat="false" ht="15" hidden="false" customHeight="false" outlineLevel="0" collapsed="false">
      <c r="A28" s="3" t="s">
        <v>1148</v>
      </c>
      <c r="B28" s="3"/>
      <c r="C28" s="3"/>
      <c r="D28" s="3"/>
      <c r="E28" s="3"/>
      <c r="F28" s="3"/>
    </row>
    <row r="29" customFormat="false" ht="15" hidden="false" customHeight="false" outlineLevel="0" collapsed="false">
      <c r="A29" s="16" t="s">
        <v>57</v>
      </c>
      <c r="B29" s="16" t="s">
        <v>32</v>
      </c>
      <c r="C29" s="16" t="s">
        <v>161</v>
      </c>
      <c r="D29" s="16" t="s">
        <v>35</v>
      </c>
      <c r="E29" s="16" t="s">
        <v>36</v>
      </c>
      <c r="F29" s="16" t="s">
        <v>162</v>
      </c>
    </row>
    <row r="30" customFormat="false" ht="15" hidden="false" customHeight="false" outlineLevel="0" collapsed="false">
      <c r="A30" s="26" t="s">
        <v>58</v>
      </c>
      <c r="B30" s="18" t="n">
        <f aca="false">SUMIFS(Ventas!$P$2:$P$1620,Ventas!$G$2:$G$1620,$A30)</f>
        <v>2044959.4775</v>
      </c>
      <c r="C30" s="18" t="n">
        <f aca="false">SUMIFS(Ventas!$U$2:$U$1620,Ventas!$G$2:$G$1620,$A30)</f>
        <v>660233.7042475</v>
      </c>
      <c r="D30" s="19" t="n">
        <f aca="false">IFERROR(C30/B30,0)</f>
        <v>0.322859064696308</v>
      </c>
      <c r="E30" s="20" t="n">
        <f aca="false">SUMIFS(Ventas!$Y$2:$Y$1620,Ventas!$G$2:$G$1620,$A30)</f>
        <v>252</v>
      </c>
      <c r="F30" s="19" t="n">
        <f aca="false">IFERROR(B30/$B$35,0)</f>
        <v>0.316087690920864</v>
      </c>
    </row>
    <row r="31" customFormat="false" ht="15" hidden="false" customHeight="false" outlineLevel="0" collapsed="false">
      <c r="A31" s="26" t="s">
        <v>59</v>
      </c>
      <c r="B31" s="18" t="n">
        <f aca="false">SUMIFS(Ventas!$P$2:$P$1620,Ventas!$G$2:$G$1620,$A31)</f>
        <v>1268568.031</v>
      </c>
      <c r="C31" s="18" t="n">
        <f aca="false">SUMIFS(Ventas!$U$2:$U$1620,Ventas!$G$2:$G$1620,$A31)</f>
        <v>382779.32569</v>
      </c>
      <c r="D31" s="19" t="n">
        <f aca="false">IFERROR(C31/B31,0)</f>
        <v>0.301741267583622</v>
      </c>
      <c r="E31" s="20" t="n">
        <f aca="false">SUMIFS(Ventas!$Y$2:$Y$1620,Ventas!$G$2:$G$1620,$A31)</f>
        <v>178</v>
      </c>
      <c r="F31" s="19" t="n">
        <f aca="false">IFERROR(B31/$B$35,0)</f>
        <v>0.196081508756849</v>
      </c>
    </row>
    <row r="32" customFormat="false" ht="15" hidden="false" customHeight="false" outlineLevel="0" collapsed="false">
      <c r="A32" s="26" t="s">
        <v>60</v>
      </c>
      <c r="B32" s="18" t="n">
        <f aca="false">SUMIFS(Ventas!$P$2:$P$1620,Ventas!$G$2:$G$1620,$A32)</f>
        <v>44588.633</v>
      </c>
      <c r="C32" s="18" t="n">
        <f aca="false">SUMIFS(Ventas!$U$2:$U$1620,Ventas!$G$2:$G$1620,$A32)</f>
        <v>18973.41847</v>
      </c>
      <c r="D32" s="19" t="n">
        <f aca="false">IFERROR(C32/B32,0)</f>
        <v>0.425521420896667</v>
      </c>
      <c r="E32" s="20" t="n">
        <f aca="false">SUMIFS(Ventas!$Y$2:$Y$1620,Ventas!$G$2:$G$1620,$A32)</f>
        <v>27</v>
      </c>
      <c r="F32" s="19" t="n">
        <f aca="false">IFERROR(B32/$B$35,0)</f>
        <v>0.00689202803349332</v>
      </c>
    </row>
    <row r="33" customFormat="false" ht="15" hidden="false" customHeight="false" outlineLevel="0" collapsed="false">
      <c r="A33" s="26" t="s">
        <v>61</v>
      </c>
      <c r="B33" s="18" t="n">
        <f aca="false">SUMIFS(Ventas!$P$2:$P$1620,Ventas!$G$2:$G$1620,$A33)</f>
        <v>1760409.374</v>
      </c>
      <c r="C33" s="18" t="n">
        <f aca="false">SUMIFS(Ventas!$U$2:$U$1620,Ventas!$G$2:$G$1620,$A33)</f>
        <v>501447.08694</v>
      </c>
      <c r="D33" s="19" t="n">
        <f aca="false">IFERROR(C33/B33,0)</f>
        <v>0.284846862523012</v>
      </c>
      <c r="E33" s="20" t="n">
        <f aca="false">SUMIFS(Ventas!$Y$2:$Y$1620,Ventas!$G$2:$G$1620,$A33)</f>
        <v>211</v>
      </c>
      <c r="F33" s="19" t="n">
        <f aca="false">IFERROR(B33/$B$35,0)</f>
        <v>0.272105017348983</v>
      </c>
    </row>
    <row r="34" customFormat="false" ht="15" hidden="false" customHeight="false" outlineLevel="0" collapsed="false">
      <c r="A34" s="26" t="s">
        <v>62</v>
      </c>
      <c r="B34" s="18" t="n">
        <f aca="false">SUMIFS(Ventas!$P$2:$P$1620,Ventas!$G$2:$G$1620,$A34)</f>
        <v>1351069.9045</v>
      </c>
      <c r="C34" s="18" t="n">
        <f aca="false">SUMIFS(Ventas!$U$2:$U$1620,Ventas!$G$2:$G$1620,$A34)</f>
        <v>431291.27684</v>
      </c>
      <c r="D34" s="19" t="n">
        <f aca="false">IFERROR(C34/B34,0)</f>
        <v>0.319222029447552</v>
      </c>
      <c r="E34" s="20" t="n">
        <f aca="false">SUMIFS(Ventas!$Y$2:$Y$1620,Ventas!$G$2:$G$1620,$A34)</f>
        <v>200</v>
      </c>
      <c r="F34" s="19" t="n">
        <f aca="false">IFERROR(B34/$B$35,0)</f>
        <v>0.20883375493981</v>
      </c>
    </row>
    <row r="35" customFormat="false" ht="15" hidden="false" customHeight="false" outlineLevel="0" collapsed="false">
      <c r="A35" s="22" t="s">
        <v>38</v>
      </c>
      <c r="B35" s="23" t="n">
        <f aca="false">SUM(B30:B34)</f>
        <v>6469595.42</v>
      </c>
      <c r="C35" s="23" t="n">
        <f aca="false">SUM(C30:C34)</f>
        <v>1994724.8121875</v>
      </c>
      <c r="D35" s="24" t="n">
        <f aca="false">IFERROR(C35/B35,0)</f>
        <v>0.308322960354065</v>
      </c>
      <c r="E35" s="25" t="n">
        <f aca="false">SUM(E30:E34)</f>
        <v>868</v>
      </c>
      <c r="F35" s="24" t="n">
        <f aca="false">IFERROR(B35/B35,0)</f>
        <v>1</v>
      </c>
    </row>
    <row r="37" customFormat="false" ht="15" hidden="false" customHeight="false" outlineLevel="0" collapsed="false">
      <c r="A37" s="3" t="s">
        <v>1149</v>
      </c>
      <c r="B37" s="3"/>
      <c r="C37" s="3"/>
      <c r="D37" s="3"/>
      <c r="E37" s="3"/>
      <c r="F37" s="3"/>
    </row>
    <row r="38" customFormat="false" ht="23.85" hidden="false" customHeight="false" outlineLevel="0" collapsed="false">
      <c r="A38" s="16" t="s">
        <v>72</v>
      </c>
      <c r="B38" s="16" t="s">
        <v>6</v>
      </c>
      <c r="C38" s="16" t="s">
        <v>32</v>
      </c>
      <c r="D38" s="16" t="s">
        <v>161</v>
      </c>
      <c r="E38" s="16" t="s">
        <v>35</v>
      </c>
      <c r="F38" s="16" t="s">
        <v>1150</v>
      </c>
    </row>
    <row r="39" customFormat="false" ht="15" hidden="false" customHeight="false" outlineLevel="0" collapsed="false">
      <c r="A39" s="26" t="s">
        <v>216</v>
      </c>
      <c r="B39" s="32" t="str">
        <f aca="false">INDEX(Clientes!$B$2:$B$39,MATCH($A39,Clientes!$A$2:$A$39,0))</f>
        <v>Alemania</v>
      </c>
      <c r="C39" s="18" t="n">
        <f aca="false">SUMIFS(Ventas!$P$2:$P$1620,Ventas!$D$2:$D$1620,$A39)</f>
        <v>313935.4745</v>
      </c>
      <c r="D39" s="18" t="n">
        <f aca="false">SUMIFS(Ventas!$U$2:$U$1620,Ventas!$D$2:$D$1620,$A39)</f>
        <v>86703.112365</v>
      </c>
      <c r="E39" s="19" t="n">
        <f aca="false">IFERROR(D39/C39,0)</f>
        <v>0.276181315612996</v>
      </c>
      <c r="F39" s="18" t="n">
        <f aca="false">INDEX(Clientes!$L$2:$L$39,MATCH($A39,Clientes!$A$2:$A$39,0))</f>
        <v>55466.569</v>
      </c>
    </row>
    <row r="40" customFormat="false" ht="15" hidden="false" customHeight="false" outlineLevel="0" collapsed="false">
      <c r="A40" s="26" t="s">
        <v>197</v>
      </c>
      <c r="B40" s="32" t="str">
        <f aca="false">INDEX(Clientes!$B$2:$B$39,MATCH($A40,Clientes!$A$2:$A$39,0))</f>
        <v>España</v>
      </c>
      <c r="C40" s="18" t="n">
        <f aca="false">SUMIFS(Ventas!$P$2:$P$1620,Ventas!$D$2:$D$1620,$A40)</f>
        <v>290874.7215</v>
      </c>
      <c r="D40" s="18" t="n">
        <f aca="false">SUMIFS(Ventas!$U$2:$U$1620,Ventas!$D$2:$D$1620,$A40)</f>
        <v>94487.01254</v>
      </c>
      <c r="E40" s="19" t="n">
        <f aca="false">IFERROR(D40/C40,0)</f>
        <v>0.32483748347998</v>
      </c>
      <c r="F40" s="18" t="n">
        <f aca="false">INDEX(Clientes!$L$2:$L$39,MATCH($A40,Clientes!$A$2:$A$39,0))</f>
        <v>30110.5095</v>
      </c>
    </row>
    <row r="41" customFormat="false" ht="15" hidden="false" customHeight="false" outlineLevel="0" collapsed="false">
      <c r="A41" s="26" t="s">
        <v>218</v>
      </c>
      <c r="B41" s="32" t="str">
        <f aca="false">INDEX(Clientes!$B$2:$B$39,MATCH($A41,Clientes!$A$2:$A$39,0))</f>
        <v>Alemania</v>
      </c>
      <c r="C41" s="18" t="n">
        <f aca="false">SUMIFS(Ventas!$P$2:$P$1620,Ventas!$D$2:$D$1620,$A41)</f>
        <v>279795.1545</v>
      </c>
      <c r="D41" s="18" t="n">
        <f aca="false">SUMIFS(Ventas!$U$2:$U$1620,Ventas!$D$2:$D$1620,$A41)</f>
        <v>76639.395365</v>
      </c>
      <c r="E41" s="19" t="n">
        <f aca="false">IFERROR(D41/C41,0)</f>
        <v>0.27391251825628</v>
      </c>
      <c r="F41" s="18" t="n">
        <f aca="false">INDEX(Clientes!$L$2:$L$39,MATCH($A41,Clientes!$A$2:$A$39,0))</f>
        <v>10401.048</v>
      </c>
    </row>
    <row r="42" customFormat="false" ht="15" hidden="false" customHeight="false" outlineLevel="0" collapsed="false">
      <c r="A42" s="26" t="s">
        <v>212</v>
      </c>
      <c r="B42" s="32" t="str">
        <f aca="false">INDEX(Clientes!$B$2:$B$39,MATCH($A42,Clientes!$A$2:$A$39,0))</f>
        <v>Alemania</v>
      </c>
      <c r="C42" s="18" t="n">
        <f aca="false">SUMIFS(Ventas!$P$2:$P$1620,Ventas!$D$2:$D$1620,$A42)</f>
        <v>279560.7735</v>
      </c>
      <c r="D42" s="18" t="n">
        <f aca="false">SUMIFS(Ventas!$U$2:$U$1620,Ventas!$D$2:$D$1620,$A42)</f>
        <v>77428.641195</v>
      </c>
      <c r="E42" s="19" t="n">
        <f aca="false">IFERROR(D42/C42,0)</f>
        <v>0.276965327522962</v>
      </c>
      <c r="F42" s="18" t="n">
        <f aca="false">INDEX(Clientes!$L$2:$L$39,MATCH($A42,Clientes!$A$2:$A$39,0))</f>
        <v>39936.644</v>
      </c>
    </row>
    <row r="43" customFormat="false" ht="15" hidden="false" customHeight="false" outlineLevel="0" collapsed="false">
      <c r="A43" s="26" t="s">
        <v>195</v>
      </c>
      <c r="B43" s="32" t="str">
        <f aca="false">INDEX(Clientes!$B$2:$B$39,MATCH($A43,Clientes!$A$2:$A$39,0))</f>
        <v>España</v>
      </c>
      <c r="C43" s="18" t="n">
        <f aca="false">SUMIFS(Ventas!$P$2:$P$1620,Ventas!$D$2:$D$1620,$A43)</f>
        <v>268007.8985</v>
      </c>
      <c r="D43" s="18" t="n">
        <f aca="false">SUMIFS(Ventas!$U$2:$U$1620,Ventas!$D$2:$D$1620,$A43)</f>
        <v>80096.428845</v>
      </c>
      <c r="E43" s="19" t="n">
        <f aca="false">IFERROR(D43/C43,0)</f>
        <v>0.298858463848594</v>
      </c>
      <c r="F43" s="18" t="n">
        <f aca="false">INDEX(Clientes!$L$2:$L$39,MATCH($A43,Clientes!$A$2:$A$39,0))</f>
        <v>21557.422</v>
      </c>
    </row>
    <row r="44" customFormat="false" ht="15" hidden="false" customHeight="false" outlineLevel="0" collapsed="false">
      <c r="A44" s="26" t="s">
        <v>192</v>
      </c>
      <c r="B44" s="32" t="str">
        <f aca="false">INDEX(Clientes!$B$2:$B$39,MATCH($A44,Clientes!$A$2:$A$39,0))</f>
        <v>España</v>
      </c>
      <c r="C44" s="18" t="n">
        <f aca="false">SUMIFS(Ventas!$P$2:$P$1620,Ventas!$D$2:$D$1620,$A44)</f>
        <v>265223.265</v>
      </c>
      <c r="D44" s="18" t="n">
        <f aca="false">SUMIFS(Ventas!$U$2:$U$1620,Ventas!$D$2:$D$1620,$A44)</f>
        <v>80529.70215</v>
      </c>
      <c r="E44" s="19" t="n">
        <f aca="false">IFERROR(D44/C44,0)</f>
        <v>0.303629857471214</v>
      </c>
      <c r="F44" s="18" t="n">
        <f aca="false">INDEX(Clientes!$L$2:$L$39,MATCH($A44,Clientes!$A$2:$A$39,0))</f>
        <v>39261.903</v>
      </c>
    </row>
    <row r="45" customFormat="false" ht="15" hidden="false" customHeight="false" outlineLevel="0" collapsed="false">
      <c r="A45" s="26" t="s">
        <v>200</v>
      </c>
      <c r="B45" s="32" t="str">
        <f aca="false">INDEX(Clientes!$B$2:$B$39,MATCH($A45,Clientes!$A$2:$A$39,0))</f>
        <v>España</v>
      </c>
      <c r="C45" s="18" t="n">
        <f aca="false">SUMIFS(Ventas!$P$2:$P$1620,Ventas!$D$2:$D$1620,$A45)</f>
        <v>263571.548</v>
      </c>
      <c r="D45" s="18" t="n">
        <f aca="false">SUMIFS(Ventas!$U$2:$U$1620,Ventas!$D$2:$D$1620,$A45)</f>
        <v>79923.79856</v>
      </c>
      <c r="E45" s="19" t="n">
        <f aca="false">IFERROR(D45/C45,0)</f>
        <v>0.303233786675639</v>
      </c>
      <c r="F45" s="18" t="n">
        <f aca="false">INDEX(Clientes!$L$2:$L$39,MATCH($A45,Clientes!$A$2:$A$39,0))</f>
        <v>34681.4755</v>
      </c>
    </row>
    <row r="46" customFormat="false" ht="15" hidden="false" customHeight="false" outlineLevel="0" collapsed="false">
      <c r="A46" s="26" t="s">
        <v>193</v>
      </c>
      <c r="B46" s="32" t="str">
        <f aca="false">INDEX(Clientes!$B$2:$B$39,MATCH($A46,Clientes!$A$2:$A$39,0))</f>
        <v>España</v>
      </c>
      <c r="C46" s="18" t="n">
        <f aca="false">SUMIFS(Ventas!$P$2:$P$1620,Ventas!$D$2:$D$1620,$A46)</f>
        <v>249578.961</v>
      </c>
      <c r="D46" s="18" t="n">
        <f aca="false">SUMIFS(Ventas!$U$2:$U$1620,Ventas!$D$2:$D$1620,$A46)</f>
        <v>76627.56457</v>
      </c>
      <c r="E46" s="19" t="n">
        <f aca="false">IFERROR(D46/C46,0)</f>
        <v>0.307027340217191</v>
      </c>
      <c r="F46" s="18" t="n">
        <f aca="false">INDEX(Clientes!$L$2:$L$39,MATCH($A46,Clientes!$A$2:$A$39,0))</f>
        <v>24377.751</v>
      </c>
    </row>
    <row r="47" customFormat="false" ht="15" hidden="false" customHeight="false" outlineLevel="0" collapsed="false">
      <c r="A47" s="26" t="s">
        <v>219</v>
      </c>
      <c r="B47" s="32" t="str">
        <f aca="false">INDEX(Clientes!$B$2:$B$39,MATCH($A47,Clientes!$A$2:$A$39,0))</f>
        <v>Alemania</v>
      </c>
      <c r="C47" s="18" t="n">
        <f aca="false">SUMIFS(Ventas!$P$2:$P$1620,Ventas!$D$2:$D$1620,$A47)</f>
        <v>236461.493</v>
      </c>
      <c r="D47" s="18" t="n">
        <f aca="false">SUMIFS(Ventas!$U$2:$U$1620,Ventas!$D$2:$D$1620,$A47)</f>
        <v>64314.10391</v>
      </c>
      <c r="E47" s="19" t="n">
        <f aca="false">IFERROR(D47/C47,0)</f>
        <v>0.271985527512507</v>
      </c>
      <c r="F47" s="18" t="n">
        <f aca="false">INDEX(Clientes!$L$2:$L$39,MATCH($A47,Clientes!$A$2:$A$39,0))</f>
        <v>14156.192</v>
      </c>
    </row>
    <row r="48" customFormat="false" ht="15" hidden="false" customHeight="false" outlineLevel="0" collapsed="false">
      <c r="A48" s="26" t="s">
        <v>224</v>
      </c>
      <c r="B48" s="32" t="str">
        <f aca="false">INDEX(Clientes!$B$2:$B$39,MATCH($A48,Clientes!$A$2:$A$39,0))</f>
        <v>Francia</v>
      </c>
      <c r="C48" s="18" t="n">
        <f aca="false">SUMIFS(Ventas!$P$2:$P$1620,Ventas!$D$2:$D$1620,$A48)</f>
        <v>215208.772</v>
      </c>
      <c r="D48" s="18" t="n">
        <f aca="false">SUMIFS(Ventas!$U$2:$U$1620,Ventas!$D$2:$D$1620,$A48)</f>
        <v>60258.15514</v>
      </c>
      <c r="E48" s="19" t="n">
        <f aca="false">IFERROR(D48/C48,0)</f>
        <v>0.279998601265194</v>
      </c>
      <c r="F48" s="18" t="n">
        <f aca="false">INDEX(Clientes!$L$2:$L$39,MATCH($A48,Clientes!$A$2:$A$39,0))</f>
        <v>19608.158</v>
      </c>
    </row>
    <row r="50" customFormat="false" ht="15" hidden="false" customHeight="false" outlineLevel="0" collapsed="false">
      <c r="A50" s="3" t="s">
        <v>1151</v>
      </c>
      <c r="B50" s="3"/>
      <c r="C50" s="3"/>
      <c r="D50" s="3"/>
    </row>
    <row r="51" customFormat="false" ht="15" hidden="false" customHeight="false" outlineLevel="0" collapsed="false">
      <c r="A51" s="37" t="s">
        <v>64</v>
      </c>
      <c r="B51" s="37" t="s">
        <v>65</v>
      </c>
      <c r="C51" s="37" t="s">
        <v>66</v>
      </c>
      <c r="D51" s="37" t="s">
        <v>40</v>
      </c>
    </row>
    <row r="52" customFormat="false" ht="15" hidden="false" customHeight="false" outlineLevel="0" collapsed="false">
      <c r="A52" s="26" t="s">
        <v>67</v>
      </c>
      <c r="B52" s="18" t="n">
        <f aca="false">SUMIFS(Ventas!$P$2:$P$1620,Ventas!$X$2:$X$1620,$A52)</f>
        <v>5702077.4825</v>
      </c>
      <c r="C52" s="20" t="n">
        <f aca="false">COUNTIFS(Ventas!$X$2:$X$1620,$A52)</f>
        <v>1432</v>
      </c>
      <c r="D52" s="19" t="n">
        <f aca="false">IFERROR(B52/$B$55,0)</f>
        <v>0.881365388764913</v>
      </c>
    </row>
    <row r="53" customFormat="false" ht="15" hidden="false" customHeight="false" outlineLevel="0" collapsed="false">
      <c r="A53" s="26" t="s">
        <v>68</v>
      </c>
      <c r="B53" s="18" t="n">
        <f aca="false">SUMIFS(Ventas!$P$2:$P$1620,Ventas!$X$2:$X$1620,$A53)</f>
        <v>366504.402</v>
      </c>
      <c r="C53" s="20" t="n">
        <f aca="false">COUNTIFS(Ventas!$X$2:$X$1620,$A53)</f>
        <v>89</v>
      </c>
      <c r="D53" s="19" t="n">
        <f aca="false">IFERROR(B53/$B$55,0)</f>
        <v>0.0566502815410983</v>
      </c>
    </row>
    <row r="54" customFormat="false" ht="15" hidden="false" customHeight="false" outlineLevel="0" collapsed="false">
      <c r="A54" s="26" t="s">
        <v>69</v>
      </c>
      <c r="B54" s="18" t="n">
        <f aca="false">SUMIFS(Ventas!$P$2:$P$1620,Ventas!$X$2:$X$1620,$A54)</f>
        <v>401013.5355</v>
      </c>
      <c r="C54" s="20" t="n">
        <f aca="false">COUNTIFS(Ventas!$X$2:$X$1620,$A54)</f>
        <v>98</v>
      </c>
      <c r="D54" s="19" t="n">
        <f aca="false">IFERROR(B54/$B$55,0)</f>
        <v>0.0619843296939888</v>
      </c>
    </row>
    <row r="55" customFormat="false" ht="15" hidden="false" customHeight="false" outlineLevel="0" collapsed="false">
      <c r="A55" s="22" t="s">
        <v>38</v>
      </c>
      <c r="B55" s="23" t="n">
        <f aca="false">SUM(B52:B54)</f>
        <v>6469595.42</v>
      </c>
      <c r="C55" s="25" t="n">
        <f aca="false">SUM(C52:C54)</f>
        <v>1619</v>
      </c>
      <c r="D55" s="24" t="n">
        <f aca="false">IFERROR(B55/B55,0)</f>
        <v>1</v>
      </c>
    </row>
    <row r="57" customFormat="false" ht="15" hidden="false" customHeight="false" outlineLevel="0" collapsed="false">
      <c r="A57" s="3" t="s">
        <v>1152</v>
      </c>
      <c r="B57" s="3"/>
      <c r="C57" s="3"/>
      <c r="D57" s="3"/>
    </row>
    <row r="58" customFormat="false" ht="15" hidden="false" customHeight="false" outlineLevel="0" collapsed="false">
      <c r="A58" s="4" t="s">
        <v>1153</v>
      </c>
      <c r="B58" s="55" t="n">
        <f aca="false">PL_Mensual!$B$23</f>
        <v>6469595.42</v>
      </c>
    </row>
    <row r="59" customFormat="false" ht="15" hidden="false" customHeight="false" outlineLevel="0" collapsed="false">
      <c r="A59" s="4" t="s">
        <v>1154</v>
      </c>
      <c r="B59" s="55" t="n">
        <f aca="false">PL_Mensual!$F$23</f>
        <v>1994724.8121875</v>
      </c>
    </row>
    <row r="60" customFormat="false" ht="15" hidden="false" customHeight="false" outlineLevel="0" collapsed="false">
      <c r="A60" s="4" t="s">
        <v>1155</v>
      </c>
      <c r="B60" s="56" t="n">
        <f aca="false">PL_Mensual!$G$23</f>
        <v>0.308322960354065</v>
      </c>
    </row>
    <row r="61" customFormat="false" ht="15" hidden="false" customHeight="false" outlineLevel="0" collapsed="false">
      <c r="A61" s="4" t="s">
        <v>1156</v>
      </c>
      <c r="B61" s="55" t="n">
        <f aca="false">PL_Mensual!$J$23</f>
        <v>1660812.61</v>
      </c>
    </row>
    <row r="62" customFormat="false" ht="15" hidden="false" customHeight="false" outlineLevel="0" collapsed="false">
      <c r="A62" s="4" t="s">
        <v>1157</v>
      </c>
      <c r="B62" s="55" t="n">
        <f aca="false">PL_Mensual!$K$23</f>
        <v>333912.2021875</v>
      </c>
    </row>
    <row r="63" customFormat="false" ht="15" hidden="false" customHeight="false" outlineLevel="0" collapsed="false">
      <c r="A63" s="4" t="s">
        <v>24</v>
      </c>
      <c r="B63" s="56" t="n">
        <f aca="false">PL_Mensual!$L$23</f>
        <v>0.051612532238917</v>
      </c>
    </row>
    <row r="64" customFormat="false" ht="15" hidden="false" customHeight="false" outlineLevel="0" collapsed="false">
      <c r="A64" s="4" t="s">
        <v>1158</v>
      </c>
      <c r="B64" s="57" t="n">
        <f aca="false">PL_Mensual!$O$23</f>
        <v>868</v>
      </c>
    </row>
    <row r="65" customFormat="false" ht="15" hidden="false" customHeight="false" outlineLevel="0" collapsed="false">
      <c r="A65" s="4" t="s">
        <v>1159</v>
      </c>
      <c r="B65" s="55" t="n">
        <f aca="false">PL_Mensual!$P$23</f>
        <v>7453.45094470046</v>
      </c>
    </row>
    <row r="66" customFormat="false" ht="15" hidden="false" customHeight="false" outlineLevel="0" collapsed="false">
      <c r="A66" s="4" t="s">
        <v>1160</v>
      </c>
      <c r="B66" s="57" t="n">
        <f aca="false">COUNTA(Ventas!$A$2:$A$1620)</f>
        <v>1619</v>
      </c>
    </row>
    <row r="67" customFormat="false" ht="15" hidden="false" customHeight="false" outlineLevel="0" collapsed="false">
      <c r="A67" s="4" t="s">
        <v>1161</v>
      </c>
      <c r="B67" s="57" t="n">
        <f aca="false">COUNTIF(Clientes!$F$2:$F$39,"&gt;0")</f>
        <v>38</v>
      </c>
    </row>
    <row r="68" customFormat="false" ht="15" hidden="false" customHeight="false" outlineLevel="0" collapsed="false">
      <c r="A68" s="4" t="s">
        <v>1162</v>
      </c>
      <c r="B68" s="56" t="n">
        <f aca="false">PL_Mensual!$N$23</f>
        <v>0.996855996918336</v>
      </c>
    </row>
    <row r="69" customFormat="false" ht="15" hidden="false" customHeight="false" outlineLevel="0" collapsed="false">
      <c r="A69" s="4" t="s">
        <v>1163</v>
      </c>
      <c r="B69" s="56" t="n">
        <f aca="false">IFERROR(1-SUM(Ventas!$P$2:$P$1620)/SUMPRODUCT(Ventas!$L$2:$L$1620,Ventas!$M$2:$M$1620),0)</f>
        <v>0.14217468603387</v>
      </c>
    </row>
  </sheetData>
  <mergeCells count="7">
    <mergeCell ref="A4:F4"/>
    <mergeCell ref="A11:F11"/>
    <mergeCell ref="A20:F20"/>
    <mergeCell ref="A28:F28"/>
    <mergeCell ref="A37:F37"/>
    <mergeCell ref="A50:D50"/>
    <mergeCell ref="A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2026-07-29T22:31:14Z</dcterms:created>
  <dc:creator>openpyxl</dc:creator>
  <dc:description/>
  <dc:language>en-US</dc:language>
  <cp:lastModifiedBy/>
  <dcterms:modified xsi:type="dcterms:W3CDTF">2026-07-29T22:31:20Z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